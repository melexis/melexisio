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Projects\html\pressure\doc\"/>
    </mc:Choice>
  </mc:AlternateContent>
  <xr:revisionPtr revIDLastSave="0" documentId="8_{08B9BB2B-E757-4059-B7AC-ABCA6D7CDF2A}" xr6:coauthVersionLast="36" xr6:coauthVersionMax="36" xr10:uidLastSave="{00000000-0000-0000-0000-000000000000}"/>
  <bookViews>
    <workbookView xWindow="0" yWindow="0" windowWidth="27165" windowHeight="12810" activeTab="2" xr2:uid="{00000000-000D-0000-FFFF-FFFF00000000}"/>
  </bookViews>
  <sheets>
    <sheet name="Contents" sheetId="2" r:id="rId1"/>
    <sheet name="MemoryView" sheetId="4" r:id="rId2"/>
    <sheet name="NVRAM map" sheetId="3" r:id="rId3"/>
    <sheet name="Sheet1" sheetId="7" r:id="rId4"/>
    <sheet name="Sheet2" sheetId="8" r:id="rId5"/>
    <sheet name="Output" sheetId="5" r:id="rId6"/>
    <sheet name="FPC" sheetId="6" r:id="rId7"/>
    <sheet name="Patches" sheetId="9" r:id="rId8"/>
  </sheets>
  <definedNames>
    <definedName name="_xlnm._FilterDatabase" localSheetId="2" hidden="1">'NVRAM map'!$C$2:$M$319</definedName>
    <definedName name="AllExport">Contents!$C$37</definedName>
    <definedName name="ContentWriteLocation">Contents!$C$31</definedName>
    <definedName name="CrLfLineEnding">Contents!$C$22</definedName>
    <definedName name="DataBytes">#REF!</definedName>
    <definedName name="DefinesWriteLocation">Contents!$C$33</definedName>
    <definedName name="IntelHexUseAbsAddr">Output!$R$1</definedName>
    <definedName name="IntelHexWriteLocation">Contents!$C$34</definedName>
    <definedName name="MapWriteLocation">Contents!$C$32</definedName>
    <definedName name="MemhEccWriteLocation">Contents!$C$36</definedName>
    <definedName name="MemhWriteLocation">Contents!$C$35</definedName>
    <definedName name="StartAddress">Output!$A$6</definedName>
    <definedName name="T1_report">#REF!</definedName>
    <definedName name="T2_report">#REF!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243" i="3" l="1"/>
  <c r="V242" i="3"/>
  <c r="V318" i="3" l="1"/>
  <c r="V317" i="3"/>
  <c r="V316" i="3"/>
  <c r="V314" i="3"/>
  <c r="V313" i="3"/>
  <c r="V311" i="3"/>
  <c r="V310" i="3"/>
  <c r="V308" i="3"/>
  <c r="V306" i="3"/>
  <c r="V304" i="3"/>
  <c r="V302" i="3"/>
  <c r="V300" i="3"/>
  <c r="V298" i="3"/>
  <c r="V297" i="3"/>
  <c r="V295" i="3"/>
  <c r="V294" i="3"/>
  <c r="V292" i="3"/>
  <c r="V289" i="3"/>
  <c r="V288" i="3"/>
  <c r="V286" i="3"/>
  <c r="V285" i="3"/>
  <c r="V283" i="3"/>
  <c r="V281" i="3"/>
  <c r="V279" i="3"/>
  <c r="V277" i="3"/>
  <c r="V275" i="3"/>
  <c r="V273" i="3"/>
  <c r="V271" i="3"/>
  <c r="V269" i="3"/>
  <c r="V267" i="3"/>
  <c r="V265" i="3"/>
  <c r="V263" i="3"/>
  <c r="V261" i="3"/>
  <c r="V259" i="3"/>
  <c r="V258" i="3"/>
  <c r="V257" i="3"/>
  <c r="V256" i="3"/>
  <c r="V255" i="3"/>
  <c r="V254" i="3"/>
  <c r="V253" i="3"/>
  <c r="V246" i="3"/>
  <c r="V247" i="3"/>
  <c r="V248" i="3"/>
  <c r="V249" i="3"/>
  <c r="V250" i="3"/>
  <c r="V251" i="3"/>
  <c r="V245" i="3"/>
  <c r="V235" i="3"/>
  <c r="V234" i="3"/>
  <c r="V233" i="3"/>
  <c r="V232" i="3"/>
  <c r="V231" i="3"/>
  <c r="V230" i="3"/>
  <c r="V229" i="3"/>
  <c r="V228" i="3"/>
  <c r="V226" i="3"/>
  <c r="V225" i="3"/>
  <c r="V224" i="3"/>
  <c r="V223" i="3"/>
  <c r="V222" i="3"/>
  <c r="V220" i="3"/>
  <c r="V219" i="3"/>
  <c r="V218" i="3"/>
  <c r="V213" i="3"/>
  <c r="V214" i="3"/>
  <c r="V215" i="3"/>
  <c r="V216" i="3"/>
  <c r="V212" i="3"/>
  <c r="V210" i="3"/>
  <c r="V208" i="3"/>
  <c r="V207" i="3"/>
  <c r="V205" i="3"/>
  <c r="V203" i="3"/>
  <c r="V201" i="3"/>
  <c r="V191" i="3"/>
  <c r="V189" i="3"/>
  <c r="V187" i="3"/>
  <c r="V185" i="3"/>
  <c r="V183" i="3"/>
  <c r="V181" i="3"/>
  <c r="V179" i="3"/>
  <c r="V177" i="3"/>
  <c r="V175" i="3"/>
  <c r="V173" i="3"/>
  <c r="V171" i="3"/>
  <c r="V147" i="3"/>
  <c r="V146" i="3"/>
  <c r="V144" i="3"/>
  <c r="V143" i="3"/>
  <c r="V141" i="3"/>
  <c r="V140" i="3"/>
  <c r="V139" i="3"/>
  <c r="V138" i="3"/>
  <c r="V136" i="3"/>
  <c r="V135" i="3"/>
  <c r="V134" i="3"/>
  <c r="V133" i="3"/>
  <c r="V131" i="3"/>
  <c r="V130" i="3"/>
  <c r="V129" i="3"/>
  <c r="V127" i="3"/>
  <c r="V126" i="3"/>
  <c r="V124" i="3"/>
  <c r="V122" i="3"/>
  <c r="V120" i="3"/>
  <c r="V118" i="3"/>
  <c r="V116" i="3"/>
  <c r="V114" i="3"/>
  <c r="V112" i="3"/>
  <c r="V110" i="3"/>
  <c r="V108" i="3"/>
  <c r="V106" i="3"/>
  <c r="V104" i="3"/>
  <c r="V102" i="3"/>
  <c r="V100" i="3"/>
  <c r="V98" i="3"/>
  <c r="V96" i="3"/>
  <c r="V94" i="3"/>
  <c r="V92" i="3"/>
  <c r="V90" i="3"/>
  <c r="V88" i="3"/>
  <c r="V86" i="3"/>
  <c r="V84" i="3"/>
  <c r="V82" i="3"/>
  <c r="V81" i="3"/>
  <c r="V72" i="3"/>
  <c r="V73" i="3"/>
  <c r="V74" i="3"/>
  <c r="V75" i="3"/>
  <c r="V76" i="3"/>
  <c r="V77" i="3"/>
  <c r="V78" i="3"/>
  <c r="V79" i="3"/>
  <c r="V71" i="3"/>
  <c r="V66" i="3"/>
  <c r="V67" i="3"/>
  <c r="V68" i="3"/>
  <c r="V69" i="3"/>
  <c r="V65" i="3"/>
  <c r="V59" i="3"/>
  <c r="V60" i="3"/>
  <c r="V61" i="3"/>
  <c r="V62" i="3"/>
  <c r="V63" i="3"/>
  <c r="V58" i="3"/>
  <c r="V53" i="3"/>
  <c r="V54" i="3"/>
  <c r="V55" i="3"/>
  <c r="V56" i="3"/>
  <c r="V52" i="3"/>
  <c r="V48" i="3"/>
  <c r="V49" i="3"/>
  <c r="V50" i="3"/>
  <c r="V47" i="3"/>
  <c r="V43" i="3"/>
  <c r="V44" i="3"/>
  <c r="V45" i="3"/>
  <c r="V42" i="3"/>
  <c r="V40" i="3"/>
  <c r="V39" i="3"/>
  <c r="V36" i="3"/>
  <c r="V35" i="3"/>
  <c r="V29" i="3"/>
  <c r="V30" i="3"/>
  <c r="V31" i="3"/>
  <c r="V32" i="3"/>
  <c r="V33" i="3"/>
  <c r="V28" i="3"/>
  <c r="V26" i="3"/>
  <c r="V22" i="3"/>
  <c r="V23" i="3"/>
  <c r="V24" i="3"/>
  <c r="V25" i="3"/>
  <c r="V21" i="3"/>
  <c r="V15" i="3"/>
  <c r="V16" i="3"/>
  <c r="V17" i="3"/>
  <c r="V19" i="3"/>
  <c r="V14" i="3"/>
  <c r="V11" i="3"/>
  <c r="V10" i="3"/>
  <c r="V9" i="3"/>
  <c r="V8" i="3"/>
  <c r="V7" i="3"/>
  <c r="V5" i="3"/>
  <c r="U318" i="3" l="1"/>
  <c r="U317" i="3"/>
  <c r="U316" i="3"/>
  <c r="U313" i="3"/>
  <c r="U314" i="3"/>
  <c r="U310" i="3"/>
  <c r="U311" i="3"/>
  <c r="U308" i="3"/>
  <c r="U306" i="3"/>
  <c r="U304" i="3"/>
  <c r="U302" i="3"/>
  <c r="U300" i="3"/>
  <c r="U294" i="3"/>
  <c r="U283" i="3" l="1"/>
  <c r="U281" i="3"/>
  <c r="U279" i="3"/>
  <c r="U277" i="3"/>
  <c r="U275" i="3"/>
  <c r="U273" i="3"/>
  <c r="U271" i="3"/>
  <c r="U269" i="3"/>
  <c r="U267" i="3"/>
  <c r="U265" i="3"/>
  <c r="U263" i="3"/>
  <c r="U261" i="3"/>
  <c r="U239" i="3"/>
  <c r="U238" i="3"/>
  <c r="U210" i="3"/>
  <c r="U134" i="3"/>
  <c r="U114" i="3" l="1"/>
  <c r="U124" i="3"/>
  <c r="U122" i="3"/>
  <c r="U120" i="3"/>
  <c r="U118" i="3"/>
  <c r="U116" i="3"/>
  <c r="U112" i="3"/>
  <c r="U110" i="3"/>
  <c r="U108" i="3"/>
  <c r="U106" i="3"/>
  <c r="U104" i="3"/>
  <c r="U102" i="3"/>
  <c r="U100" i="3"/>
  <c r="U98" i="3"/>
  <c r="U96" i="3"/>
  <c r="U94" i="3"/>
  <c r="U92" i="3"/>
  <c r="U90" i="3"/>
  <c r="U88" i="3"/>
  <c r="U86" i="3"/>
  <c r="U84" i="3"/>
  <c r="U35" i="3"/>
  <c r="U31" i="3"/>
  <c r="U5" i="3" l="1"/>
  <c r="K70" i="9" l="1"/>
  <c r="J70" i="9"/>
  <c r="I70" i="9"/>
  <c r="K69" i="9"/>
  <c r="J69" i="9"/>
  <c r="I69" i="9"/>
  <c r="K68" i="9"/>
  <c r="J68" i="9"/>
  <c r="I68" i="9"/>
  <c r="K67" i="9"/>
  <c r="J67" i="9" s="1"/>
  <c r="C67" i="9"/>
  <c r="I67" i="9" s="1"/>
  <c r="K66" i="9"/>
  <c r="J66" i="9" s="1"/>
  <c r="I66" i="9"/>
  <c r="K65" i="9"/>
  <c r="J65" i="9" s="1"/>
  <c r="C65" i="9"/>
  <c r="I65" i="9" s="1"/>
  <c r="K64" i="9"/>
  <c r="J64" i="9" s="1"/>
  <c r="I64" i="9"/>
  <c r="K63" i="9"/>
  <c r="J63" i="9" s="1"/>
  <c r="C63" i="9"/>
  <c r="I63" i="9" s="1"/>
  <c r="K62" i="9"/>
  <c r="J62" i="9" s="1"/>
  <c r="I62" i="9"/>
  <c r="K61" i="9"/>
  <c r="J61" i="9" s="1"/>
  <c r="C61" i="9"/>
  <c r="I61" i="9" s="1"/>
  <c r="K60" i="9"/>
  <c r="J60" i="9" s="1"/>
  <c r="I60" i="9"/>
  <c r="K59" i="9"/>
  <c r="J59" i="9" s="1"/>
  <c r="C59" i="9"/>
  <c r="I59" i="9" s="1"/>
  <c r="K58" i="9"/>
  <c r="J58" i="9"/>
  <c r="I58" i="9"/>
  <c r="K57" i="9"/>
  <c r="J57" i="9" s="1"/>
  <c r="C57" i="9"/>
  <c r="I57" i="9" s="1"/>
  <c r="K56" i="9"/>
  <c r="J56" i="9" s="1"/>
  <c r="I56" i="9"/>
  <c r="K55" i="9"/>
  <c r="J55" i="9" s="1"/>
  <c r="C55" i="9"/>
  <c r="I55" i="9" s="1"/>
  <c r="K54" i="9"/>
  <c r="J54" i="9" s="1"/>
  <c r="I54" i="9"/>
  <c r="K53" i="9"/>
  <c r="J53" i="9" s="1"/>
  <c r="C53" i="9"/>
  <c r="I53" i="9" s="1"/>
  <c r="K52" i="9"/>
  <c r="J52" i="9" s="1"/>
  <c r="I52" i="9"/>
  <c r="K51" i="9"/>
  <c r="J51" i="9" s="1"/>
  <c r="C51" i="9"/>
  <c r="I51" i="9" s="1"/>
  <c r="K50" i="9"/>
  <c r="J50" i="9" s="1"/>
  <c r="I50" i="9"/>
  <c r="K49" i="9"/>
  <c r="J49" i="9" s="1"/>
  <c r="C49" i="9"/>
  <c r="I49" i="9" s="1"/>
  <c r="K48" i="9"/>
  <c r="J48" i="9"/>
  <c r="I48" i="9"/>
  <c r="K47" i="9"/>
  <c r="J47" i="9"/>
  <c r="C47" i="9"/>
  <c r="I47" i="9" s="1"/>
  <c r="K46" i="9"/>
  <c r="J46" i="9" s="1"/>
  <c r="I46" i="9"/>
  <c r="K45" i="9"/>
  <c r="J45" i="9" s="1"/>
  <c r="C45" i="9"/>
  <c r="I45" i="9" s="1"/>
  <c r="K44" i="9"/>
  <c r="J44" i="9" s="1"/>
  <c r="I44" i="9"/>
  <c r="K43" i="9"/>
  <c r="J43" i="9"/>
  <c r="C43" i="9"/>
  <c r="I43" i="9" s="1"/>
  <c r="K42" i="9"/>
  <c r="J42" i="9" s="1"/>
  <c r="I42" i="9"/>
  <c r="K41" i="9"/>
  <c r="J41" i="9" s="1"/>
  <c r="C41" i="9"/>
  <c r="I41" i="9" s="1"/>
  <c r="K40" i="9"/>
  <c r="J40" i="9" s="1"/>
  <c r="I40" i="9"/>
  <c r="K39" i="9"/>
  <c r="J39" i="9" s="1"/>
  <c r="C39" i="9"/>
  <c r="I39" i="9" s="1"/>
  <c r="K38" i="9"/>
  <c r="J38" i="9"/>
  <c r="I38" i="9"/>
  <c r="K37" i="9"/>
  <c r="J37" i="9"/>
  <c r="C37" i="9"/>
  <c r="I37" i="9" s="1"/>
  <c r="K36" i="9"/>
  <c r="J36" i="9" s="1"/>
  <c r="I36" i="9"/>
  <c r="K35" i="9"/>
  <c r="J35" i="9" s="1"/>
  <c r="C35" i="9"/>
  <c r="I35" i="9" s="1"/>
  <c r="K34" i="9"/>
  <c r="J34" i="9" s="1"/>
  <c r="I34" i="9"/>
  <c r="K33" i="9"/>
  <c r="J33" i="9"/>
  <c r="C33" i="9"/>
  <c r="I33" i="9" s="1"/>
  <c r="K32" i="9"/>
  <c r="J32" i="9" s="1"/>
  <c r="I32" i="9"/>
  <c r="K31" i="9"/>
  <c r="J31" i="9"/>
  <c r="C31" i="9"/>
  <c r="I31" i="9" s="1"/>
  <c r="K30" i="9"/>
  <c r="J30" i="9"/>
  <c r="I30" i="9"/>
  <c r="K29" i="9"/>
  <c r="J29" i="9"/>
  <c r="I29" i="9"/>
  <c r="C29" i="9"/>
  <c r="K28" i="9"/>
  <c r="J28" i="9"/>
  <c r="I28" i="9"/>
  <c r="K27" i="9"/>
  <c r="J27" i="9"/>
  <c r="C27" i="9"/>
  <c r="I27" i="9" s="1"/>
  <c r="K26" i="9"/>
  <c r="J26" i="9"/>
  <c r="I26" i="9"/>
  <c r="K25" i="9"/>
  <c r="J25" i="9"/>
  <c r="C25" i="9"/>
  <c r="I25" i="9" s="1"/>
  <c r="K24" i="9"/>
  <c r="J24" i="9"/>
  <c r="I24" i="9"/>
  <c r="K23" i="9"/>
  <c r="J23" i="9"/>
  <c r="C23" i="9"/>
  <c r="I23" i="9" s="1"/>
  <c r="K22" i="9"/>
  <c r="J22" i="9"/>
  <c r="I22" i="9"/>
  <c r="K21" i="9"/>
  <c r="J21" i="9"/>
  <c r="C21" i="9"/>
  <c r="I21" i="9" s="1"/>
  <c r="K20" i="9"/>
  <c r="J20" i="9"/>
  <c r="I20" i="9"/>
  <c r="K19" i="9"/>
  <c r="J19" i="9"/>
  <c r="C19" i="9"/>
  <c r="I19" i="9" s="1"/>
  <c r="K18" i="9"/>
  <c r="J18" i="9"/>
  <c r="I18" i="9"/>
  <c r="K17" i="9"/>
  <c r="J17" i="9"/>
  <c r="C17" i="9"/>
  <c r="I17" i="9" s="1"/>
  <c r="K16" i="9"/>
  <c r="J16" i="9"/>
  <c r="I16" i="9"/>
  <c r="K15" i="9"/>
  <c r="J15" i="9"/>
  <c r="C15" i="9"/>
  <c r="I15" i="9" s="1"/>
  <c r="K14" i="9"/>
  <c r="J14" i="9"/>
  <c r="I14" i="9"/>
  <c r="K13" i="9"/>
  <c r="J13" i="9"/>
  <c r="C13" i="9"/>
  <c r="I13" i="9" s="1"/>
  <c r="K12" i="9"/>
  <c r="J12" i="9"/>
  <c r="I12" i="9"/>
  <c r="K11" i="9"/>
  <c r="J11" i="9"/>
  <c r="C11" i="9"/>
  <c r="I11" i="9" s="1"/>
  <c r="K10" i="9"/>
  <c r="J10" i="9"/>
  <c r="I10" i="9"/>
  <c r="D11" i="9"/>
  <c r="A11" i="9"/>
  <c r="S318" i="3" l="1"/>
  <c r="S317" i="3"/>
  <c r="S316" i="3"/>
  <c r="S314" i="3"/>
  <c r="S313" i="3"/>
  <c r="S311" i="3"/>
  <c r="S310" i="3"/>
  <c r="S308" i="3"/>
  <c r="S306" i="3"/>
  <c r="S304" i="3"/>
  <c r="S302" i="3"/>
  <c r="S300" i="3"/>
  <c r="S298" i="3"/>
  <c r="U298" i="3" s="1"/>
  <c r="S297" i="3"/>
  <c r="U297" i="3" s="1"/>
  <c r="S294" i="3"/>
  <c r="S292" i="3"/>
  <c r="U292" i="3" s="1"/>
  <c r="S289" i="3"/>
  <c r="U289" i="3" s="1"/>
  <c r="S288" i="3"/>
  <c r="U288" i="3" s="1"/>
  <c r="S285" i="3"/>
  <c r="U285" i="3" s="1"/>
  <c r="S283" i="3"/>
  <c r="S281" i="3"/>
  <c r="S279" i="3"/>
  <c r="S277" i="3"/>
  <c r="S275" i="3"/>
  <c r="S273" i="3"/>
  <c r="S271" i="3"/>
  <c r="S269" i="3"/>
  <c r="S267" i="3"/>
  <c r="S265" i="3"/>
  <c r="S263" i="3"/>
  <c r="S261" i="3"/>
  <c r="S259" i="3"/>
  <c r="U259" i="3" s="1"/>
  <c r="S258" i="3"/>
  <c r="U258" i="3" s="1"/>
  <c r="S256" i="3"/>
  <c r="U256" i="3" s="1"/>
  <c r="S255" i="3"/>
  <c r="U255" i="3" s="1"/>
  <c r="S254" i="3"/>
  <c r="U254" i="3" s="1"/>
  <c r="S253" i="3"/>
  <c r="U253" i="3" s="1"/>
  <c r="S251" i="3"/>
  <c r="U251" i="3" s="1"/>
  <c r="S250" i="3"/>
  <c r="U250" i="3" s="1"/>
  <c r="S249" i="3"/>
  <c r="U249" i="3" s="1"/>
  <c r="S248" i="3"/>
  <c r="U248" i="3" s="1"/>
  <c r="S247" i="3"/>
  <c r="U247" i="3" s="1"/>
  <c r="S246" i="3"/>
  <c r="U246" i="3" s="1"/>
  <c r="S245" i="3"/>
  <c r="U245" i="3" s="1"/>
  <c r="S243" i="3"/>
  <c r="U243" i="3" s="1"/>
  <c r="S242" i="3"/>
  <c r="U242" i="3" s="1"/>
  <c r="S235" i="3"/>
  <c r="U235" i="3" s="1"/>
  <c r="S234" i="3"/>
  <c r="U234" i="3" s="1"/>
  <c r="S233" i="3"/>
  <c r="U233" i="3" s="1"/>
  <c r="S232" i="3"/>
  <c r="U232" i="3" s="1"/>
  <c r="S231" i="3"/>
  <c r="U231" i="3" s="1"/>
  <c r="S230" i="3"/>
  <c r="U230" i="3" s="1"/>
  <c r="S229" i="3"/>
  <c r="U229" i="3" s="1"/>
  <c r="S228" i="3"/>
  <c r="U228" i="3" s="1"/>
  <c r="S226" i="3"/>
  <c r="U226" i="3" s="1"/>
  <c r="U225" i="3"/>
  <c r="S224" i="3"/>
  <c r="U224" i="3" s="1"/>
  <c r="S223" i="3"/>
  <c r="U223" i="3" s="1"/>
  <c r="S222" i="3"/>
  <c r="U222" i="3" s="1"/>
  <c r="S220" i="3"/>
  <c r="U220" i="3" s="1"/>
  <c r="S219" i="3"/>
  <c r="U219" i="3" s="1"/>
  <c r="S218" i="3"/>
  <c r="U218" i="3" s="1"/>
  <c r="S216" i="3"/>
  <c r="U216" i="3" s="1"/>
  <c r="S215" i="3"/>
  <c r="U215" i="3" s="1"/>
  <c r="S214" i="3"/>
  <c r="U214" i="3" s="1"/>
  <c r="S213" i="3"/>
  <c r="U213" i="3" s="1"/>
  <c r="S212" i="3"/>
  <c r="U212" i="3" s="1"/>
  <c r="S210" i="3"/>
  <c r="S208" i="3"/>
  <c r="U208" i="3" s="1"/>
  <c r="S207" i="3"/>
  <c r="U207" i="3" s="1"/>
  <c r="S191" i="3"/>
  <c r="S189" i="3"/>
  <c r="S187" i="3"/>
  <c r="S185" i="3"/>
  <c r="S183" i="3"/>
  <c r="S181" i="3"/>
  <c r="S179" i="3"/>
  <c r="S177" i="3"/>
  <c r="S175" i="3"/>
  <c r="S173" i="3"/>
  <c r="S171" i="3"/>
  <c r="S169" i="3"/>
  <c r="S167" i="3"/>
  <c r="S165" i="3"/>
  <c r="S163" i="3"/>
  <c r="S161" i="3"/>
  <c r="S159" i="3"/>
  <c r="S157" i="3"/>
  <c r="S155" i="3"/>
  <c r="S153" i="3"/>
  <c r="S151" i="3"/>
  <c r="S149" i="3"/>
  <c r="S147" i="3"/>
  <c r="U147" i="3" s="1"/>
  <c r="S146" i="3"/>
  <c r="U146" i="3" s="1"/>
  <c r="S144" i="3"/>
  <c r="U144" i="3" s="1"/>
  <c r="S143" i="3"/>
  <c r="U143" i="3" s="1"/>
  <c r="S141" i="3"/>
  <c r="U141" i="3" s="1"/>
  <c r="S140" i="3"/>
  <c r="U140" i="3" s="1"/>
  <c r="S139" i="3"/>
  <c r="U139" i="3" s="1"/>
  <c r="S138" i="3"/>
  <c r="U138" i="3" s="1"/>
  <c r="S136" i="3"/>
  <c r="U136" i="3" s="1"/>
  <c r="S135" i="3"/>
  <c r="U135" i="3" s="1"/>
  <c r="S133" i="3"/>
  <c r="U133" i="3" s="1"/>
  <c r="S131" i="3"/>
  <c r="U131" i="3" s="1"/>
  <c r="S130" i="3"/>
  <c r="U130" i="3" s="1"/>
  <c r="S129" i="3"/>
  <c r="U129" i="3" s="1"/>
  <c r="S127" i="3"/>
  <c r="U127" i="3" s="1"/>
  <c r="S126" i="3"/>
  <c r="U126" i="3" s="1"/>
  <c r="S112" i="3"/>
  <c r="S110" i="3"/>
  <c r="S108" i="3"/>
  <c r="S106" i="3"/>
  <c r="S104" i="3"/>
  <c r="S102" i="3"/>
  <c r="S100" i="3"/>
  <c r="S98" i="3"/>
  <c r="S96" i="3"/>
  <c r="S94" i="3"/>
  <c r="S92" i="3"/>
  <c r="S90" i="3"/>
  <c r="S88" i="3"/>
  <c r="S86" i="3"/>
  <c r="S84" i="3"/>
  <c r="S82" i="3"/>
  <c r="U82" i="3" s="1"/>
  <c r="S81" i="3"/>
  <c r="U81" i="3" s="1"/>
  <c r="S79" i="3"/>
  <c r="U79" i="3" s="1"/>
  <c r="S78" i="3"/>
  <c r="U78" i="3" s="1"/>
  <c r="S77" i="3"/>
  <c r="U77" i="3" s="1"/>
  <c r="S76" i="3"/>
  <c r="U76" i="3" s="1"/>
  <c r="S75" i="3"/>
  <c r="U75" i="3" s="1"/>
  <c r="S74" i="3"/>
  <c r="U74" i="3" s="1"/>
  <c r="S73" i="3"/>
  <c r="U73" i="3" s="1"/>
  <c r="S72" i="3"/>
  <c r="U72" i="3" s="1"/>
  <c r="S71" i="3"/>
  <c r="U71" i="3" s="1"/>
  <c r="S69" i="3"/>
  <c r="U69" i="3" s="1"/>
  <c r="S68" i="3"/>
  <c r="U68" i="3" s="1"/>
  <c r="S67" i="3"/>
  <c r="U67" i="3" s="1"/>
  <c r="S66" i="3"/>
  <c r="U66" i="3" s="1"/>
  <c r="S65" i="3"/>
  <c r="U65" i="3" s="1"/>
  <c r="S63" i="3"/>
  <c r="U63" i="3" s="1"/>
  <c r="S62" i="3"/>
  <c r="U62" i="3" s="1"/>
  <c r="S61" i="3"/>
  <c r="U61" i="3" s="1"/>
  <c r="S60" i="3"/>
  <c r="U60" i="3" s="1"/>
  <c r="S59" i="3"/>
  <c r="U59" i="3" s="1"/>
  <c r="S58" i="3"/>
  <c r="U58" i="3" s="1"/>
  <c r="S56" i="3"/>
  <c r="U56" i="3" s="1"/>
  <c r="S55" i="3"/>
  <c r="U55" i="3" s="1"/>
  <c r="S54" i="3"/>
  <c r="U54" i="3" s="1"/>
  <c r="S53" i="3"/>
  <c r="U53" i="3" s="1"/>
  <c r="S52" i="3"/>
  <c r="U52" i="3" s="1"/>
  <c r="S50" i="3"/>
  <c r="U50" i="3" s="1"/>
  <c r="S49" i="3"/>
  <c r="U49" i="3" s="1"/>
  <c r="S48" i="3"/>
  <c r="U48" i="3" s="1"/>
  <c r="S47" i="3"/>
  <c r="U47" i="3" s="1"/>
  <c r="S45" i="3"/>
  <c r="U45" i="3" s="1"/>
  <c r="S44" i="3"/>
  <c r="U44" i="3" s="1"/>
  <c r="S43" i="3"/>
  <c r="U43" i="3" s="1"/>
  <c r="S42" i="3"/>
  <c r="U42" i="3" s="1"/>
  <c r="S40" i="3"/>
  <c r="U40" i="3" s="1"/>
  <c r="S39" i="3"/>
  <c r="U39" i="3" s="1"/>
  <c r="S38" i="3"/>
  <c r="S36" i="3"/>
  <c r="U36" i="3" s="1"/>
  <c r="S33" i="3"/>
  <c r="U33" i="3" s="1"/>
  <c r="S32" i="3"/>
  <c r="U32" i="3" s="1"/>
  <c r="S30" i="3"/>
  <c r="U30" i="3" s="1"/>
  <c r="S29" i="3"/>
  <c r="U29" i="3" s="1"/>
  <c r="S28" i="3"/>
  <c r="U28" i="3" s="1"/>
  <c r="S26" i="3"/>
  <c r="U26" i="3" s="1"/>
  <c r="S25" i="3"/>
  <c r="U25" i="3" s="1"/>
  <c r="S24" i="3"/>
  <c r="U24" i="3" s="1"/>
  <c r="S23" i="3"/>
  <c r="U23" i="3" s="1"/>
  <c r="S22" i="3"/>
  <c r="U22" i="3" s="1"/>
  <c r="S21" i="3"/>
  <c r="U21" i="3" s="1"/>
  <c r="S19" i="3"/>
  <c r="U19" i="3" s="1"/>
  <c r="S18" i="3"/>
  <c r="S17" i="3"/>
  <c r="U17" i="3" s="1"/>
  <c r="S16" i="3"/>
  <c r="U16" i="3" s="1"/>
  <c r="S15" i="3"/>
  <c r="S14" i="3"/>
  <c r="S11" i="3"/>
  <c r="U11" i="3" s="1"/>
  <c r="S10" i="3"/>
  <c r="U10" i="3" s="1"/>
  <c r="S9" i="3"/>
  <c r="U9" i="3" s="1"/>
  <c r="S8" i="3"/>
  <c r="U8" i="3" s="1"/>
  <c r="S7" i="3"/>
  <c r="U7" i="3" s="1"/>
  <c r="S5" i="3"/>
  <c r="A12" i="9"/>
  <c r="D12" i="9"/>
  <c r="C20" i="2" l="1"/>
  <c r="C21" i="2" s="1"/>
  <c r="C37" i="2" s="1"/>
  <c r="C24" i="2"/>
  <c r="A13" i="9"/>
  <c r="A14" i="9" s="1"/>
  <c r="D13" i="9"/>
  <c r="I33" i="7" l="1"/>
  <c r="H30" i="7"/>
  <c r="I30" i="7"/>
  <c r="J30" i="7"/>
  <c r="K30" i="7"/>
  <c r="L30" i="7"/>
  <c r="M30" i="7"/>
  <c r="N30" i="7"/>
  <c r="O30" i="7"/>
  <c r="P30" i="7"/>
  <c r="H31" i="7"/>
  <c r="I31" i="7"/>
  <c r="J31" i="7"/>
  <c r="K31" i="7"/>
  <c r="L31" i="7"/>
  <c r="M31" i="7"/>
  <c r="N31" i="7"/>
  <c r="O31" i="7"/>
  <c r="P31" i="7"/>
  <c r="Q31" i="7"/>
  <c r="H32" i="7"/>
  <c r="I32" i="7"/>
  <c r="J32" i="7"/>
  <c r="K32" i="7"/>
  <c r="L32" i="7"/>
  <c r="M32" i="7"/>
  <c r="N32" i="7"/>
  <c r="O32" i="7"/>
  <c r="P32" i="7"/>
  <c r="H33" i="7"/>
  <c r="J33" i="7"/>
  <c r="K33" i="7"/>
  <c r="L33" i="7"/>
  <c r="M33" i="7"/>
  <c r="N33" i="7"/>
  <c r="O33" i="7"/>
  <c r="P33" i="7"/>
  <c r="H34" i="7"/>
  <c r="I34" i="7"/>
  <c r="J34" i="7"/>
  <c r="K34" i="7"/>
  <c r="L34" i="7"/>
  <c r="M34" i="7"/>
  <c r="N34" i="7"/>
  <c r="O34" i="7"/>
  <c r="P34" i="7"/>
  <c r="H35" i="7"/>
  <c r="I35" i="7"/>
  <c r="J35" i="7"/>
  <c r="K35" i="7"/>
  <c r="L35" i="7"/>
  <c r="M35" i="7"/>
  <c r="N35" i="7"/>
  <c r="O35" i="7"/>
  <c r="P35" i="7"/>
  <c r="H38" i="7"/>
  <c r="I38" i="7"/>
  <c r="J38" i="7"/>
  <c r="Q38" i="7" s="1"/>
  <c r="K38" i="7"/>
  <c r="L38" i="7"/>
  <c r="M38" i="7"/>
  <c r="N38" i="7"/>
  <c r="O38" i="7"/>
  <c r="P38" i="7"/>
  <c r="H39" i="7"/>
  <c r="I39" i="7"/>
  <c r="J39" i="7"/>
  <c r="K39" i="7"/>
  <c r="L39" i="7"/>
  <c r="M39" i="7"/>
  <c r="N39" i="7"/>
  <c r="O39" i="7"/>
  <c r="P39" i="7"/>
  <c r="H40" i="7"/>
  <c r="I40" i="7"/>
  <c r="J40" i="7"/>
  <c r="K40" i="7"/>
  <c r="L40" i="7"/>
  <c r="M40" i="7"/>
  <c r="N40" i="7"/>
  <c r="O40" i="7"/>
  <c r="P40" i="7"/>
  <c r="H41" i="7"/>
  <c r="I41" i="7"/>
  <c r="J41" i="7"/>
  <c r="K41" i="7"/>
  <c r="L41" i="7"/>
  <c r="M41" i="7"/>
  <c r="N41" i="7"/>
  <c r="O41" i="7"/>
  <c r="P41" i="7"/>
  <c r="H42" i="7"/>
  <c r="I42" i="7"/>
  <c r="J42" i="7"/>
  <c r="K42" i="7"/>
  <c r="L42" i="7"/>
  <c r="M42" i="7"/>
  <c r="N42" i="7"/>
  <c r="O42" i="7"/>
  <c r="P42" i="7"/>
  <c r="H43" i="7"/>
  <c r="I43" i="7"/>
  <c r="J43" i="7"/>
  <c r="K43" i="7"/>
  <c r="L43" i="7"/>
  <c r="M43" i="7"/>
  <c r="N43" i="7"/>
  <c r="O43" i="7"/>
  <c r="P43" i="7"/>
  <c r="H44" i="7"/>
  <c r="I44" i="7"/>
  <c r="J44" i="7"/>
  <c r="Q44" i="7" s="1"/>
  <c r="K44" i="7"/>
  <c r="L44" i="7"/>
  <c r="M44" i="7"/>
  <c r="N44" i="7"/>
  <c r="O44" i="7"/>
  <c r="P44" i="7"/>
  <c r="H45" i="7"/>
  <c r="I45" i="7"/>
  <c r="J45" i="7"/>
  <c r="K45" i="7"/>
  <c r="L45" i="7"/>
  <c r="M45" i="7"/>
  <c r="N45" i="7"/>
  <c r="O45" i="7"/>
  <c r="P45" i="7"/>
  <c r="H46" i="7"/>
  <c r="I46" i="7"/>
  <c r="J46" i="7"/>
  <c r="K46" i="7"/>
  <c r="L46" i="7"/>
  <c r="M46" i="7"/>
  <c r="N46" i="7"/>
  <c r="O46" i="7"/>
  <c r="P46" i="7"/>
  <c r="Q7" i="7"/>
  <c r="Q11" i="7"/>
  <c r="Q17" i="7"/>
  <c r="J4" i="7"/>
  <c r="J5" i="7"/>
  <c r="J6" i="7"/>
  <c r="J8" i="7"/>
  <c r="J9" i="7"/>
  <c r="J10" i="7"/>
  <c r="J12" i="7"/>
  <c r="J13" i="7"/>
  <c r="J14" i="7"/>
  <c r="J15" i="7"/>
  <c r="J16" i="7"/>
  <c r="J18" i="7"/>
  <c r="J19" i="7"/>
  <c r="J20" i="7"/>
  <c r="J21" i="7"/>
  <c r="J22" i="7"/>
  <c r="J23" i="7"/>
  <c r="J24" i="7"/>
  <c r="J25" i="7"/>
  <c r="J3" i="7"/>
  <c r="H4" i="7"/>
  <c r="I4" i="7"/>
  <c r="K4" i="7"/>
  <c r="L4" i="7"/>
  <c r="M4" i="7"/>
  <c r="N4" i="7"/>
  <c r="O4" i="7"/>
  <c r="P4" i="7"/>
  <c r="H5" i="7"/>
  <c r="I5" i="7"/>
  <c r="K5" i="7"/>
  <c r="L5" i="7"/>
  <c r="M5" i="7"/>
  <c r="N5" i="7"/>
  <c r="O5" i="7"/>
  <c r="P5" i="7"/>
  <c r="H6" i="7"/>
  <c r="I6" i="7"/>
  <c r="K6" i="7"/>
  <c r="L6" i="7"/>
  <c r="M6" i="7"/>
  <c r="N6" i="7"/>
  <c r="O6" i="7"/>
  <c r="P6" i="7"/>
  <c r="H8" i="7"/>
  <c r="I8" i="7"/>
  <c r="K8" i="7"/>
  <c r="L8" i="7"/>
  <c r="M8" i="7"/>
  <c r="N8" i="7"/>
  <c r="O8" i="7"/>
  <c r="P8" i="7"/>
  <c r="H9" i="7"/>
  <c r="I9" i="7"/>
  <c r="K9" i="7"/>
  <c r="L9" i="7"/>
  <c r="M9" i="7"/>
  <c r="N9" i="7"/>
  <c r="O9" i="7"/>
  <c r="P9" i="7"/>
  <c r="H10" i="7"/>
  <c r="I10" i="7"/>
  <c r="K10" i="7"/>
  <c r="L10" i="7"/>
  <c r="M10" i="7"/>
  <c r="N10" i="7"/>
  <c r="O10" i="7"/>
  <c r="P10" i="7"/>
  <c r="H12" i="7"/>
  <c r="I12" i="7"/>
  <c r="K12" i="7"/>
  <c r="L12" i="7"/>
  <c r="M12" i="7"/>
  <c r="N12" i="7"/>
  <c r="O12" i="7"/>
  <c r="P12" i="7"/>
  <c r="H13" i="7"/>
  <c r="I13" i="7"/>
  <c r="K13" i="7"/>
  <c r="L13" i="7"/>
  <c r="M13" i="7"/>
  <c r="N13" i="7"/>
  <c r="O13" i="7"/>
  <c r="P13" i="7"/>
  <c r="H14" i="7"/>
  <c r="I14" i="7"/>
  <c r="K14" i="7"/>
  <c r="L14" i="7"/>
  <c r="M14" i="7"/>
  <c r="N14" i="7"/>
  <c r="O14" i="7"/>
  <c r="P14" i="7"/>
  <c r="H15" i="7"/>
  <c r="I15" i="7"/>
  <c r="K15" i="7"/>
  <c r="L15" i="7"/>
  <c r="M15" i="7"/>
  <c r="N15" i="7"/>
  <c r="O15" i="7"/>
  <c r="P15" i="7"/>
  <c r="H16" i="7"/>
  <c r="I16" i="7"/>
  <c r="K16" i="7"/>
  <c r="L16" i="7"/>
  <c r="M16" i="7"/>
  <c r="N16" i="7"/>
  <c r="O16" i="7"/>
  <c r="P16" i="7"/>
  <c r="H18" i="7"/>
  <c r="I18" i="7"/>
  <c r="K18" i="7"/>
  <c r="L18" i="7"/>
  <c r="M18" i="7"/>
  <c r="N18" i="7"/>
  <c r="O18" i="7"/>
  <c r="P18" i="7"/>
  <c r="H19" i="7"/>
  <c r="I19" i="7"/>
  <c r="K19" i="7"/>
  <c r="L19" i="7"/>
  <c r="M19" i="7"/>
  <c r="N19" i="7"/>
  <c r="O19" i="7"/>
  <c r="P19" i="7"/>
  <c r="H20" i="7"/>
  <c r="I20" i="7"/>
  <c r="K20" i="7"/>
  <c r="L20" i="7"/>
  <c r="M20" i="7"/>
  <c r="N20" i="7"/>
  <c r="O20" i="7"/>
  <c r="P20" i="7"/>
  <c r="H21" i="7"/>
  <c r="I21" i="7"/>
  <c r="K21" i="7"/>
  <c r="L21" i="7"/>
  <c r="M21" i="7"/>
  <c r="N21" i="7"/>
  <c r="O21" i="7"/>
  <c r="P21" i="7"/>
  <c r="H22" i="7"/>
  <c r="I22" i="7"/>
  <c r="K22" i="7"/>
  <c r="L22" i="7"/>
  <c r="M22" i="7"/>
  <c r="N22" i="7"/>
  <c r="O22" i="7"/>
  <c r="P22" i="7"/>
  <c r="H23" i="7"/>
  <c r="I23" i="7"/>
  <c r="K23" i="7"/>
  <c r="L23" i="7"/>
  <c r="M23" i="7"/>
  <c r="N23" i="7"/>
  <c r="O23" i="7"/>
  <c r="P23" i="7"/>
  <c r="H24" i="7"/>
  <c r="I24" i="7"/>
  <c r="K24" i="7"/>
  <c r="L24" i="7"/>
  <c r="M24" i="7"/>
  <c r="N24" i="7"/>
  <c r="O24" i="7"/>
  <c r="P24" i="7"/>
  <c r="H25" i="7"/>
  <c r="I25" i="7"/>
  <c r="K25" i="7"/>
  <c r="L25" i="7"/>
  <c r="M25" i="7"/>
  <c r="N25" i="7"/>
  <c r="O25" i="7"/>
  <c r="P25" i="7"/>
  <c r="P3" i="7"/>
  <c r="O3" i="7"/>
  <c r="N3" i="7"/>
  <c r="M3" i="7"/>
  <c r="L3" i="7"/>
  <c r="K3" i="7"/>
  <c r="I3" i="7"/>
  <c r="H3" i="7"/>
  <c r="D14" i="9"/>
  <c r="A15" i="9"/>
  <c r="Q46" i="7" l="1"/>
  <c r="Q45" i="7"/>
  <c r="Q43" i="7"/>
  <c r="Q42" i="7"/>
  <c r="Q41" i="7"/>
  <c r="Q40" i="7"/>
  <c r="Q39" i="7"/>
  <c r="Q35" i="7"/>
  <c r="Q34" i="7"/>
  <c r="Q33" i="7"/>
  <c r="Q32" i="7"/>
  <c r="Q30" i="7"/>
  <c r="Q24" i="7"/>
  <c r="Q20" i="7"/>
  <c r="Q16" i="7"/>
  <c r="Q13" i="7"/>
  <c r="Q9" i="7"/>
  <c r="Q5" i="7"/>
  <c r="Q21" i="7"/>
  <c r="Q18" i="7"/>
  <c r="Q14" i="7"/>
  <c r="Q10" i="7"/>
  <c r="Q6" i="7"/>
  <c r="Q3" i="7"/>
  <c r="Q12" i="7"/>
  <c r="Q25" i="7"/>
  <c r="Q23" i="7"/>
  <c r="Q22" i="7"/>
  <c r="Q19" i="7"/>
  <c r="Q15" i="7"/>
  <c r="Q8" i="7"/>
  <c r="Q4" i="7"/>
  <c r="Q237" i="3"/>
  <c r="A16" i="9"/>
  <c r="D15" i="9"/>
  <c r="A17" i="9"/>
  <c r="AL8" i="3" l="1"/>
  <c r="AJ8" i="3"/>
  <c r="AI8" i="3"/>
  <c r="J8" i="3" s="1"/>
  <c r="AH8" i="3"/>
  <c r="AG8" i="3"/>
  <c r="AE8" i="3"/>
  <c r="AD8" i="3"/>
  <c r="R8" i="3"/>
  <c r="Q8" i="3"/>
  <c r="P8" i="3"/>
  <c r="L8" i="3"/>
  <c r="K8" i="3"/>
  <c r="D16" i="9"/>
  <c r="A18" i="9"/>
  <c r="D17" i="9"/>
  <c r="AK8" i="3" l="1"/>
  <c r="AL295" i="3"/>
  <c r="AJ295" i="3"/>
  <c r="AI295" i="3"/>
  <c r="AH295" i="3"/>
  <c r="AG295" i="3"/>
  <c r="AE295" i="3"/>
  <c r="AD295" i="3"/>
  <c r="R295" i="3"/>
  <c r="Q295" i="3"/>
  <c r="P295" i="3"/>
  <c r="L295" i="3"/>
  <c r="K295" i="3"/>
  <c r="D18" i="9"/>
  <c r="A19" i="9"/>
  <c r="J295" i="3" l="1"/>
  <c r="AK295" i="3"/>
  <c r="AL298" i="3"/>
  <c r="AJ298" i="3"/>
  <c r="AI298" i="3"/>
  <c r="J298" i="3" s="1"/>
  <c r="AH298" i="3"/>
  <c r="AG298" i="3"/>
  <c r="AE298" i="3"/>
  <c r="AD298" i="3"/>
  <c r="R298" i="3"/>
  <c r="Q298" i="3"/>
  <c r="P298" i="3"/>
  <c r="L298" i="3"/>
  <c r="K298" i="3"/>
  <c r="AL297" i="3"/>
  <c r="AJ297" i="3"/>
  <c r="AI297" i="3"/>
  <c r="AH297" i="3"/>
  <c r="AG297" i="3"/>
  <c r="AE297" i="3"/>
  <c r="AD297" i="3"/>
  <c r="R297" i="3"/>
  <c r="Q297" i="3"/>
  <c r="P297" i="3"/>
  <c r="L297" i="3"/>
  <c r="K297" i="3" s="1"/>
  <c r="AJ294" i="3"/>
  <c r="AI294" i="3"/>
  <c r="R294" i="3"/>
  <c r="Q294" i="3"/>
  <c r="P294" i="3"/>
  <c r="L294" i="3"/>
  <c r="K294" i="3" s="1"/>
  <c r="AG294" i="3"/>
  <c r="AJ296" i="3"/>
  <c r="AI296" i="3"/>
  <c r="AH296" i="3"/>
  <c r="AG296" i="3"/>
  <c r="AC296" i="3" s="1"/>
  <c r="AF296" i="3"/>
  <c r="AE296" i="3"/>
  <c r="L296" i="3"/>
  <c r="K296" i="3" s="1"/>
  <c r="J296" i="3"/>
  <c r="AJ293" i="3"/>
  <c r="AI293" i="3"/>
  <c r="AH293" i="3"/>
  <c r="AG293" i="3"/>
  <c r="AC293" i="3" s="1"/>
  <c r="AF293" i="3"/>
  <c r="AE293" i="3"/>
  <c r="L293" i="3"/>
  <c r="K293" i="3" s="1"/>
  <c r="J293" i="3"/>
  <c r="R191" i="3"/>
  <c r="Q191" i="3"/>
  <c r="P191" i="3"/>
  <c r="L191" i="3"/>
  <c r="K191" i="3" s="1"/>
  <c r="D191" i="3"/>
  <c r="AG191" i="3" s="1"/>
  <c r="AJ190" i="3"/>
  <c r="AI190" i="3"/>
  <c r="AH190" i="3"/>
  <c r="AG190" i="3"/>
  <c r="AC190" i="3" s="1"/>
  <c r="AF190" i="3"/>
  <c r="AE190" i="3"/>
  <c r="L190" i="3"/>
  <c r="K190" i="3" s="1"/>
  <c r="J190" i="3"/>
  <c r="R189" i="3"/>
  <c r="Q189" i="3"/>
  <c r="P189" i="3"/>
  <c r="L189" i="3"/>
  <c r="K189" i="3" s="1"/>
  <c r="D189" i="3"/>
  <c r="AI189" i="3" s="1"/>
  <c r="AJ188" i="3"/>
  <c r="AI188" i="3"/>
  <c r="AH188" i="3"/>
  <c r="AG188" i="3"/>
  <c r="AF188" i="3"/>
  <c r="AE188" i="3"/>
  <c r="L188" i="3"/>
  <c r="K188" i="3" s="1"/>
  <c r="J188" i="3"/>
  <c r="R187" i="3"/>
  <c r="Q187" i="3"/>
  <c r="P187" i="3"/>
  <c r="L187" i="3"/>
  <c r="K187" i="3" s="1"/>
  <c r="D187" i="3"/>
  <c r="AJ187" i="3" s="1"/>
  <c r="AJ186" i="3"/>
  <c r="AI186" i="3"/>
  <c r="AH186" i="3"/>
  <c r="AG186" i="3"/>
  <c r="AC186" i="3" s="1"/>
  <c r="AF186" i="3"/>
  <c r="AE186" i="3"/>
  <c r="L186" i="3"/>
  <c r="K186" i="3" s="1"/>
  <c r="J186" i="3"/>
  <c r="R185" i="3"/>
  <c r="Q185" i="3"/>
  <c r="P185" i="3"/>
  <c r="L185" i="3"/>
  <c r="K185" i="3" s="1"/>
  <c r="D185" i="3"/>
  <c r="AL185" i="3" s="1"/>
  <c r="AJ184" i="3"/>
  <c r="AI184" i="3"/>
  <c r="AH184" i="3"/>
  <c r="AG184" i="3"/>
  <c r="AC184" i="3" s="1"/>
  <c r="AF184" i="3"/>
  <c r="AE184" i="3"/>
  <c r="L184" i="3"/>
  <c r="K184" i="3" s="1"/>
  <c r="J184" i="3"/>
  <c r="R183" i="3"/>
  <c r="Q183" i="3"/>
  <c r="P183" i="3"/>
  <c r="L183" i="3"/>
  <c r="K183" i="3" s="1"/>
  <c r="D183" i="3"/>
  <c r="AL183" i="3" s="1"/>
  <c r="AJ182" i="3"/>
  <c r="AI182" i="3"/>
  <c r="AH182" i="3"/>
  <c r="AG182" i="3"/>
  <c r="AQ182" i="3" s="1"/>
  <c r="AF182" i="3"/>
  <c r="AE182" i="3"/>
  <c r="L182" i="3"/>
  <c r="K182" i="3" s="1"/>
  <c r="J182" i="3"/>
  <c r="R181" i="3"/>
  <c r="Q181" i="3"/>
  <c r="P181" i="3"/>
  <c r="L181" i="3"/>
  <c r="K181" i="3" s="1"/>
  <c r="D181" i="3"/>
  <c r="AE181" i="3" s="1"/>
  <c r="AJ180" i="3"/>
  <c r="AI180" i="3"/>
  <c r="AH180" i="3"/>
  <c r="AG180" i="3"/>
  <c r="AC180" i="3" s="1"/>
  <c r="AF180" i="3"/>
  <c r="AE180" i="3"/>
  <c r="L180" i="3"/>
  <c r="K180" i="3" s="1"/>
  <c r="J180" i="3"/>
  <c r="R179" i="3"/>
  <c r="Q179" i="3"/>
  <c r="P179" i="3"/>
  <c r="L179" i="3"/>
  <c r="K179" i="3" s="1"/>
  <c r="D179" i="3"/>
  <c r="AG179" i="3" s="1"/>
  <c r="AJ178" i="3"/>
  <c r="AI178" i="3"/>
  <c r="AH178" i="3"/>
  <c r="AG178" i="3"/>
  <c r="AC178" i="3" s="1"/>
  <c r="AF178" i="3"/>
  <c r="AE178" i="3"/>
  <c r="L178" i="3"/>
  <c r="K178" i="3" s="1"/>
  <c r="J178" i="3"/>
  <c r="R177" i="3"/>
  <c r="Q177" i="3"/>
  <c r="P177" i="3"/>
  <c r="L177" i="3"/>
  <c r="K177" i="3" s="1"/>
  <c r="D177" i="3"/>
  <c r="AI177" i="3" s="1"/>
  <c r="AJ176" i="3"/>
  <c r="AI176" i="3"/>
  <c r="AH176" i="3"/>
  <c r="AG176" i="3"/>
  <c r="AC176" i="3" s="1"/>
  <c r="AF176" i="3"/>
  <c r="AE176" i="3"/>
  <c r="L176" i="3"/>
  <c r="K176" i="3" s="1"/>
  <c r="J176" i="3"/>
  <c r="R175" i="3"/>
  <c r="Q175" i="3"/>
  <c r="P175" i="3"/>
  <c r="L175" i="3"/>
  <c r="K175" i="3" s="1"/>
  <c r="D175" i="3"/>
  <c r="AJ175" i="3" s="1"/>
  <c r="AJ174" i="3"/>
  <c r="AI174" i="3"/>
  <c r="AH174" i="3"/>
  <c r="AG174" i="3"/>
  <c r="AC174" i="3" s="1"/>
  <c r="AF174" i="3"/>
  <c r="AE174" i="3"/>
  <c r="L174" i="3"/>
  <c r="K174" i="3" s="1"/>
  <c r="J174" i="3"/>
  <c r="R173" i="3"/>
  <c r="Q173" i="3"/>
  <c r="P173" i="3"/>
  <c r="L173" i="3"/>
  <c r="K173" i="3" s="1"/>
  <c r="D173" i="3"/>
  <c r="AL173" i="3" s="1"/>
  <c r="AJ172" i="3"/>
  <c r="AI172" i="3"/>
  <c r="AH172" i="3"/>
  <c r="AG172" i="3"/>
  <c r="AC172" i="3" s="1"/>
  <c r="AF172" i="3"/>
  <c r="AE172" i="3"/>
  <c r="L172" i="3"/>
  <c r="K172" i="3" s="1"/>
  <c r="J172" i="3"/>
  <c r="R171" i="3"/>
  <c r="Q171" i="3"/>
  <c r="P171" i="3"/>
  <c r="L171" i="3"/>
  <c r="K171" i="3" s="1"/>
  <c r="D171" i="3"/>
  <c r="AL171" i="3" s="1"/>
  <c r="AJ170" i="3"/>
  <c r="AI170" i="3"/>
  <c r="AH170" i="3"/>
  <c r="AG170" i="3"/>
  <c r="AQ170" i="3" s="1"/>
  <c r="AF170" i="3"/>
  <c r="AE170" i="3"/>
  <c r="L170" i="3"/>
  <c r="K170" i="3" s="1"/>
  <c r="J170" i="3"/>
  <c r="D19" i="9"/>
  <c r="A20" i="9"/>
  <c r="AS188" i="3" l="1"/>
  <c r="AL179" i="3"/>
  <c r="AD171" i="3"/>
  <c r="J294" i="3"/>
  <c r="AQ180" i="3"/>
  <c r="J297" i="3"/>
  <c r="AK298" i="3"/>
  <c r="AK297" i="3"/>
  <c r="AQ293" i="3"/>
  <c r="AD294" i="3"/>
  <c r="AH294" i="3"/>
  <c r="AK294" i="3" s="1"/>
  <c r="AL294" i="3"/>
  <c r="AE294" i="3"/>
  <c r="AS293" i="3"/>
  <c r="AS296" i="3"/>
  <c r="AQ296" i="3"/>
  <c r="AG183" i="3"/>
  <c r="AL177" i="3"/>
  <c r="AH179" i="3"/>
  <c r="AQ172" i="3"/>
  <c r="AJ179" i="3"/>
  <c r="AD187" i="3"/>
  <c r="AE187" i="3"/>
  <c r="AS186" i="3"/>
  <c r="AJ189" i="3"/>
  <c r="J189" i="3" s="1"/>
  <c r="AQ184" i="3"/>
  <c r="AL189" i="3"/>
  <c r="AJ177" i="3"/>
  <c r="J177" i="3" s="1"/>
  <c r="AD183" i="3"/>
  <c r="AI179" i="3"/>
  <c r="AH187" i="3"/>
  <c r="AK187" i="3" s="1"/>
  <c r="AS176" i="3"/>
  <c r="AS174" i="3"/>
  <c r="AD175" i="3"/>
  <c r="AI187" i="3"/>
  <c r="J187" i="3" s="1"/>
  <c r="AQ188" i="3"/>
  <c r="AD191" i="3"/>
  <c r="AE175" i="3"/>
  <c r="AL187" i="3"/>
  <c r="AS190" i="3"/>
  <c r="AE191" i="3"/>
  <c r="AE185" i="3"/>
  <c r="AQ186" i="3"/>
  <c r="AH191" i="3"/>
  <c r="AI191" i="3"/>
  <c r="AI175" i="3"/>
  <c r="AQ176" i="3"/>
  <c r="AD173" i="3"/>
  <c r="AL175" i="3"/>
  <c r="AD179" i="3"/>
  <c r="AC188" i="3"/>
  <c r="AJ191" i="3"/>
  <c r="AH175" i="3"/>
  <c r="AK175" i="3" s="1"/>
  <c r="AE173" i="3"/>
  <c r="AQ174" i="3"/>
  <c r="AS178" i="3"/>
  <c r="AE179" i="3"/>
  <c r="AS180" i="3"/>
  <c r="AL191" i="3"/>
  <c r="J175" i="3"/>
  <c r="AG181" i="3"/>
  <c r="AE183" i="3"/>
  <c r="AH181" i="3"/>
  <c r="AS184" i="3"/>
  <c r="AD185" i="3"/>
  <c r="AG171" i="3"/>
  <c r="AJ181" i="3"/>
  <c r="AH183" i="3"/>
  <c r="AE171" i="3"/>
  <c r="AH171" i="3"/>
  <c r="AI171" i="3"/>
  <c r="AI183" i="3"/>
  <c r="AG185" i="3"/>
  <c r="AS170" i="3"/>
  <c r="AI181" i="3"/>
  <c r="AG173" i="3"/>
  <c r="AD177" i="3"/>
  <c r="AQ178" i="3"/>
  <c r="AL181" i="3"/>
  <c r="AJ183" i="3"/>
  <c r="AH185" i="3"/>
  <c r="AD189" i="3"/>
  <c r="AQ190" i="3"/>
  <c r="AJ171" i="3"/>
  <c r="AH173" i="3"/>
  <c r="AI173" i="3"/>
  <c r="AG175" i="3"/>
  <c r="AE177" i="3"/>
  <c r="AI185" i="3"/>
  <c r="AG187" i="3"/>
  <c r="AE189" i="3"/>
  <c r="AS182" i="3"/>
  <c r="AC182" i="3"/>
  <c r="AJ185" i="3"/>
  <c r="AS172" i="3"/>
  <c r="AG189" i="3"/>
  <c r="AC170" i="3"/>
  <c r="AJ173" i="3"/>
  <c r="AH177" i="3"/>
  <c r="AD181" i="3"/>
  <c r="AH189" i="3"/>
  <c r="AG177" i="3"/>
  <c r="A21" i="9"/>
  <c r="AS179" i="3"/>
  <c r="AS183" i="3"/>
  <c r="AS191" i="3"/>
  <c r="AS294" i="3"/>
  <c r="D20" i="9"/>
  <c r="AS297" i="3"/>
  <c r="J179" i="3" l="1"/>
  <c r="AK191" i="3"/>
  <c r="AK179" i="3"/>
  <c r="J173" i="3"/>
  <c r="J183" i="3"/>
  <c r="J185" i="3"/>
  <c r="J191" i="3"/>
  <c r="J181" i="3"/>
  <c r="J171" i="3"/>
  <c r="AK189" i="3"/>
  <c r="AK173" i="3"/>
  <c r="AK171" i="3"/>
  <c r="AK183" i="3"/>
  <c r="AK177" i="3"/>
  <c r="AK181" i="3"/>
  <c r="AK185" i="3"/>
  <c r="AS185" i="3"/>
  <c r="AS187" i="3"/>
  <c r="AS189" i="3"/>
  <c r="AS175" i="3"/>
  <c r="AS177" i="3"/>
  <c r="AS295" i="3"/>
  <c r="AS173" i="3"/>
  <c r="AS171" i="3"/>
  <c r="A22" i="9"/>
  <c r="D21" i="9"/>
  <c r="AS181" i="3"/>
  <c r="AS298" i="3"/>
  <c r="R318" i="3" l="1"/>
  <c r="Q318" i="3"/>
  <c r="R317" i="3"/>
  <c r="Q317" i="3"/>
  <c r="R316" i="3"/>
  <c r="Q316" i="3"/>
  <c r="R314" i="3"/>
  <c r="Q314" i="3"/>
  <c r="R313" i="3"/>
  <c r="Q313" i="3"/>
  <c r="R311" i="3"/>
  <c r="Q311" i="3"/>
  <c r="R310" i="3"/>
  <c r="Q310" i="3"/>
  <c r="R308" i="3"/>
  <c r="Q308" i="3"/>
  <c r="R306" i="3"/>
  <c r="Q306" i="3"/>
  <c r="R304" i="3"/>
  <c r="Q304" i="3"/>
  <c r="R302" i="3"/>
  <c r="Q302" i="3"/>
  <c r="R300" i="3"/>
  <c r="Q300" i="3"/>
  <c r="R292" i="3"/>
  <c r="Q292" i="3"/>
  <c r="R291" i="3"/>
  <c r="Q291" i="3"/>
  <c r="R289" i="3"/>
  <c r="Q289" i="3"/>
  <c r="R288" i="3"/>
  <c r="Q288" i="3"/>
  <c r="R286" i="3"/>
  <c r="Q286" i="3"/>
  <c r="R285" i="3"/>
  <c r="Q285" i="3"/>
  <c r="R283" i="3"/>
  <c r="Q283" i="3"/>
  <c r="R281" i="3"/>
  <c r="Q281" i="3"/>
  <c r="R279" i="3"/>
  <c r="Q279" i="3"/>
  <c r="R277" i="3"/>
  <c r="Q277" i="3"/>
  <c r="R275" i="3"/>
  <c r="Q275" i="3"/>
  <c r="R273" i="3"/>
  <c r="Q273" i="3"/>
  <c r="R271" i="3"/>
  <c r="Q271" i="3"/>
  <c r="R269" i="3"/>
  <c r="Q269" i="3"/>
  <c r="R267" i="3"/>
  <c r="Q267" i="3"/>
  <c r="R265" i="3"/>
  <c r="Q265" i="3"/>
  <c r="R263" i="3"/>
  <c r="Q263" i="3"/>
  <c r="R261" i="3"/>
  <c r="Q261" i="3"/>
  <c r="R259" i="3"/>
  <c r="Q259" i="3"/>
  <c r="R258" i="3"/>
  <c r="Q258" i="3"/>
  <c r="R257" i="3"/>
  <c r="Q257" i="3"/>
  <c r="R256" i="3"/>
  <c r="Q256" i="3"/>
  <c r="R255" i="3"/>
  <c r="Q255" i="3"/>
  <c r="R254" i="3"/>
  <c r="Q254" i="3"/>
  <c r="R253" i="3"/>
  <c r="Q253" i="3"/>
  <c r="R251" i="3"/>
  <c r="Q251" i="3"/>
  <c r="R250" i="3"/>
  <c r="Q250" i="3"/>
  <c r="R249" i="3"/>
  <c r="Q249" i="3"/>
  <c r="R248" i="3"/>
  <c r="Q248" i="3"/>
  <c r="R247" i="3"/>
  <c r="Q247" i="3"/>
  <c r="R246" i="3"/>
  <c r="Q246" i="3"/>
  <c r="R245" i="3"/>
  <c r="Q245" i="3"/>
  <c r="R243" i="3"/>
  <c r="Q243" i="3"/>
  <c r="R242" i="3"/>
  <c r="Q242" i="3"/>
  <c r="Q238" i="3"/>
  <c r="R237" i="3"/>
  <c r="R235" i="3"/>
  <c r="Q235" i="3"/>
  <c r="R234" i="3"/>
  <c r="Q234" i="3"/>
  <c r="R233" i="3"/>
  <c r="Q233" i="3"/>
  <c r="R232" i="3"/>
  <c r="Q232" i="3"/>
  <c r="R231" i="3"/>
  <c r="Q231" i="3"/>
  <c r="R230" i="3"/>
  <c r="Q230" i="3"/>
  <c r="R229" i="3"/>
  <c r="Q229" i="3"/>
  <c r="R228" i="3"/>
  <c r="Q228" i="3"/>
  <c r="R226" i="3"/>
  <c r="Q226" i="3"/>
  <c r="R225" i="3"/>
  <c r="Q225" i="3"/>
  <c r="R224" i="3"/>
  <c r="Q224" i="3"/>
  <c r="R223" i="3"/>
  <c r="Q223" i="3"/>
  <c r="R222" i="3"/>
  <c r="Q222" i="3"/>
  <c r="R220" i="3"/>
  <c r="Q220" i="3"/>
  <c r="R219" i="3"/>
  <c r="Q219" i="3"/>
  <c r="R218" i="3"/>
  <c r="Q218" i="3"/>
  <c r="R216" i="3"/>
  <c r="Q216" i="3"/>
  <c r="R215" i="3"/>
  <c r="Q215" i="3"/>
  <c r="R214" i="3"/>
  <c r="Q214" i="3"/>
  <c r="R213" i="3"/>
  <c r="Q213" i="3"/>
  <c r="R212" i="3"/>
  <c r="Q212" i="3"/>
  <c r="R210" i="3"/>
  <c r="Q210" i="3"/>
  <c r="R208" i="3"/>
  <c r="Q208" i="3"/>
  <c r="R207" i="3"/>
  <c r="Q207" i="3"/>
  <c r="R205" i="3"/>
  <c r="Q205" i="3"/>
  <c r="R203" i="3"/>
  <c r="Q203" i="3"/>
  <c r="R201" i="3"/>
  <c r="Q201" i="3"/>
  <c r="R199" i="3"/>
  <c r="Q199" i="3"/>
  <c r="R197" i="3"/>
  <c r="Q197" i="3"/>
  <c r="R195" i="3"/>
  <c r="Q195" i="3"/>
  <c r="R193" i="3"/>
  <c r="Q193" i="3"/>
  <c r="R169" i="3"/>
  <c r="Q169" i="3"/>
  <c r="R167" i="3"/>
  <c r="Q167" i="3"/>
  <c r="R165" i="3"/>
  <c r="Q165" i="3"/>
  <c r="R163" i="3"/>
  <c r="Q163" i="3"/>
  <c r="R161" i="3"/>
  <c r="Q161" i="3"/>
  <c r="R159" i="3"/>
  <c r="Q159" i="3"/>
  <c r="R157" i="3"/>
  <c r="Q157" i="3"/>
  <c r="R155" i="3"/>
  <c r="Q155" i="3"/>
  <c r="R153" i="3"/>
  <c r="Q153" i="3"/>
  <c r="R151" i="3"/>
  <c r="Q151" i="3"/>
  <c r="R149" i="3"/>
  <c r="Q149" i="3"/>
  <c r="R147" i="3"/>
  <c r="Q147" i="3"/>
  <c r="R146" i="3"/>
  <c r="Q146" i="3"/>
  <c r="R144" i="3"/>
  <c r="Q144" i="3"/>
  <c r="R143" i="3"/>
  <c r="Q143" i="3"/>
  <c r="R141" i="3"/>
  <c r="Q141" i="3"/>
  <c r="R140" i="3"/>
  <c r="Q140" i="3"/>
  <c r="R139" i="3"/>
  <c r="Q139" i="3"/>
  <c r="R138" i="3"/>
  <c r="Q138" i="3"/>
  <c r="R136" i="3"/>
  <c r="Q136" i="3"/>
  <c r="R135" i="3"/>
  <c r="Q135" i="3"/>
  <c r="R134" i="3"/>
  <c r="Q134" i="3"/>
  <c r="R133" i="3"/>
  <c r="Q133" i="3"/>
  <c r="R131" i="3"/>
  <c r="Q131" i="3"/>
  <c r="R130" i="3"/>
  <c r="Q130" i="3"/>
  <c r="R129" i="3"/>
  <c r="Q129" i="3"/>
  <c r="R127" i="3"/>
  <c r="Q127" i="3"/>
  <c r="R126" i="3"/>
  <c r="Q126" i="3"/>
  <c r="R112" i="3"/>
  <c r="Q112" i="3"/>
  <c r="R110" i="3"/>
  <c r="Q110" i="3"/>
  <c r="R108" i="3"/>
  <c r="Q108" i="3"/>
  <c r="R106" i="3"/>
  <c r="Q106" i="3"/>
  <c r="R104" i="3"/>
  <c r="Q104" i="3"/>
  <c r="R102" i="3"/>
  <c r="Q102" i="3"/>
  <c r="R100" i="3"/>
  <c r="Q100" i="3"/>
  <c r="R98" i="3"/>
  <c r="Q98" i="3"/>
  <c r="R96" i="3"/>
  <c r="Q96" i="3"/>
  <c r="R94" i="3"/>
  <c r="Q94" i="3"/>
  <c r="R92" i="3"/>
  <c r="Q92" i="3"/>
  <c r="R90" i="3"/>
  <c r="Q90" i="3"/>
  <c r="R88" i="3"/>
  <c r="Q88" i="3"/>
  <c r="R86" i="3"/>
  <c r="Q86" i="3"/>
  <c r="R84" i="3"/>
  <c r="Q84" i="3"/>
  <c r="R82" i="3"/>
  <c r="Q82" i="3"/>
  <c r="R81" i="3"/>
  <c r="Q81" i="3"/>
  <c r="R79" i="3"/>
  <c r="Q79" i="3"/>
  <c r="R78" i="3"/>
  <c r="Q78" i="3"/>
  <c r="R77" i="3"/>
  <c r="Q77" i="3"/>
  <c r="R76" i="3"/>
  <c r="Q76" i="3"/>
  <c r="R75" i="3"/>
  <c r="Q75" i="3"/>
  <c r="R74" i="3"/>
  <c r="Q74" i="3"/>
  <c r="R73" i="3"/>
  <c r="Q73" i="3"/>
  <c r="R72" i="3"/>
  <c r="Q72" i="3"/>
  <c r="R71" i="3"/>
  <c r="Q71" i="3"/>
  <c r="R69" i="3"/>
  <c r="Q69" i="3"/>
  <c r="R68" i="3"/>
  <c r="Q68" i="3"/>
  <c r="R67" i="3"/>
  <c r="Q67" i="3"/>
  <c r="R66" i="3"/>
  <c r="Q66" i="3"/>
  <c r="R65" i="3"/>
  <c r="Q65" i="3"/>
  <c r="R63" i="3"/>
  <c r="Q63" i="3"/>
  <c r="R62" i="3"/>
  <c r="Q62" i="3"/>
  <c r="R61" i="3"/>
  <c r="Q61" i="3"/>
  <c r="R60" i="3"/>
  <c r="Q60" i="3"/>
  <c r="R59" i="3"/>
  <c r="Q59" i="3"/>
  <c r="R58" i="3"/>
  <c r="Q58" i="3"/>
  <c r="R56" i="3"/>
  <c r="Q56" i="3"/>
  <c r="R55" i="3"/>
  <c r="Q55" i="3"/>
  <c r="R54" i="3"/>
  <c r="Q54" i="3"/>
  <c r="R53" i="3"/>
  <c r="Q53" i="3"/>
  <c r="R52" i="3"/>
  <c r="Q52" i="3"/>
  <c r="R50" i="3"/>
  <c r="Q50" i="3"/>
  <c r="R49" i="3"/>
  <c r="Q49" i="3"/>
  <c r="R48" i="3"/>
  <c r="Q48" i="3"/>
  <c r="R47" i="3"/>
  <c r="Q47" i="3"/>
  <c r="R45" i="3"/>
  <c r="Q45" i="3"/>
  <c r="R44" i="3"/>
  <c r="Q44" i="3"/>
  <c r="R43" i="3"/>
  <c r="Q43" i="3"/>
  <c r="R42" i="3"/>
  <c r="Q42" i="3"/>
  <c r="R40" i="3"/>
  <c r="Q40" i="3"/>
  <c r="R39" i="3"/>
  <c r="Q39" i="3"/>
  <c r="R38" i="3"/>
  <c r="Q38" i="3"/>
  <c r="R36" i="3"/>
  <c r="Q36" i="3"/>
  <c r="R35" i="3"/>
  <c r="Q35" i="3"/>
  <c r="R33" i="3"/>
  <c r="Q33" i="3"/>
  <c r="R32" i="3"/>
  <c r="Q32" i="3"/>
  <c r="R31" i="3"/>
  <c r="Q31" i="3"/>
  <c r="R30" i="3"/>
  <c r="Q30" i="3"/>
  <c r="R29" i="3"/>
  <c r="Q29" i="3"/>
  <c r="R28" i="3"/>
  <c r="Q28" i="3"/>
  <c r="R26" i="3"/>
  <c r="Q26" i="3"/>
  <c r="R25" i="3"/>
  <c r="Q25" i="3"/>
  <c r="R24" i="3"/>
  <c r="Q24" i="3"/>
  <c r="R23" i="3"/>
  <c r="Q23" i="3"/>
  <c r="R22" i="3"/>
  <c r="Q22" i="3"/>
  <c r="R21" i="3"/>
  <c r="Q21" i="3"/>
  <c r="R19" i="3"/>
  <c r="Q19" i="3"/>
  <c r="R18" i="3"/>
  <c r="Q18" i="3"/>
  <c r="R17" i="3"/>
  <c r="Q17" i="3"/>
  <c r="R16" i="3"/>
  <c r="Q16" i="3"/>
  <c r="R15" i="3"/>
  <c r="Q15" i="3"/>
  <c r="R14" i="3"/>
  <c r="Q14" i="3"/>
  <c r="R11" i="3"/>
  <c r="Q11" i="3"/>
  <c r="R10" i="3"/>
  <c r="Q10" i="3"/>
  <c r="R9" i="3"/>
  <c r="Q9" i="3"/>
  <c r="R7" i="3"/>
  <c r="Q7" i="3"/>
  <c r="R5" i="3"/>
  <c r="Q5" i="3"/>
  <c r="P318" i="3"/>
  <c r="P317" i="3"/>
  <c r="P316" i="3"/>
  <c r="P314" i="3"/>
  <c r="P313" i="3"/>
  <c r="P311" i="3"/>
  <c r="P310" i="3"/>
  <c r="P308" i="3"/>
  <c r="P306" i="3"/>
  <c r="P304" i="3"/>
  <c r="P302" i="3"/>
  <c r="P300" i="3"/>
  <c r="P292" i="3"/>
  <c r="P291" i="3"/>
  <c r="P289" i="3"/>
  <c r="P288" i="3"/>
  <c r="P286" i="3"/>
  <c r="P285" i="3"/>
  <c r="P283" i="3"/>
  <c r="P281" i="3"/>
  <c r="P279" i="3"/>
  <c r="P277" i="3"/>
  <c r="P275" i="3"/>
  <c r="P273" i="3"/>
  <c r="P271" i="3"/>
  <c r="P269" i="3"/>
  <c r="P267" i="3"/>
  <c r="P265" i="3"/>
  <c r="P263" i="3"/>
  <c r="P261" i="3"/>
  <c r="P259" i="3"/>
  <c r="P258" i="3"/>
  <c r="P257" i="3"/>
  <c r="S257" i="3" s="1"/>
  <c r="U257" i="3" s="1"/>
  <c r="P256" i="3"/>
  <c r="P255" i="3"/>
  <c r="P254" i="3"/>
  <c r="P253" i="3"/>
  <c r="P251" i="3"/>
  <c r="P250" i="3"/>
  <c r="P249" i="3"/>
  <c r="P248" i="3"/>
  <c r="P247" i="3"/>
  <c r="P246" i="3"/>
  <c r="P245" i="3"/>
  <c r="P243" i="3"/>
  <c r="P242" i="3"/>
  <c r="P240" i="3"/>
  <c r="P237" i="3"/>
  <c r="P235" i="3"/>
  <c r="P234" i="3"/>
  <c r="P233" i="3"/>
  <c r="P232" i="3"/>
  <c r="P231" i="3"/>
  <c r="P230" i="3"/>
  <c r="P229" i="3"/>
  <c r="P228" i="3"/>
  <c r="P226" i="3"/>
  <c r="P225" i="3"/>
  <c r="P224" i="3"/>
  <c r="P223" i="3"/>
  <c r="P222" i="3"/>
  <c r="P220" i="3"/>
  <c r="P219" i="3"/>
  <c r="P218" i="3"/>
  <c r="P216" i="3"/>
  <c r="P215" i="3"/>
  <c r="P214" i="3"/>
  <c r="P213" i="3"/>
  <c r="P212" i="3"/>
  <c r="P210" i="3"/>
  <c r="P208" i="3"/>
  <c r="P207" i="3"/>
  <c r="P205" i="3"/>
  <c r="P203" i="3"/>
  <c r="P201" i="3"/>
  <c r="P199" i="3"/>
  <c r="P197" i="3"/>
  <c r="P195" i="3"/>
  <c r="P193" i="3"/>
  <c r="P169" i="3"/>
  <c r="P167" i="3"/>
  <c r="P165" i="3"/>
  <c r="P163" i="3"/>
  <c r="P161" i="3"/>
  <c r="P159" i="3"/>
  <c r="P157" i="3"/>
  <c r="P155" i="3"/>
  <c r="P153" i="3"/>
  <c r="P151" i="3"/>
  <c r="P149" i="3"/>
  <c r="P147" i="3"/>
  <c r="P146" i="3"/>
  <c r="P144" i="3"/>
  <c r="P143" i="3"/>
  <c r="P141" i="3"/>
  <c r="P140" i="3"/>
  <c r="P139" i="3"/>
  <c r="P138" i="3"/>
  <c r="P136" i="3"/>
  <c r="P135" i="3"/>
  <c r="P134" i="3"/>
  <c r="P133" i="3"/>
  <c r="P131" i="3"/>
  <c r="P130" i="3"/>
  <c r="P129" i="3"/>
  <c r="P127" i="3"/>
  <c r="P126" i="3"/>
  <c r="P114" i="3"/>
  <c r="P112" i="3"/>
  <c r="P110" i="3"/>
  <c r="P108" i="3"/>
  <c r="P106" i="3"/>
  <c r="P104" i="3"/>
  <c r="P102" i="3"/>
  <c r="P100" i="3"/>
  <c r="P98" i="3"/>
  <c r="P96" i="3"/>
  <c r="P94" i="3"/>
  <c r="P92" i="3"/>
  <c r="P90" i="3"/>
  <c r="P88" i="3"/>
  <c r="P86" i="3"/>
  <c r="P84" i="3"/>
  <c r="P82" i="3"/>
  <c r="P81" i="3"/>
  <c r="P79" i="3"/>
  <c r="P78" i="3"/>
  <c r="P77" i="3"/>
  <c r="P76" i="3"/>
  <c r="P75" i="3"/>
  <c r="P74" i="3"/>
  <c r="P73" i="3"/>
  <c r="P72" i="3"/>
  <c r="P71" i="3"/>
  <c r="P69" i="3"/>
  <c r="P68" i="3"/>
  <c r="P67" i="3"/>
  <c r="P66" i="3"/>
  <c r="P65" i="3"/>
  <c r="P63" i="3"/>
  <c r="P62" i="3"/>
  <c r="P61" i="3"/>
  <c r="P60" i="3"/>
  <c r="P59" i="3"/>
  <c r="P58" i="3"/>
  <c r="P56" i="3"/>
  <c r="P55" i="3"/>
  <c r="P54" i="3"/>
  <c r="P53" i="3"/>
  <c r="P52" i="3"/>
  <c r="P50" i="3"/>
  <c r="P49" i="3"/>
  <c r="P48" i="3"/>
  <c r="P47" i="3"/>
  <c r="P45" i="3"/>
  <c r="P44" i="3"/>
  <c r="P43" i="3"/>
  <c r="P42" i="3"/>
  <c r="P40" i="3"/>
  <c r="P39" i="3"/>
  <c r="P38" i="3"/>
  <c r="P36" i="3"/>
  <c r="P35" i="3"/>
  <c r="P33" i="3"/>
  <c r="P32" i="3"/>
  <c r="P31" i="3"/>
  <c r="P30" i="3"/>
  <c r="P29" i="3"/>
  <c r="P28" i="3"/>
  <c r="P26" i="3"/>
  <c r="P25" i="3"/>
  <c r="P24" i="3"/>
  <c r="P23" i="3"/>
  <c r="P22" i="3"/>
  <c r="P21" i="3"/>
  <c r="P19" i="3"/>
  <c r="P18" i="3"/>
  <c r="P17" i="3"/>
  <c r="P16" i="3"/>
  <c r="P15" i="3"/>
  <c r="P14" i="3"/>
  <c r="P11" i="3"/>
  <c r="P10" i="3"/>
  <c r="P9" i="3"/>
  <c r="P7" i="3"/>
  <c r="P5" i="3"/>
  <c r="A23" i="9"/>
  <c r="A24" i="9"/>
  <c r="D22" i="9"/>
  <c r="AE238" i="3" l="1"/>
  <c r="D23" i="9"/>
  <c r="A25" i="9"/>
  <c r="AL65" i="3" l="1"/>
  <c r="AJ65" i="3"/>
  <c r="AI65" i="3"/>
  <c r="AH65" i="3"/>
  <c r="AG65" i="3"/>
  <c r="AE65" i="3"/>
  <c r="AD65" i="3"/>
  <c r="L65" i="3"/>
  <c r="K65" i="3"/>
  <c r="AL69" i="3"/>
  <c r="AJ69" i="3"/>
  <c r="AI69" i="3"/>
  <c r="AH69" i="3"/>
  <c r="AG69" i="3"/>
  <c r="AE69" i="3"/>
  <c r="AD69" i="3"/>
  <c r="L69" i="3"/>
  <c r="K69" i="3"/>
  <c r="AL68" i="3"/>
  <c r="AJ68" i="3"/>
  <c r="AI68" i="3"/>
  <c r="AH68" i="3"/>
  <c r="AG68" i="3"/>
  <c r="AE68" i="3"/>
  <c r="AD68" i="3"/>
  <c r="L68" i="3"/>
  <c r="K68" i="3"/>
  <c r="AL67" i="3"/>
  <c r="AJ67" i="3"/>
  <c r="AI67" i="3"/>
  <c r="AH67" i="3"/>
  <c r="AG67" i="3"/>
  <c r="AE67" i="3"/>
  <c r="AD67" i="3"/>
  <c r="L67" i="3"/>
  <c r="K67" i="3"/>
  <c r="AL66" i="3"/>
  <c r="AJ66" i="3"/>
  <c r="AI66" i="3"/>
  <c r="AH66" i="3"/>
  <c r="AG66" i="3"/>
  <c r="AE66" i="3"/>
  <c r="AD66" i="3"/>
  <c r="L66" i="3"/>
  <c r="K66" i="3"/>
  <c r="AJ64" i="3"/>
  <c r="AI64" i="3"/>
  <c r="AH64" i="3"/>
  <c r="AG64" i="3"/>
  <c r="AF64" i="3"/>
  <c r="AE64" i="3"/>
  <c r="L64" i="3"/>
  <c r="K64" i="3"/>
  <c r="J64" i="3"/>
  <c r="A26" i="9"/>
  <c r="D24" i="9"/>
  <c r="J65" i="3" l="1"/>
  <c r="J68" i="3"/>
  <c r="AK65" i="3"/>
  <c r="J66" i="3"/>
  <c r="AS64" i="3"/>
  <c r="J67" i="3"/>
  <c r="J69" i="3"/>
  <c r="AQ64" i="3"/>
  <c r="AK67" i="3"/>
  <c r="AK69" i="3"/>
  <c r="AK68" i="3"/>
  <c r="AK66" i="3"/>
  <c r="AC64" i="3"/>
  <c r="AS65" i="3"/>
  <c r="A27" i="9"/>
  <c r="D25" i="9"/>
  <c r="D306" i="3" l="1"/>
  <c r="D304" i="3"/>
  <c r="D302" i="3"/>
  <c r="D300" i="3"/>
  <c r="D26" i="9"/>
  <c r="AS66" i="3"/>
  <c r="A28" i="9"/>
  <c r="AL75" i="3" l="1"/>
  <c r="AJ75" i="3"/>
  <c r="AI75" i="3"/>
  <c r="AH75" i="3"/>
  <c r="AG75" i="3"/>
  <c r="AE75" i="3"/>
  <c r="AD75" i="3"/>
  <c r="L75" i="3"/>
  <c r="K75" i="3"/>
  <c r="AS67" i="3"/>
  <c r="D27" i="9"/>
  <c r="A29" i="9"/>
  <c r="J75" i="3" l="1"/>
  <c r="AK75" i="3"/>
  <c r="AS68" i="3"/>
  <c r="A30" i="9"/>
  <c r="D28" i="9"/>
  <c r="AL140" i="3" l="1"/>
  <c r="AJ140" i="3"/>
  <c r="AI140" i="3"/>
  <c r="AH140" i="3"/>
  <c r="AG140" i="3"/>
  <c r="AE140" i="3"/>
  <c r="AD140" i="3"/>
  <c r="L140" i="3"/>
  <c r="K140" i="3"/>
  <c r="AL139" i="3"/>
  <c r="AJ139" i="3"/>
  <c r="AI139" i="3"/>
  <c r="J139" i="3" s="1"/>
  <c r="AH139" i="3"/>
  <c r="AG139" i="3"/>
  <c r="AE139" i="3"/>
  <c r="AD139" i="3"/>
  <c r="L139" i="3"/>
  <c r="K139" i="3"/>
  <c r="L136" i="3"/>
  <c r="K136" i="3"/>
  <c r="AG136" i="3"/>
  <c r="L135" i="3"/>
  <c r="K135" i="3"/>
  <c r="AG135" i="3"/>
  <c r="L134" i="3"/>
  <c r="K134" i="3"/>
  <c r="AG134" i="3"/>
  <c r="AL133" i="3"/>
  <c r="AJ133" i="3"/>
  <c r="AI133" i="3"/>
  <c r="AH133" i="3"/>
  <c r="AG133" i="3"/>
  <c r="AE133" i="3"/>
  <c r="AD133" i="3"/>
  <c r="L133" i="3"/>
  <c r="K133" i="3"/>
  <c r="AJ132" i="3"/>
  <c r="AI132" i="3"/>
  <c r="AH132" i="3"/>
  <c r="AG132" i="3"/>
  <c r="AQ132" i="3" s="1"/>
  <c r="AF132" i="3"/>
  <c r="AE132" i="3"/>
  <c r="L132" i="3"/>
  <c r="K132" i="3"/>
  <c r="J132" i="3"/>
  <c r="AS69" i="3"/>
  <c r="D29" i="9"/>
  <c r="A31" i="9"/>
  <c r="J133" i="3" l="1"/>
  <c r="J140" i="3"/>
  <c r="AK139" i="3"/>
  <c r="AK140" i="3"/>
  <c r="AH136" i="3"/>
  <c r="AI136" i="3"/>
  <c r="AL136" i="3"/>
  <c r="AD136" i="3"/>
  <c r="AE136" i="3"/>
  <c r="AJ136" i="3"/>
  <c r="AH135" i="3"/>
  <c r="AJ135" i="3"/>
  <c r="AI135" i="3"/>
  <c r="AL135" i="3"/>
  <c r="AE135" i="3"/>
  <c r="AD135" i="3"/>
  <c r="AI134" i="3"/>
  <c r="AS132" i="3"/>
  <c r="AJ134" i="3"/>
  <c r="AK133" i="3"/>
  <c r="AL134" i="3"/>
  <c r="AH134" i="3"/>
  <c r="AC132" i="3"/>
  <c r="AD134" i="3"/>
  <c r="AE134" i="3"/>
  <c r="D30" i="9"/>
  <c r="A32" i="9"/>
  <c r="AS133" i="3"/>
  <c r="J134" i="3" l="1"/>
  <c r="J135" i="3"/>
  <c r="J136" i="3"/>
  <c r="AK136" i="3"/>
  <c r="AK135" i="3"/>
  <c r="AK134" i="3"/>
  <c r="D31" i="9"/>
  <c r="A33" i="9"/>
  <c r="AS134" i="3"/>
  <c r="AL12" i="3" l="1"/>
  <c r="AJ12" i="3"/>
  <c r="AI12" i="3"/>
  <c r="J12" i="3" s="1"/>
  <c r="AH12" i="3"/>
  <c r="AG12" i="3"/>
  <c r="AE12" i="3"/>
  <c r="AD12" i="3"/>
  <c r="L12" i="3"/>
  <c r="K12" i="3"/>
  <c r="AS135" i="3"/>
  <c r="A34" i="9"/>
  <c r="D32" i="9"/>
  <c r="AK12" i="3" l="1"/>
  <c r="AL238" i="3"/>
  <c r="AJ238" i="3"/>
  <c r="AI238" i="3"/>
  <c r="AH238" i="3"/>
  <c r="AG238" i="3"/>
  <c r="AD238" i="3"/>
  <c r="L238" i="3"/>
  <c r="K238" i="3"/>
  <c r="D33" i="9"/>
  <c r="A35" i="9"/>
  <c r="AS136" i="3"/>
  <c r="J238" i="3" l="1"/>
  <c r="AK238" i="3"/>
  <c r="D34" i="9"/>
  <c r="A36" i="9"/>
  <c r="AL243" i="3" l="1"/>
  <c r="AJ243" i="3"/>
  <c r="AI243" i="3"/>
  <c r="AH243" i="3"/>
  <c r="AG243" i="3"/>
  <c r="AE243" i="3"/>
  <c r="AD243" i="3"/>
  <c r="L243" i="3"/>
  <c r="K243" i="3"/>
  <c r="AL242" i="3"/>
  <c r="AJ242" i="3"/>
  <c r="AI242" i="3"/>
  <c r="AH242" i="3"/>
  <c r="AG242" i="3"/>
  <c r="AE242" i="3"/>
  <c r="AD242" i="3"/>
  <c r="L242" i="3"/>
  <c r="K242" i="3"/>
  <c r="AJ241" i="3"/>
  <c r="AI241" i="3"/>
  <c r="AH241" i="3"/>
  <c r="AG241" i="3"/>
  <c r="AQ241" i="3" s="1"/>
  <c r="AF241" i="3"/>
  <c r="AE241" i="3"/>
  <c r="L241" i="3"/>
  <c r="K241" i="3"/>
  <c r="J241" i="3"/>
  <c r="AL19" i="3"/>
  <c r="AJ19" i="3"/>
  <c r="AI19" i="3"/>
  <c r="AH19" i="3"/>
  <c r="AG19" i="3"/>
  <c r="AE19" i="3"/>
  <c r="AD19" i="3"/>
  <c r="L19" i="3"/>
  <c r="K19" i="3"/>
  <c r="AL9" i="3"/>
  <c r="AJ9" i="3"/>
  <c r="AI9" i="3"/>
  <c r="AH9" i="3"/>
  <c r="AG9" i="3"/>
  <c r="AE9" i="3"/>
  <c r="AD9" i="3"/>
  <c r="L9" i="3"/>
  <c r="K9" i="3"/>
  <c r="D35" i="9"/>
  <c r="A37" i="9"/>
  <c r="J243" i="3" l="1"/>
  <c r="J242" i="3"/>
  <c r="AK242" i="3"/>
  <c r="AS241" i="3"/>
  <c r="AK243" i="3"/>
  <c r="AC241" i="3"/>
  <c r="J19" i="3"/>
  <c r="J9" i="3"/>
  <c r="AK19" i="3"/>
  <c r="AK9" i="3"/>
  <c r="AL237" i="3"/>
  <c r="AJ237" i="3"/>
  <c r="AI237" i="3"/>
  <c r="AH237" i="3"/>
  <c r="AG237" i="3"/>
  <c r="AE237" i="3"/>
  <c r="AD237" i="3"/>
  <c r="L237" i="3"/>
  <c r="K237" i="3" s="1"/>
  <c r="AL228" i="3"/>
  <c r="AJ228" i="3"/>
  <c r="AI228" i="3"/>
  <c r="AH228" i="3"/>
  <c r="AG228" i="3"/>
  <c r="AE228" i="3"/>
  <c r="AD228" i="3"/>
  <c r="L228" i="3"/>
  <c r="K228" i="3"/>
  <c r="AL58" i="3"/>
  <c r="AJ58" i="3"/>
  <c r="AI58" i="3"/>
  <c r="AH58" i="3"/>
  <c r="AG58" i="3"/>
  <c r="AE58" i="3"/>
  <c r="AD58" i="3"/>
  <c r="L58" i="3"/>
  <c r="K58" i="3"/>
  <c r="AL52" i="3"/>
  <c r="AJ52" i="3"/>
  <c r="AI52" i="3"/>
  <c r="AH52" i="3"/>
  <c r="AG52" i="3"/>
  <c r="AE52" i="3"/>
  <c r="AD52" i="3"/>
  <c r="L52" i="3"/>
  <c r="K52" i="3"/>
  <c r="AL35" i="3"/>
  <c r="AJ35" i="3"/>
  <c r="AI35" i="3"/>
  <c r="AH35" i="3"/>
  <c r="AG35" i="3"/>
  <c r="AE35" i="3"/>
  <c r="AD35" i="3"/>
  <c r="L35" i="3"/>
  <c r="K35" i="3"/>
  <c r="AL28" i="3"/>
  <c r="AJ28" i="3"/>
  <c r="AI28" i="3"/>
  <c r="AH28" i="3"/>
  <c r="AG28" i="3"/>
  <c r="AE28" i="3"/>
  <c r="AD28" i="3"/>
  <c r="L28" i="3"/>
  <c r="K28" i="3"/>
  <c r="D36" i="9"/>
  <c r="AS242" i="3"/>
  <c r="A38" i="9"/>
  <c r="A39" i="9" s="1"/>
  <c r="J28" i="3" l="1"/>
  <c r="J58" i="3"/>
  <c r="J237" i="3"/>
  <c r="AK58" i="3"/>
  <c r="J35" i="3"/>
  <c r="J52" i="3"/>
  <c r="AK237" i="3"/>
  <c r="J228" i="3"/>
  <c r="AK228" i="3"/>
  <c r="AK52" i="3"/>
  <c r="AK35" i="3"/>
  <c r="AK28" i="3"/>
  <c r="D37" i="9"/>
  <c r="AS243" i="3"/>
  <c r="A40" i="9"/>
  <c r="AL56" i="3" l="1"/>
  <c r="AJ56" i="3"/>
  <c r="AI56" i="3"/>
  <c r="AH56" i="3"/>
  <c r="AG56" i="3"/>
  <c r="AE56" i="3"/>
  <c r="AD56" i="3"/>
  <c r="L56" i="3"/>
  <c r="K56" i="3"/>
  <c r="AL55" i="3"/>
  <c r="AJ55" i="3"/>
  <c r="AI55" i="3"/>
  <c r="AH55" i="3"/>
  <c r="AG55" i="3"/>
  <c r="AE55" i="3"/>
  <c r="AD55" i="3"/>
  <c r="L55" i="3"/>
  <c r="K55" i="3"/>
  <c r="AL54" i="3"/>
  <c r="AJ54" i="3"/>
  <c r="AI54" i="3"/>
  <c r="AH54" i="3"/>
  <c r="AG54" i="3"/>
  <c r="AE54" i="3"/>
  <c r="AD54" i="3"/>
  <c r="L54" i="3"/>
  <c r="K54" i="3"/>
  <c r="AL53" i="3"/>
  <c r="AJ53" i="3"/>
  <c r="AI53" i="3"/>
  <c r="AH53" i="3"/>
  <c r="AG53" i="3"/>
  <c r="AE53" i="3"/>
  <c r="AD53" i="3"/>
  <c r="L53" i="3"/>
  <c r="K53" i="3"/>
  <c r="AJ51" i="3"/>
  <c r="AI51" i="3"/>
  <c r="AH51" i="3"/>
  <c r="AG51" i="3"/>
  <c r="AC51" i="3" s="1"/>
  <c r="AF51" i="3"/>
  <c r="AE51" i="3"/>
  <c r="L51" i="3"/>
  <c r="K51" i="3"/>
  <c r="J51" i="3"/>
  <c r="AL25" i="3"/>
  <c r="AJ25" i="3"/>
  <c r="AI25" i="3"/>
  <c r="AH25" i="3"/>
  <c r="AG25" i="3"/>
  <c r="AE25" i="3"/>
  <c r="AD25" i="3"/>
  <c r="L25" i="3"/>
  <c r="K25" i="3"/>
  <c r="AL24" i="3"/>
  <c r="AJ24" i="3"/>
  <c r="AI24" i="3"/>
  <c r="AH24" i="3"/>
  <c r="AG24" i="3"/>
  <c r="AE24" i="3"/>
  <c r="AD24" i="3"/>
  <c r="L24" i="3"/>
  <c r="K24" i="3"/>
  <c r="AL23" i="3"/>
  <c r="AJ23" i="3"/>
  <c r="AI23" i="3"/>
  <c r="AH23" i="3"/>
  <c r="AG23" i="3"/>
  <c r="AE23" i="3"/>
  <c r="AD23" i="3"/>
  <c r="L23" i="3"/>
  <c r="K23" i="3"/>
  <c r="AL22" i="3"/>
  <c r="AJ22" i="3"/>
  <c r="AI22" i="3"/>
  <c r="AH22" i="3"/>
  <c r="AG22" i="3"/>
  <c r="AE22" i="3"/>
  <c r="AD22" i="3"/>
  <c r="L22" i="3"/>
  <c r="K22" i="3"/>
  <c r="AL30" i="3"/>
  <c r="AJ30" i="3"/>
  <c r="AI30" i="3"/>
  <c r="AH30" i="3"/>
  <c r="AG30" i="3"/>
  <c r="AE30" i="3"/>
  <c r="AD30" i="3"/>
  <c r="L30" i="3"/>
  <c r="K30" i="3"/>
  <c r="AL29" i="3"/>
  <c r="AJ29" i="3"/>
  <c r="AI29" i="3"/>
  <c r="AH29" i="3"/>
  <c r="AG29" i="3"/>
  <c r="AE29" i="3"/>
  <c r="AD29" i="3"/>
  <c r="L29" i="3"/>
  <c r="K29" i="3"/>
  <c r="AL18" i="3"/>
  <c r="AJ18" i="3"/>
  <c r="AI18" i="3"/>
  <c r="AH18" i="3"/>
  <c r="AG18" i="3"/>
  <c r="AE18" i="3"/>
  <c r="AD18" i="3"/>
  <c r="L18" i="3"/>
  <c r="K18" i="3"/>
  <c r="AL17" i="3"/>
  <c r="AJ17" i="3"/>
  <c r="AI17" i="3"/>
  <c r="AH17" i="3"/>
  <c r="AG17" i="3"/>
  <c r="AE17" i="3"/>
  <c r="AD17" i="3"/>
  <c r="L17" i="3"/>
  <c r="K17" i="3"/>
  <c r="K16" i="3"/>
  <c r="L16" i="3"/>
  <c r="AD16" i="3"/>
  <c r="AE16" i="3"/>
  <c r="AG16" i="3"/>
  <c r="AH16" i="3"/>
  <c r="AI16" i="3"/>
  <c r="AJ16" i="3"/>
  <c r="AL16" i="3"/>
  <c r="A41" i="9"/>
  <c r="D38" i="9"/>
  <c r="J56" i="3" l="1"/>
  <c r="J54" i="3"/>
  <c r="J18" i="3"/>
  <c r="AK17" i="3"/>
  <c r="J53" i="3"/>
  <c r="J23" i="3"/>
  <c r="AK22" i="3"/>
  <c r="J22" i="3"/>
  <c r="J55" i="3"/>
  <c r="J29" i="3"/>
  <c r="J30" i="3"/>
  <c r="J25" i="3"/>
  <c r="AK56" i="3"/>
  <c r="AK53" i="3"/>
  <c r="AK55" i="3"/>
  <c r="AK54" i="3"/>
  <c r="AS51" i="3"/>
  <c r="AQ51" i="3"/>
  <c r="J24" i="3"/>
  <c r="AK25" i="3"/>
  <c r="AK24" i="3"/>
  <c r="AK23" i="3"/>
  <c r="J17" i="3"/>
  <c r="AK29" i="3"/>
  <c r="AK30" i="3"/>
  <c r="AK18" i="3"/>
  <c r="AK16" i="3"/>
  <c r="J16" i="3"/>
  <c r="D39" i="9"/>
  <c r="A42" i="9"/>
  <c r="AS52" i="3"/>
  <c r="AL229" i="3" l="1"/>
  <c r="AJ229" i="3"/>
  <c r="AI229" i="3"/>
  <c r="AH229" i="3"/>
  <c r="AG229" i="3"/>
  <c r="AE229" i="3"/>
  <c r="AD229" i="3"/>
  <c r="L229" i="3"/>
  <c r="K229" i="3"/>
  <c r="AL223" i="3"/>
  <c r="AJ223" i="3"/>
  <c r="AI223" i="3"/>
  <c r="AH223" i="3"/>
  <c r="AG223" i="3"/>
  <c r="AE223" i="3"/>
  <c r="AD223" i="3"/>
  <c r="L223" i="3"/>
  <c r="K223" i="3"/>
  <c r="AS53" i="3"/>
  <c r="A43" i="9"/>
  <c r="D40" i="9"/>
  <c r="J229" i="3" l="1"/>
  <c r="J223" i="3"/>
  <c r="AK229" i="3"/>
  <c r="AK223" i="3"/>
  <c r="A44" i="9"/>
  <c r="AS54" i="3"/>
  <c r="D41" i="9"/>
  <c r="AL239" i="3" l="1"/>
  <c r="AJ239" i="3"/>
  <c r="AI239" i="3"/>
  <c r="AH239" i="3"/>
  <c r="AG239" i="3"/>
  <c r="AE239" i="3"/>
  <c r="AD239" i="3"/>
  <c r="L239" i="3"/>
  <c r="K239" i="3"/>
  <c r="AS55" i="3"/>
  <c r="A45" i="9"/>
  <c r="D42" i="9"/>
  <c r="J239" i="3" l="1"/>
  <c r="AK239" i="3"/>
  <c r="BD104" i="4"/>
  <c r="BD105" i="4"/>
  <c r="BD106" i="4"/>
  <c r="BD107" i="4"/>
  <c r="AL306" i="3"/>
  <c r="AJ306" i="3"/>
  <c r="AI306" i="3"/>
  <c r="AH306" i="3"/>
  <c r="AG306" i="3"/>
  <c r="AE306" i="3"/>
  <c r="AD306" i="3"/>
  <c r="L306" i="3"/>
  <c r="K306" i="3"/>
  <c r="AJ305" i="3"/>
  <c r="AI305" i="3"/>
  <c r="AH305" i="3"/>
  <c r="AG305" i="3"/>
  <c r="AC305" i="3" s="1"/>
  <c r="AF305" i="3"/>
  <c r="AE305" i="3"/>
  <c r="L305" i="3"/>
  <c r="K305" i="3"/>
  <c r="J305" i="3"/>
  <c r="L124" i="3"/>
  <c r="K124" i="3" s="1"/>
  <c r="D124" i="3"/>
  <c r="AG124" i="3" s="1"/>
  <c r="AJ123" i="3"/>
  <c r="AI123" i="3"/>
  <c r="AH123" i="3"/>
  <c r="AG123" i="3"/>
  <c r="AF123" i="3"/>
  <c r="AE123" i="3"/>
  <c r="L123" i="3"/>
  <c r="K123" i="3" s="1"/>
  <c r="J123" i="3"/>
  <c r="AS56" i="3"/>
  <c r="D43" i="9"/>
  <c r="A46" i="9"/>
  <c r="J306" i="3" l="1"/>
  <c r="AS305" i="3"/>
  <c r="AK306" i="3"/>
  <c r="AQ305" i="3"/>
  <c r="AS123" i="3"/>
  <c r="AH124" i="3"/>
  <c r="AJ124" i="3"/>
  <c r="AL124" i="3"/>
  <c r="AI124" i="3"/>
  <c r="AE124" i="3"/>
  <c r="AD124" i="3"/>
  <c r="AC123" i="3"/>
  <c r="AQ123" i="3"/>
  <c r="D44" i="9"/>
  <c r="A47" i="9"/>
  <c r="AS124" i="3"/>
  <c r="AS306" i="3"/>
  <c r="J124" i="3" l="1"/>
  <c r="AK124" i="3"/>
  <c r="D45" i="9"/>
  <c r="A48" i="9"/>
  <c r="AL304" i="3" l="1"/>
  <c r="AJ304" i="3"/>
  <c r="AI304" i="3"/>
  <c r="AH304" i="3"/>
  <c r="AG304" i="3"/>
  <c r="AE304" i="3"/>
  <c r="AD304" i="3"/>
  <c r="L304" i="3"/>
  <c r="K304" i="3"/>
  <c r="AL302" i="3"/>
  <c r="AJ302" i="3"/>
  <c r="AI302" i="3"/>
  <c r="AH302" i="3"/>
  <c r="AG302" i="3"/>
  <c r="AE302" i="3"/>
  <c r="AD302" i="3"/>
  <c r="L302" i="3"/>
  <c r="K302" i="3"/>
  <c r="AL300" i="3"/>
  <c r="AJ300" i="3"/>
  <c r="AI300" i="3"/>
  <c r="AH300" i="3"/>
  <c r="AG300" i="3"/>
  <c r="AE300" i="3"/>
  <c r="AD300" i="3"/>
  <c r="L300" i="3"/>
  <c r="K300" i="3"/>
  <c r="AJ303" i="3"/>
  <c r="AI303" i="3"/>
  <c r="AH303" i="3"/>
  <c r="AG303" i="3"/>
  <c r="AF303" i="3"/>
  <c r="AE303" i="3"/>
  <c r="L303" i="3"/>
  <c r="K303" i="3"/>
  <c r="J303" i="3"/>
  <c r="AJ301" i="3"/>
  <c r="AI301" i="3"/>
  <c r="AH301" i="3"/>
  <c r="AG301" i="3"/>
  <c r="AQ301" i="3" s="1"/>
  <c r="AF301" i="3"/>
  <c r="AE301" i="3"/>
  <c r="L301" i="3"/>
  <c r="K301" i="3"/>
  <c r="J301" i="3"/>
  <c r="A49" i="9"/>
  <c r="D46" i="9"/>
  <c r="J304" i="3" l="1"/>
  <c r="J300" i="3"/>
  <c r="J302" i="3"/>
  <c r="AK302" i="3"/>
  <c r="AK300" i="3"/>
  <c r="AK304" i="3"/>
  <c r="AS303" i="3"/>
  <c r="AS301" i="3"/>
  <c r="AC303" i="3"/>
  <c r="AQ303" i="3"/>
  <c r="AC301" i="3"/>
  <c r="AJ299" i="3"/>
  <c r="AI299" i="3"/>
  <c r="AH299" i="3"/>
  <c r="AG299" i="3"/>
  <c r="AF299" i="3"/>
  <c r="AE299" i="3"/>
  <c r="L299" i="3"/>
  <c r="K299" i="3"/>
  <c r="J299" i="3"/>
  <c r="J307" i="3"/>
  <c r="K307" i="3"/>
  <c r="L307" i="3"/>
  <c r="AE307" i="3"/>
  <c r="AF307" i="3"/>
  <c r="AG307" i="3"/>
  <c r="AH307" i="3"/>
  <c r="AI307" i="3"/>
  <c r="AJ307" i="3"/>
  <c r="AL307" i="3"/>
  <c r="AL59" i="3"/>
  <c r="AJ59" i="3"/>
  <c r="AI59" i="3"/>
  <c r="AH59" i="3"/>
  <c r="AG59" i="3"/>
  <c r="AE59" i="3"/>
  <c r="AD59" i="3"/>
  <c r="L59" i="3"/>
  <c r="K59" i="3"/>
  <c r="AL72" i="3"/>
  <c r="AJ72" i="3"/>
  <c r="AI72" i="3"/>
  <c r="AH72" i="3"/>
  <c r="AG72" i="3"/>
  <c r="AE72" i="3"/>
  <c r="AD72" i="3"/>
  <c r="L72" i="3"/>
  <c r="K72" i="3"/>
  <c r="AL74" i="3"/>
  <c r="AJ74" i="3"/>
  <c r="AI74" i="3"/>
  <c r="AH74" i="3"/>
  <c r="AG74" i="3"/>
  <c r="AE74" i="3"/>
  <c r="AD74" i="3"/>
  <c r="L74" i="3"/>
  <c r="K74" i="3"/>
  <c r="AL73" i="3"/>
  <c r="AJ73" i="3"/>
  <c r="AI73" i="3"/>
  <c r="AH73" i="3"/>
  <c r="AG73" i="3"/>
  <c r="AE73" i="3"/>
  <c r="AD73" i="3"/>
  <c r="L73" i="3"/>
  <c r="K73" i="3"/>
  <c r="AL71" i="3"/>
  <c r="AJ71" i="3"/>
  <c r="AI71" i="3"/>
  <c r="AH71" i="3"/>
  <c r="AG71" i="3"/>
  <c r="AE71" i="3"/>
  <c r="AD71" i="3"/>
  <c r="L71" i="3"/>
  <c r="K71" i="3"/>
  <c r="AL79" i="3"/>
  <c r="AJ79" i="3"/>
  <c r="AI79" i="3"/>
  <c r="AH79" i="3"/>
  <c r="AG79" i="3"/>
  <c r="AE79" i="3"/>
  <c r="AD79" i="3"/>
  <c r="L79" i="3"/>
  <c r="K79" i="3"/>
  <c r="AL78" i="3"/>
  <c r="AJ78" i="3"/>
  <c r="AI78" i="3"/>
  <c r="AH78" i="3"/>
  <c r="AG78" i="3"/>
  <c r="AE78" i="3"/>
  <c r="AD78" i="3"/>
  <c r="L78" i="3"/>
  <c r="K78" i="3"/>
  <c r="AL77" i="3"/>
  <c r="AJ77" i="3"/>
  <c r="AI77" i="3"/>
  <c r="AH77" i="3"/>
  <c r="AG77" i="3"/>
  <c r="AE77" i="3"/>
  <c r="AD77" i="3"/>
  <c r="L77" i="3"/>
  <c r="K77" i="3"/>
  <c r="AL76" i="3"/>
  <c r="AJ76" i="3"/>
  <c r="AI76" i="3"/>
  <c r="AH76" i="3"/>
  <c r="AG76" i="3"/>
  <c r="AE76" i="3"/>
  <c r="AD76" i="3"/>
  <c r="L76" i="3"/>
  <c r="K76" i="3"/>
  <c r="AJ70" i="3"/>
  <c r="AI70" i="3"/>
  <c r="AH70" i="3"/>
  <c r="AG70" i="3"/>
  <c r="AF70" i="3"/>
  <c r="AE70" i="3"/>
  <c r="L70" i="3"/>
  <c r="K70" i="3"/>
  <c r="J70" i="3"/>
  <c r="AS304" i="3"/>
  <c r="D47" i="9"/>
  <c r="A50" i="9"/>
  <c r="AS302" i="3"/>
  <c r="AQ299" i="3" l="1"/>
  <c r="J79" i="3"/>
  <c r="J72" i="3"/>
  <c r="AQ307" i="3"/>
  <c r="AC299" i="3"/>
  <c r="AS299" i="3"/>
  <c r="J77" i="3"/>
  <c r="J73" i="3"/>
  <c r="AS307" i="3"/>
  <c r="AC307" i="3"/>
  <c r="AK72" i="3"/>
  <c r="AK59" i="3"/>
  <c r="J59" i="3"/>
  <c r="AK73" i="3"/>
  <c r="J74" i="3"/>
  <c r="AK74" i="3"/>
  <c r="J71" i="3"/>
  <c r="AK71" i="3"/>
  <c r="J76" i="3"/>
  <c r="AK78" i="3"/>
  <c r="J78" i="3"/>
  <c r="AK77" i="3"/>
  <c r="AK79" i="3"/>
  <c r="AK76" i="3"/>
  <c r="AS70" i="3"/>
  <c r="AC70" i="3"/>
  <c r="AQ70" i="3"/>
  <c r="AS300" i="3"/>
  <c r="D48" i="9"/>
  <c r="A51" i="9"/>
  <c r="AS71" i="3"/>
  <c r="AL224" i="3" l="1"/>
  <c r="AJ224" i="3"/>
  <c r="AI224" i="3"/>
  <c r="AH224" i="3"/>
  <c r="AG224" i="3"/>
  <c r="AE224" i="3"/>
  <c r="AD224" i="3"/>
  <c r="L224" i="3"/>
  <c r="K224" i="3"/>
  <c r="A52" i="9"/>
  <c r="D49" i="9"/>
  <c r="J224" i="3" l="1"/>
  <c r="AK224" i="3"/>
  <c r="AL225" i="3"/>
  <c r="AJ225" i="3"/>
  <c r="AI225" i="3"/>
  <c r="AH225" i="3"/>
  <c r="AG225" i="3"/>
  <c r="AE225" i="3"/>
  <c r="AD225" i="3"/>
  <c r="L225" i="3"/>
  <c r="K225" i="3"/>
  <c r="D50" i="9"/>
  <c r="AS72" i="3"/>
  <c r="A53" i="9"/>
  <c r="J225" i="3" l="1"/>
  <c r="AK225" i="3"/>
  <c r="D51" i="9"/>
  <c r="AS73" i="3"/>
  <c r="A54" i="9"/>
  <c r="AL213" i="3" l="1"/>
  <c r="AJ213" i="3"/>
  <c r="AI213" i="3"/>
  <c r="AH213" i="3"/>
  <c r="AG213" i="3"/>
  <c r="AE213" i="3"/>
  <c r="AD213" i="3"/>
  <c r="L213" i="3"/>
  <c r="K213" i="3"/>
  <c r="AS74" i="3"/>
  <c r="D52" i="9"/>
  <c r="A55" i="9"/>
  <c r="J213" i="3" l="1"/>
  <c r="AK213" i="3"/>
  <c r="D53" i="9"/>
  <c r="A56" i="9"/>
  <c r="AS75" i="3"/>
  <c r="AL147" i="3" l="1"/>
  <c r="AJ147" i="3"/>
  <c r="AI147" i="3"/>
  <c r="AH147" i="3"/>
  <c r="AG147" i="3"/>
  <c r="AE147" i="3"/>
  <c r="AD147" i="3"/>
  <c r="L147" i="3"/>
  <c r="K147" i="3"/>
  <c r="AL146" i="3"/>
  <c r="AJ146" i="3"/>
  <c r="AI146" i="3"/>
  <c r="AH146" i="3"/>
  <c r="AG146" i="3"/>
  <c r="AE146" i="3"/>
  <c r="AD146" i="3"/>
  <c r="L146" i="3"/>
  <c r="K146" i="3"/>
  <c r="AJ145" i="3"/>
  <c r="AI145" i="3"/>
  <c r="AH145" i="3"/>
  <c r="AG145" i="3"/>
  <c r="AQ145" i="3" s="1"/>
  <c r="AF145" i="3"/>
  <c r="AE145" i="3"/>
  <c r="L145" i="3"/>
  <c r="K145" i="3"/>
  <c r="J145" i="3"/>
  <c r="AL144" i="3"/>
  <c r="AJ144" i="3"/>
  <c r="AI144" i="3"/>
  <c r="AH144" i="3"/>
  <c r="AG144" i="3"/>
  <c r="AE144" i="3"/>
  <c r="AD144" i="3"/>
  <c r="L144" i="3"/>
  <c r="K144" i="3"/>
  <c r="A57" i="9"/>
  <c r="D54" i="9"/>
  <c r="AS76" i="3"/>
  <c r="J147" i="3" l="1"/>
  <c r="J144" i="3"/>
  <c r="AK146" i="3"/>
  <c r="J146" i="3"/>
  <c r="AK144" i="3"/>
  <c r="AK147" i="3"/>
  <c r="AS145" i="3"/>
  <c r="AC145" i="3"/>
  <c r="AL143" i="3"/>
  <c r="AJ143" i="3"/>
  <c r="AI143" i="3"/>
  <c r="J143" i="3" s="1"/>
  <c r="AH143" i="3"/>
  <c r="AG143" i="3"/>
  <c r="AE143" i="3"/>
  <c r="AD143" i="3"/>
  <c r="L143" i="3"/>
  <c r="K143" i="3"/>
  <c r="AJ142" i="3"/>
  <c r="AI142" i="3"/>
  <c r="AH142" i="3"/>
  <c r="AG142" i="3"/>
  <c r="AF142" i="3"/>
  <c r="AE142" i="3"/>
  <c r="L142" i="3"/>
  <c r="K142" i="3"/>
  <c r="J142" i="3"/>
  <c r="A58" i="9"/>
  <c r="AS77" i="3"/>
  <c r="AS146" i="3"/>
  <c r="D55" i="9"/>
  <c r="AK143" i="3" l="1"/>
  <c r="AS142" i="3"/>
  <c r="AC142" i="3"/>
  <c r="AQ142" i="3"/>
  <c r="AS147" i="3"/>
  <c r="AS143" i="3"/>
  <c r="A59" i="9"/>
  <c r="AS78" i="3"/>
  <c r="D56" i="9"/>
  <c r="AL38" i="3" l="1"/>
  <c r="AJ38" i="3"/>
  <c r="AI38" i="3"/>
  <c r="AH38" i="3"/>
  <c r="AG38" i="3"/>
  <c r="AE38" i="3"/>
  <c r="AD38" i="3"/>
  <c r="L38" i="3"/>
  <c r="K38" i="3"/>
  <c r="A60" i="9"/>
  <c r="AS144" i="3"/>
  <c r="AS79" i="3"/>
  <c r="D57" i="9"/>
  <c r="J38" i="3" l="1"/>
  <c r="AK38" i="3"/>
  <c r="A61" i="9"/>
  <c r="D58" i="9"/>
  <c r="L81" i="3" l="1"/>
  <c r="L82" i="3"/>
  <c r="L83" i="3"/>
  <c r="L84" i="3"/>
  <c r="AL82" i="3"/>
  <c r="AJ82" i="3"/>
  <c r="AI82" i="3"/>
  <c r="AH82" i="3"/>
  <c r="AG82" i="3"/>
  <c r="AE82" i="3"/>
  <c r="AD82" i="3"/>
  <c r="K82" i="3"/>
  <c r="AL81" i="3"/>
  <c r="AJ81" i="3"/>
  <c r="AI81" i="3"/>
  <c r="AH81" i="3"/>
  <c r="AG81" i="3"/>
  <c r="AE81" i="3"/>
  <c r="AD81" i="3"/>
  <c r="K81" i="3"/>
  <c r="AJ80" i="3"/>
  <c r="AI80" i="3"/>
  <c r="AH80" i="3"/>
  <c r="AG80" i="3"/>
  <c r="AF80" i="3"/>
  <c r="AE80" i="3"/>
  <c r="L80" i="3"/>
  <c r="K80" i="3" s="1"/>
  <c r="J80" i="3"/>
  <c r="AL47" i="3"/>
  <c r="AJ47" i="3"/>
  <c r="AI47" i="3"/>
  <c r="AH47" i="3"/>
  <c r="AG47" i="3"/>
  <c r="AE47" i="3"/>
  <c r="AD47" i="3"/>
  <c r="L47" i="3"/>
  <c r="K47" i="3"/>
  <c r="AL48" i="3"/>
  <c r="AJ48" i="3"/>
  <c r="AI48" i="3"/>
  <c r="AH48" i="3"/>
  <c r="AG48" i="3"/>
  <c r="AE48" i="3"/>
  <c r="AD48" i="3"/>
  <c r="L48" i="3"/>
  <c r="K48" i="3"/>
  <c r="AL49" i="3"/>
  <c r="AJ49" i="3"/>
  <c r="AI49" i="3"/>
  <c r="AH49" i="3"/>
  <c r="AG49" i="3"/>
  <c r="AE49" i="3"/>
  <c r="AD49" i="3"/>
  <c r="L49" i="3"/>
  <c r="K49" i="3"/>
  <c r="AL50" i="3"/>
  <c r="AJ50" i="3"/>
  <c r="AI50" i="3"/>
  <c r="AH50" i="3"/>
  <c r="AG50" i="3"/>
  <c r="AE50" i="3"/>
  <c r="AD50" i="3"/>
  <c r="L50" i="3"/>
  <c r="K50" i="3"/>
  <c r="AJ46" i="3"/>
  <c r="AI46" i="3"/>
  <c r="AH46" i="3"/>
  <c r="AG46" i="3"/>
  <c r="AQ46" i="3" s="1"/>
  <c r="AF46" i="3"/>
  <c r="AE46" i="3"/>
  <c r="L46" i="3"/>
  <c r="K46" i="3"/>
  <c r="J46" i="3"/>
  <c r="AL240" i="3"/>
  <c r="AJ240" i="3"/>
  <c r="AI240" i="3"/>
  <c r="AH240" i="3"/>
  <c r="AG240" i="3"/>
  <c r="AE240" i="3"/>
  <c r="AD240" i="3"/>
  <c r="L240" i="3"/>
  <c r="K240" i="3"/>
  <c r="D59" i="9"/>
  <c r="A62" i="9"/>
  <c r="J81" i="3" l="1"/>
  <c r="J50" i="3"/>
  <c r="J48" i="3"/>
  <c r="J47" i="3"/>
  <c r="J82" i="3"/>
  <c r="AS80" i="3"/>
  <c r="AK82" i="3"/>
  <c r="AK81" i="3"/>
  <c r="AC80" i="3"/>
  <c r="AQ80" i="3"/>
  <c r="J240" i="3"/>
  <c r="AK48" i="3"/>
  <c r="AK47" i="3"/>
  <c r="AK49" i="3"/>
  <c r="J49" i="3"/>
  <c r="AK50" i="3"/>
  <c r="AK240" i="3"/>
  <c r="AS46" i="3"/>
  <c r="AC46" i="3"/>
  <c r="A63" i="9"/>
  <c r="AS47" i="3"/>
  <c r="AS81" i="3"/>
  <c r="D60" i="9"/>
  <c r="AJ236" i="3" l="1"/>
  <c r="AI236" i="3"/>
  <c r="AH236" i="3"/>
  <c r="AG236" i="3"/>
  <c r="AF236" i="3"/>
  <c r="AE236" i="3"/>
  <c r="L236" i="3"/>
  <c r="K236" i="3"/>
  <c r="J236" i="3"/>
  <c r="AS48" i="3"/>
  <c r="A64" i="9"/>
  <c r="D61" i="9"/>
  <c r="AS82" i="3"/>
  <c r="AS236" i="3" l="1"/>
  <c r="AC236" i="3"/>
  <c r="AQ236" i="3"/>
  <c r="AS237" i="3"/>
  <c r="A65" i="9"/>
  <c r="D62" i="9"/>
  <c r="AS49" i="3"/>
  <c r="AL11" i="3" l="1"/>
  <c r="AJ11" i="3"/>
  <c r="AI11" i="3"/>
  <c r="AH11" i="3"/>
  <c r="AG11" i="3"/>
  <c r="AE11" i="3"/>
  <c r="AD11" i="3"/>
  <c r="L11" i="3"/>
  <c r="K11" i="3"/>
  <c r="AL13" i="3"/>
  <c r="AJ13" i="3"/>
  <c r="AI13" i="3"/>
  <c r="AH13" i="3"/>
  <c r="AG13" i="3"/>
  <c r="AE13" i="3"/>
  <c r="AD13" i="3"/>
  <c r="L13" i="3"/>
  <c r="K13" i="3"/>
  <c r="A66" i="9"/>
  <c r="AS50" i="3"/>
  <c r="AS238" i="3"/>
  <c r="D63" i="9"/>
  <c r="J11" i="3" l="1"/>
  <c r="AK11" i="3"/>
  <c r="J13" i="3"/>
  <c r="AK13" i="3"/>
  <c r="AL26" i="3"/>
  <c r="AJ26" i="3"/>
  <c r="AI26" i="3"/>
  <c r="AH26" i="3"/>
  <c r="AG26" i="3"/>
  <c r="AE26" i="3"/>
  <c r="AD26" i="3"/>
  <c r="L26" i="3"/>
  <c r="K26" i="3"/>
  <c r="AL21" i="3"/>
  <c r="AJ21" i="3"/>
  <c r="AI21" i="3"/>
  <c r="AH21" i="3"/>
  <c r="AG21" i="3"/>
  <c r="AE21" i="3"/>
  <c r="AD21" i="3"/>
  <c r="L21" i="3"/>
  <c r="K21" i="3"/>
  <c r="AL45" i="3"/>
  <c r="AJ45" i="3"/>
  <c r="AI45" i="3"/>
  <c r="AH45" i="3"/>
  <c r="AG45" i="3"/>
  <c r="AE45" i="3"/>
  <c r="AD45" i="3"/>
  <c r="L45" i="3"/>
  <c r="K45" i="3"/>
  <c r="AL44" i="3"/>
  <c r="AJ44" i="3"/>
  <c r="AI44" i="3"/>
  <c r="AH44" i="3"/>
  <c r="AG44" i="3"/>
  <c r="AE44" i="3"/>
  <c r="AD44" i="3"/>
  <c r="L44" i="3"/>
  <c r="K44" i="3"/>
  <c r="AL43" i="3"/>
  <c r="AJ43" i="3"/>
  <c r="AI43" i="3"/>
  <c r="AH43" i="3"/>
  <c r="AG43" i="3"/>
  <c r="AE43" i="3"/>
  <c r="AD43" i="3"/>
  <c r="L43" i="3"/>
  <c r="K43" i="3"/>
  <c r="AL42" i="3"/>
  <c r="AJ42" i="3"/>
  <c r="AI42" i="3"/>
  <c r="AH42" i="3"/>
  <c r="AG42" i="3"/>
  <c r="AE42" i="3"/>
  <c r="AD42" i="3"/>
  <c r="L42" i="3"/>
  <c r="K42" i="3"/>
  <c r="AJ41" i="3"/>
  <c r="AI41" i="3"/>
  <c r="AH41" i="3"/>
  <c r="AG41" i="3"/>
  <c r="AF41" i="3"/>
  <c r="AE41" i="3"/>
  <c r="L41" i="3"/>
  <c r="K41" i="3"/>
  <c r="J41" i="3"/>
  <c r="AJ27" i="3"/>
  <c r="AI27" i="3"/>
  <c r="AH27" i="3"/>
  <c r="AG27" i="3"/>
  <c r="AF27" i="3"/>
  <c r="AE27" i="3"/>
  <c r="L27" i="3"/>
  <c r="K27" i="3"/>
  <c r="J27" i="3"/>
  <c r="AL15" i="3"/>
  <c r="AJ15" i="3"/>
  <c r="AI15" i="3"/>
  <c r="AH15" i="3"/>
  <c r="AG15" i="3"/>
  <c r="AE15" i="3"/>
  <c r="AD15" i="3"/>
  <c r="L15" i="3"/>
  <c r="K15" i="3"/>
  <c r="AS239" i="3"/>
  <c r="D64" i="9"/>
  <c r="A67" i="9"/>
  <c r="D65" i="9"/>
  <c r="J44" i="3" l="1"/>
  <c r="J21" i="3"/>
  <c r="AK21" i="3"/>
  <c r="J43" i="3"/>
  <c r="J26" i="3"/>
  <c r="AK26" i="3"/>
  <c r="AK44" i="3"/>
  <c r="J45" i="3"/>
  <c r="J42" i="3"/>
  <c r="AS41" i="3"/>
  <c r="AK45" i="3"/>
  <c r="AK43" i="3"/>
  <c r="AK42" i="3"/>
  <c r="AC41" i="3"/>
  <c r="AQ41" i="3"/>
  <c r="J15" i="3"/>
  <c r="AS27" i="3"/>
  <c r="AC27" i="3"/>
  <c r="AQ27" i="3"/>
  <c r="AK15" i="3"/>
  <c r="D66" i="9"/>
  <c r="AS42" i="3"/>
  <c r="AS28" i="3"/>
  <c r="A68" i="9"/>
  <c r="AL222" i="3" l="1"/>
  <c r="AJ222" i="3"/>
  <c r="AI222" i="3"/>
  <c r="AH222" i="3"/>
  <c r="AG222" i="3"/>
  <c r="AE222" i="3"/>
  <c r="AD222" i="3"/>
  <c r="L222" i="3"/>
  <c r="K222" i="3"/>
  <c r="AS43" i="3"/>
  <c r="AS29" i="3"/>
  <c r="D67" i="9"/>
  <c r="A69" i="9"/>
  <c r="J222" i="3" l="1"/>
  <c r="AK222" i="3"/>
  <c r="AS240" i="3"/>
  <c r="A70" i="9"/>
  <c r="AS30" i="3"/>
  <c r="AS44" i="3"/>
  <c r="D68" i="9"/>
  <c r="AL39" i="3" l="1"/>
  <c r="AJ39" i="3"/>
  <c r="AI39" i="3"/>
  <c r="AH39" i="3"/>
  <c r="AG39" i="3"/>
  <c r="AE39" i="3"/>
  <c r="AD39" i="3"/>
  <c r="L39" i="3"/>
  <c r="K39" i="3"/>
  <c r="AL40" i="3"/>
  <c r="AJ40" i="3"/>
  <c r="AI40" i="3"/>
  <c r="AH40" i="3"/>
  <c r="AG40" i="3"/>
  <c r="AE40" i="3"/>
  <c r="AD40" i="3"/>
  <c r="L40" i="3"/>
  <c r="K40" i="3"/>
  <c r="D69" i="9"/>
  <c r="AS45" i="3"/>
  <c r="J39" i="3" l="1"/>
  <c r="AK39" i="3"/>
  <c r="AK40" i="3"/>
  <c r="J40" i="3"/>
  <c r="D70" i="9"/>
  <c r="AL219" i="3" l="1"/>
  <c r="AJ219" i="3"/>
  <c r="AI219" i="3"/>
  <c r="AH219" i="3"/>
  <c r="AG219" i="3"/>
  <c r="AE219" i="3"/>
  <c r="AD219" i="3"/>
  <c r="L219" i="3"/>
  <c r="K219" i="3"/>
  <c r="K63" i="3"/>
  <c r="L63" i="3"/>
  <c r="AD63" i="3"/>
  <c r="AE63" i="3"/>
  <c r="AG63" i="3"/>
  <c r="AH63" i="3"/>
  <c r="AI63" i="3"/>
  <c r="AJ63" i="3"/>
  <c r="AL63" i="3"/>
  <c r="J219" i="3" l="1"/>
  <c r="AK219" i="3"/>
  <c r="AK63" i="3"/>
  <c r="J63" i="3"/>
  <c r="AL31" i="3" l="1"/>
  <c r="AJ31" i="3"/>
  <c r="AI31" i="3"/>
  <c r="AH31" i="3"/>
  <c r="AG31" i="3"/>
  <c r="AE31" i="3"/>
  <c r="AD31" i="3"/>
  <c r="L31" i="3"/>
  <c r="K31" i="3"/>
  <c r="J31" i="3" l="1"/>
  <c r="AK31" i="3"/>
  <c r="AJ37" i="3"/>
  <c r="AI37" i="3"/>
  <c r="AH37" i="3"/>
  <c r="AG37" i="3"/>
  <c r="AC37" i="3" s="1"/>
  <c r="AF37" i="3"/>
  <c r="AE37" i="3"/>
  <c r="L37" i="3"/>
  <c r="K37" i="3"/>
  <c r="J37" i="3"/>
  <c r="AL36" i="3"/>
  <c r="AJ36" i="3"/>
  <c r="AI36" i="3"/>
  <c r="AH36" i="3"/>
  <c r="AG36" i="3"/>
  <c r="AE36" i="3"/>
  <c r="AD36" i="3"/>
  <c r="L36" i="3"/>
  <c r="K36" i="3"/>
  <c r="AJ34" i="3"/>
  <c r="AI34" i="3"/>
  <c r="AH34" i="3"/>
  <c r="AG34" i="3"/>
  <c r="AC34" i="3" s="1"/>
  <c r="AF34" i="3"/>
  <c r="AE34" i="3"/>
  <c r="L34" i="3"/>
  <c r="K34" i="3"/>
  <c r="J34" i="3"/>
  <c r="J36" i="3" l="1"/>
  <c r="AQ37" i="3"/>
  <c r="AQ34" i="3"/>
  <c r="AK36" i="3"/>
  <c r="AS37" i="3"/>
  <c r="AS34" i="3"/>
  <c r="AS35" i="3"/>
  <c r="AL32" i="3" l="1"/>
  <c r="AJ32" i="3"/>
  <c r="AI32" i="3"/>
  <c r="AH32" i="3"/>
  <c r="AG32" i="3"/>
  <c r="AE32" i="3"/>
  <c r="AD32" i="3"/>
  <c r="L32" i="3"/>
  <c r="K32" i="3"/>
  <c r="AL33" i="3"/>
  <c r="AJ33" i="3"/>
  <c r="AI33" i="3"/>
  <c r="AH33" i="3"/>
  <c r="AG33" i="3"/>
  <c r="AE33" i="3"/>
  <c r="AD33" i="3"/>
  <c r="L33" i="3"/>
  <c r="K33" i="3"/>
  <c r="AJ20" i="3"/>
  <c r="AI20" i="3"/>
  <c r="AH20" i="3"/>
  <c r="AG20" i="3"/>
  <c r="AF20" i="3"/>
  <c r="AE20" i="3"/>
  <c r="L20" i="3"/>
  <c r="K20" i="3"/>
  <c r="J20" i="3"/>
  <c r="AS38" i="3"/>
  <c r="AQ20" i="3" l="1"/>
  <c r="J33" i="3"/>
  <c r="J32" i="3"/>
  <c r="AK32" i="3"/>
  <c r="AC20" i="3"/>
  <c r="AK33" i="3"/>
  <c r="AS20" i="3"/>
  <c r="AS39" i="3"/>
  <c r="AS36" i="3"/>
  <c r="T58" i="5" l="1"/>
  <c r="U58" i="5" s="1"/>
  <c r="V58" i="5" s="1"/>
  <c r="T5"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6" i="5"/>
  <c r="AS40" i="3"/>
  <c r="C33" i="2" l="1"/>
  <c r="AS31" i="3"/>
  <c r="U59" i="5" l="1"/>
  <c r="V59" i="5" s="1"/>
  <c r="U5" i="5"/>
  <c r="V5" i="5" s="1"/>
  <c r="AS32" i="3"/>
  <c r="M1" i="3" l="1"/>
  <c r="D1" i="4" s="1"/>
  <c r="C1" i="3"/>
  <c r="X4" i="4"/>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D103" i="4"/>
  <c r="BD102" i="4"/>
  <c r="BD101" i="4"/>
  <c r="BD100" i="4"/>
  <c r="BD99" i="4"/>
  <c r="BD98" i="4"/>
  <c r="BD97" i="4"/>
  <c r="BD96" i="4"/>
  <c r="BD95" i="4"/>
  <c r="BD94" i="4"/>
  <c r="BD93" i="4"/>
  <c r="BD92" i="4"/>
  <c r="BD91" i="4"/>
  <c r="BD90" i="4"/>
  <c r="BD89" i="4"/>
  <c r="BD88" i="4"/>
  <c r="BD87" i="4"/>
  <c r="BD86" i="4"/>
  <c r="BD85" i="4"/>
  <c r="BD84" i="4"/>
  <c r="BD83" i="4"/>
  <c r="BD82" i="4"/>
  <c r="BD81" i="4"/>
  <c r="BD80" i="4"/>
  <c r="BD79" i="4"/>
  <c r="BD78" i="4"/>
  <c r="BD77" i="4"/>
  <c r="BD76" i="4"/>
  <c r="BD75" i="4"/>
  <c r="BD74" i="4"/>
  <c r="BD73" i="4"/>
  <c r="BD72" i="4"/>
  <c r="BD71" i="4"/>
  <c r="BD70" i="4"/>
  <c r="BD69" i="4"/>
  <c r="BD68" i="4"/>
  <c r="BD67" i="4"/>
  <c r="BD66" i="4"/>
  <c r="BD65" i="4"/>
  <c r="BD64" i="4"/>
  <c r="BD63" i="4"/>
  <c r="BD62" i="4"/>
  <c r="BD61" i="4"/>
  <c r="BD60" i="4"/>
  <c r="BD59" i="4"/>
  <c r="BD58" i="4"/>
  <c r="BD57" i="4"/>
  <c r="BD56" i="4"/>
  <c r="BD55" i="4"/>
  <c r="BD54" i="4"/>
  <c r="BD53" i="4"/>
  <c r="BD52" i="4"/>
  <c r="BD51" i="4"/>
  <c r="BD50" i="4"/>
  <c r="BD49" i="4"/>
  <c r="BD48" i="4"/>
  <c r="BD47" i="4"/>
  <c r="BD46" i="4"/>
  <c r="BD45" i="4"/>
  <c r="BD44" i="4"/>
  <c r="BD43" i="4"/>
  <c r="BD42" i="4"/>
  <c r="BD41" i="4"/>
  <c r="BD40" i="4"/>
  <c r="BD39" i="4"/>
  <c r="BD38" i="4"/>
  <c r="BD37" i="4"/>
  <c r="BD36" i="4"/>
  <c r="BD35" i="4"/>
  <c r="BD34" i="4"/>
  <c r="BD33" i="4"/>
  <c r="BD32" i="4"/>
  <c r="BD31" i="4"/>
  <c r="BD30" i="4"/>
  <c r="BD29" i="4"/>
  <c r="BD28" i="4"/>
  <c r="BD27" i="4"/>
  <c r="BD26" i="4"/>
  <c r="BD25" i="4"/>
  <c r="BD24" i="4"/>
  <c r="BD23" i="4"/>
  <c r="BD22" i="4"/>
  <c r="BD21" i="4"/>
  <c r="BD20" i="4"/>
  <c r="BD19" i="4"/>
  <c r="BD18" i="4"/>
  <c r="BD17" i="4"/>
  <c r="BD16" i="4"/>
  <c r="BD15" i="4"/>
  <c r="BD14" i="4"/>
  <c r="BD13" i="4"/>
  <c r="BD12" i="4"/>
  <c r="BD11" i="4"/>
  <c r="BD10" i="4"/>
  <c r="BD9" i="4"/>
  <c r="BD8" i="4"/>
  <c r="BD7" i="4"/>
  <c r="BD6" i="4"/>
  <c r="BD5" i="4"/>
  <c r="BD4" i="4"/>
  <c r="AL318" i="3"/>
  <c r="AJ318" i="3"/>
  <c r="AI318" i="3"/>
  <c r="AH318" i="3"/>
  <c r="AG318" i="3"/>
  <c r="AE318" i="3"/>
  <c r="AD318" i="3"/>
  <c r="L318" i="3"/>
  <c r="K318" i="3"/>
  <c r="AL317" i="3"/>
  <c r="AJ317" i="3"/>
  <c r="AI317" i="3"/>
  <c r="AH317" i="3"/>
  <c r="AG317" i="3"/>
  <c r="AE317" i="3"/>
  <c r="AD317" i="3"/>
  <c r="L317" i="3"/>
  <c r="K317" i="3"/>
  <c r="AL316" i="3"/>
  <c r="AJ316" i="3"/>
  <c r="AI316" i="3"/>
  <c r="AH316" i="3"/>
  <c r="AG316" i="3"/>
  <c r="AE316" i="3"/>
  <c r="AD316" i="3"/>
  <c r="L316" i="3"/>
  <c r="K316" i="3"/>
  <c r="AJ315" i="3"/>
  <c r="AI315" i="3"/>
  <c r="AH315" i="3"/>
  <c r="AG315" i="3"/>
  <c r="AF315" i="3"/>
  <c r="AE315" i="3"/>
  <c r="L315" i="3"/>
  <c r="K315" i="3"/>
  <c r="J315" i="3"/>
  <c r="AL314" i="3"/>
  <c r="AJ314" i="3"/>
  <c r="AI314" i="3"/>
  <c r="AH314" i="3"/>
  <c r="AG314" i="3"/>
  <c r="AE314" i="3"/>
  <c r="AD314" i="3"/>
  <c r="L314" i="3"/>
  <c r="K314" i="3"/>
  <c r="AL313" i="3"/>
  <c r="AJ313" i="3"/>
  <c r="AI313" i="3"/>
  <c r="AH313" i="3"/>
  <c r="AG313" i="3"/>
  <c r="AE313" i="3"/>
  <c r="AD313" i="3"/>
  <c r="L313" i="3"/>
  <c r="K313" i="3"/>
  <c r="AJ312" i="3"/>
  <c r="AI312" i="3"/>
  <c r="AH312" i="3"/>
  <c r="AG312" i="3"/>
  <c r="AF312" i="3"/>
  <c r="AE312" i="3"/>
  <c r="L312" i="3"/>
  <c r="K312" i="3"/>
  <c r="J312" i="3"/>
  <c r="AL311" i="3"/>
  <c r="AJ311" i="3"/>
  <c r="AI311" i="3"/>
  <c r="AH311" i="3"/>
  <c r="AG311" i="3"/>
  <c r="AE311" i="3"/>
  <c r="AD311" i="3"/>
  <c r="L311" i="3"/>
  <c r="K311" i="3"/>
  <c r="AL310" i="3"/>
  <c r="AJ310" i="3"/>
  <c r="AI310" i="3"/>
  <c r="AH310" i="3"/>
  <c r="AG310" i="3"/>
  <c r="AE310" i="3"/>
  <c r="AD310" i="3"/>
  <c r="L310" i="3"/>
  <c r="K310" i="3"/>
  <c r="AJ309" i="3"/>
  <c r="AI309" i="3"/>
  <c r="AH309" i="3"/>
  <c r="AG309" i="3"/>
  <c r="AF309" i="3"/>
  <c r="AE309" i="3"/>
  <c r="L309" i="3"/>
  <c r="K309" i="3"/>
  <c r="J309" i="3"/>
  <c r="L308" i="3"/>
  <c r="K308" i="3"/>
  <c r="D308" i="3"/>
  <c r="AE308" i="3" s="1"/>
  <c r="L292" i="3"/>
  <c r="K292" i="3"/>
  <c r="D292" i="3"/>
  <c r="AG292" i="3" s="1"/>
  <c r="AL291" i="3"/>
  <c r="AJ291" i="3"/>
  <c r="AI291" i="3"/>
  <c r="AH291" i="3"/>
  <c r="AG291" i="3"/>
  <c r="AE291" i="3"/>
  <c r="AD291" i="3"/>
  <c r="L291" i="3"/>
  <c r="K291" i="3"/>
  <c r="AJ290" i="3"/>
  <c r="AI290" i="3"/>
  <c r="AH290" i="3"/>
  <c r="AG290" i="3"/>
  <c r="AC290" i="3" s="1"/>
  <c r="AF290" i="3"/>
  <c r="AE290" i="3"/>
  <c r="L290" i="3"/>
  <c r="K290" i="3"/>
  <c r="J290" i="3"/>
  <c r="AL289" i="3"/>
  <c r="AJ289" i="3"/>
  <c r="AI289" i="3"/>
  <c r="AH289" i="3"/>
  <c r="AG289" i="3"/>
  <c r="AE289" i="3"/>
  <c r="AD289" i="3"/>
  <c r="L289" i="3"/>
  <c r="K289" i="3"/>
  <c r="AL288" i="3"/>
  <c r="AJ288" i="3"/>
  <c r="AI288" i="3"/>
  <c r="AH288" i="3"/>
  <c r="AG288" i="3"/>
  <c r="AE288" i="3"/>
  <c r="AD288" i="3"/>
  <c r="L288" i="3"/>
  <c r="K288" i="3" s="1"/>
  <c r="AJ287" i="3"/>
  <c r="AI287" i="3"/>
  <c r="AH287" i="3"/>
  <c r="AG287" i="3"/>
  <c r="AQ287" i="3" s="1"/>
  <c r="AF287" i="3"/>
  <c r="AE287" i="3"/>
  <c r="L287" i="3"/>
  <c r="K287" i="3"/>
  <c r="J287" i="3"/>
  <c r="AL286" i="3"/>
  <c r="AJ286" i="3"/>
  <c r="AI286" i="3"/>
  <c r="AH286" i="3"/>
  <c r="AG286" i="3"/>
  <c r="AE286" i="3"/>
  <c r="AD286" i="3"/>
  <c r="L286" i="3"/>
  <c r="K286" i="3"/>
  <c r="AL285" i="3"/>
  <c r="AJ285" i="3"/>
  <c r="AI285" i="3"/>
  <c r="AH285" i="3"/>
  <c r="AG285" i="3"/>
  <c r="AE285" i="3"/>
  <c r="AD285" i="3"/>
  <c r="L285" i="3"/>
  <c r="K285" i="3" s="1"/>
  <c r="AJ284" i="3"/>
  <c r="AI284" i="3"/>
  <c r="AH284" i="3"/>
  <c r="AG284" i="3"/>
  <c r="AF284" i="3"/>
  <c r="AE284" i="3"/>
  <c r="L284" i="3"/>
  <c r="K284" i="3"/>
  <c r="J284" i="3"/>
  <c r="L283" i="3"/>
  <c r="K283" i="3" s="1"/>
  <c r="D283" i="3"/>
  <c r="AE283" i="3" s="1"/>
  <c r="AJ282" i="3"/>
  <c r="AI282" i="3"/>
  <c r="AH282" i="3"/>
  <c r="AG282" i="3"/>
  <c r="AQ282" i="3" s="1"/>
  <c r="AF282" i="3"/>
  <c r="AE282" i="3"/>
  <c r="L282" i="3"/>
  <c r="K282" i="3" s="1"/>
  <c r="J282" i="3"/>
  <c r="L281" i="3"/>
  <c r="K281" i="3" s="1"/>
  <c r="D281" i="3"/>
  <c r="AH281" i="3" s="1"/>
  <c r="AJ280" i="3"/>
  <c r="AI280" i="3"/>
  <c r="AH280" i="3"/>
  <c r="AG280" i="3"/>
  <c r="AC280" i="3" s="1"/>
  <c r="AF280" i="3"/>
  <c r="AE280" i="3"/>
  <c r="L280" i="3"/>
  <c r="K280" i="3" s="1"/>
  <c r="J280" i="3"/>
  <c r="L279" i="3"/>
  <c r="K279" i="3" s="1"/>
  <c r="D279" i="3"/>
  <c r="AG279" i="3" s="1"/>
  <c r="AJ278" i="3"/>
  <c r="AI278" i="3"/>
  <c r="AH278" i="3"/>
  <c r="AG278" i="3"/>
  <c r="AF278" i="3"/>
  <c r="AE278" i="3"/>
  <c r="L278" i="3"/>
  <c r="K278" i="3" s="1"/>
  <c r="J278" i="3"/>
  <c r="L277" i="3"/>
  <c r="K277" i="3" s="1"/>
  <c r="D277" i="3"/>
  <c r="AH277" i="3" s="1"/>
  <c r="AJ276" i="3"/>
  <c r="AI276" i="3"/>
  <c r="AH276" i="3"/>
  <c r="AG276" i="3"/>
  <c r="AQ276" i="3" s="1"/>
  <c r="AF276" i="3"/>
  <c r="AE276" i="3"/>
  <c r="L276" i="3"/>
  <c r="K276" i="3" s="1"/>
  <c r="J276" i="3"/>
  <c r="L275" i="3"/>
  <c r="K275" i="3" s="1"/>
  <c r="D275" i="3"/>
  <c r="AE275" i="3" s="1"/>
  <c r="AJ274" i="3"/>
  <c r="AI274" i="3"/>
  <c r="AH274" i="3"/>
  <c r="AG274" i="3"/>
  <c r="AQ274" i="3" s="1"/>
  <c r="AF274" i="3"/>
  <c r="AE274" i="3"/>
  <c r="L274" i="3"/>
  <c r="K274" i="3" s="1"/>
  <c r="J274" i="3"/>
  <c r="L273" i="3"/>
  <c r="K273" i="3" s="1"/>
  <c r="D273" i="3"/>
  <c r="AG273" i="3" s="1"/>
  <c r="AJ272" i="3"/>
  <c r="AI272" i="3"/>
  <c r="AH272" i="3"/>
  <c r="AG272" i="3"/>
  <c r="AF272" i="3"/>
  <c r="AE272" i="3"/>
  <c r="L272" i="3"/>
  <c r="K272" i="3" s="1"/>
  <c r="J272" i="3"/>
  <c r="L271" i="3"/>
  <c r="K271" i="3" s="1"/>
  <c r="D271" i="3"/>
  <c r="AE271" i="3" s="1"/>
  <c r="AJ270" i="3"/>
  <c r="AI270" i="3"/>
  <c r="AH270" i="3"/>
  <c r="AG270" i="3"/>
  <c r="AQ270" i="3" s="1"/>
  <c r="AF270" i="3"/>
  <c r="AE270" i="3"/>
  <c r="L270" i="3"/>
  <c r="K270" i="3" s="1"/>
  <c r="J270" i="3"/>
  <c r="L269" i="3"/>
  <c r="K269" i="3" s="1"/>
  <c r="D269" i="3"/>
  <c r="AJ268" i="3"/>
  <c r="AI268" i="3"/>
  <c r="AH268" i="3"/>
  <c r="AG268" i="3"/>
  <c r="AQ268" i="3" s="1"/>
  <c r="AF268" i="3"/>
  <c r="AE268" i="3"/>
  <c r="L268" i="3"/>
  <c r="K268" i="3" s="1"/>
  <c r="J268" i="3"/>
  <c r="L267" i="3"/>
  <c r="K267" i="3" s="1"/>
  <c r="D267" i="3"/>
  <c r="AH267" i="3" s="1"/>
  <c r="AJ266" i="3"/>
  <c r="AI266" i="3"/>
  <c r="AH266" i="3"/>
  <c r="AG266" i="3"/>
  <c r="AF266" i="3"/>
  <c r="AE266" i="3"/>
  <c r="L266" i="3"/>
  <c r="K266" i="3" s="1"/>
  <c r="J266" i="3"/>
  <c r="L265" i="3"/>
  <c r="K265" i="3" s="1"/>
  <c r="D265" i="3"/>
  <c r="AJ264" i="3"/>
  <c r="AI264" i="3"/>
  <c r="AH264" i="3"/>
  <c r="AG264" i="3"/>
  <c r="AQ264" i="3" s="1"/>
  <c r="AF264" i="3"/>
  <c r="AE264" i="3"/>
  <c r="L264" i="3"/>
  <c r="K264" i="3" s="1"/>
  <c r="J264" i="3"/>
  <c r="L263" i="3"/>
  <c r="K263" i="3" s="1"/>
  <c r="D263" i="3"/>
  <c r="AI263" i="3" s="1"/>
  <c r="AJ262" i="3"/>
  <c r="AI262" i="3"/>
  <c r="AH262" i="3"/>
  <c r="AG262" i="3"/>
  <c r="AQ262" i="3" s="1"/>
  <c r="AF262" i="3"/>
  <c r="AE262" i="3"/>
  <c r="L262" i="3"/>
  <c r="K262" i="3" s="1"/>
  <c r="J262" i="3"/>
  <c r="L261" i="3"/>
  <c r="K261" i="3" s="1"/>
  <c r="D261" i="3"/>
  <c r="AE261" i="3" s="1"/>
  <c r="AJ260" i="3"/>
  <c r="AI260" i="3"/>
  <c r="AH260" i="3"/>
  <c r="AG260" i="3"/>
  <c r="AF260" i="3"/>
  <c r="AE260" i="3"/>
  <c r="L260" i="3"/>
  <c r="K260" i="3" s="1"/>
  <c r="J260" i="3"/>
  <c r="AL259" i="3"/>
  <c r="AJ259" i="3"/>
  <c r="AI259" i="3"/>
  <c r="AH259" i="3"/>
  <c r="AG259" i="3"/>
  <c r="AE259" i="3"/>
  <c r="AD259" i="3"/>
  <c r="L259" i="3"/>
  <c r="K259" i="3"/>
  <c r="AL258" i="3"/>
  <c r="AJ258" i="3"/>
  <c r="AI258" i="3"/>
  <c r="AH258" i="3"/>
  <c r="AG258" i="3"/>
  <c r="AE258" i="3"/>
  <c r="AD258" i="3"/>
  <c r="L258" i="3"/>
  <c r="K258" i="3"/>
  <c r="AL257" i="3"/>
  <c r="AJ257" i="3"/>
  <c r="AI257" i="3"/>
  <c r="AH257" i="3"/>
  <c r="AG257" i="3"/>
  <c r="AE257" i="3"/>
  <c r="AD257" i="3"/>
  <c r="L257" i="3"/>
  <c r="K257" i="3"/>
  <c r="AL256" i="3"/>
  <c r="AJ256" i="3"/>
  <c r="AI256" i="3"/>
  <c r="AH256" i="3"/>
  <c r="AG256" i="3"/>
  <c r="AE256" i="3"/>
  <c r="AD256" i="3"/>
  <c r="L256" i="3"/>
  <c r="K256" i="3"/>
  <c r="AL255" i="3"/>
  <c r="AJ255" i="3"/>
  <c r="AI255" i="3"/>
  <c r="AH255" i="3"/>
  <c r="AG255" i="3"/>
  <c r="AE255" i="3"/>
  <c r="AD255" i="3"/>
  <c r="L255" i="3"/>
  <c r="K255" i="3"/>
  <c r="AL254" i="3"/>
  <c r="AJ254" i="3"/>
  <c r="AI254" i="3"/>
  <c r="AH254" i="3"/>
  <c r="AG254" i="3"/>
  <c r="AE254" i="3"/>
  <c r="AD254" i="3"/>
  <c r="L254" i="3"/>
  <c r="K254" i="3"/>
  <c r="AL253" i="3"/>
  <c r="AJ253" i="3"/>
  <c r="AI253" i="3"/>
  <c r="AH253" i="3"/>
  <c r="AG253" i="3"/>
  <c r="AE253" i="3"/>
  <c r="AD253" i="3"/>
  <c r="L253" i="3"/>
  <c r="K253" i="3"/>
  <c r="AJ252" i="3"/>
  <c r="AI252" i="3"/>
  <c r="AH252" i="3"/>
  <c r="AG252" i="3"/>
  <c r="AQ252" i="3" s="1"/>
  <c r="AF252" i="3"/>
  <c r="AE252" i="3"/>
  <c r="L252" i="3"/>
  <c r="K252" i="3"/>
  <c r="J252" i="3"/>
  <c r="AL251" i="3"/>
  <c r="AJ251" i="3"/>
  <c r="AI251" i="3"/>
  <c r="AH251" i="3"/>
  <c r="AG251" i="3"/>
  <c r="AE251" i="3"/>
  <c r="AD251" i="3"/>
  <c r="L251" i="3"/>
  <c r="K251" i="3"/>
  <c r="AL250" i="3"/>
  <c r="AJ250" i="3"/>
  <c r="AI250" i="3"/>
  <c r="AH250" i="3"/>
  <c r="AG250" i="3"/>
  <c r="AE250" i="3"/>
  <c r="AD250" i="3"/>
  <c r="L250" i="3"/>
  <c r="K250" i="3"/>
  <c r="AL249" i="3"/>
  <c r="AJ249" i="3"/>
  <c r="AI249" i="3"/>
  <c r="AH249" i="3"/>
  <c r="AG249" i="3"/>
  <c r="AE249" i="3"/>
  <c r="AD249" i="3"/>
  <c r="L249" i="3"/>
  <c r="K249" i="3"/>
  <c r="AL248" i="3"/>
  <c r="AJ248" i="3"/>
  <c r="AI248" i="3"/>
  <c r="AH248" i="3"/>
  <c r="AG248" i="3"/>
  <c r="AE248" i="3"/>
  <c r="AD248" i="3"/>
  <c r="L248" i="3"/>
  <c r="K248" i="3"/>
  <c r="AL247" i="3"/>
  <c r="AJ247" i="3"/>
  <c r="AI247" i="3"/>
  <c r="AH247" i="3"/>
  <c r="AG247" i="3"/>
  <c r="AE247" i="3"/>
  <c r="AD247" i="3"/>
  <c r="L247" i="3"/>
  <c r="K247" i="3"/>
  <c r="AL246" i="3"/>
  <c r="AJ246" i="3"/>
  <c r="AI246" i="3"/>
  <c r="AH246" i="3"/>
  <c r="AG246" i="3"/>
  <c r="AE246" i="3"/>
  <c r="AD246" i="3"/>
  <c r="L246" i="3"/>
  <c r="K246" i="3"/>
  <c r="AL245" i="3"/>
  <c r="AJ245" i="3"/>
  <c r="AI245" i="3"/>
  <c r="AH245" i="3"/>
  <c r="AG245" i="3"/>
  <c r="AE245" i="3"/>
  <c r="AD245" i="3"/>
  <c r="L245" i="3"/>
  <c r="K245" i="3"/>
  <c r="AJ244" i="3"/>
  <c r="AI244" i="3"/>
  <c r="AH244" i="3"/>
  <c r="AG244" i="3"/>
  <c r="AQ244" i="3" s="1"/>
  <c r="AF244" i="3"/>
  <c r="AE244" i="3"/>
  <c r="L244" i="3"/>
  <c r="K244" i="3"/>
  <c r="J244" i="3"/>
  <c r="AL235" i="3"/>
  <c r="AJ235" i="3"/>
  <c r="AI235" i="3"/>
  <c r="AH235" i="3"/>
  <c r="AG235" i="3"/>
  <c r="AE235" i="3"/>
  <c r="AD235" i="3"/>
  <c r="L235" i="3"/>
  <c r="K235" i="3"/>
  <c r="AL234" i="3"/>
  <c r="AJ234" i="3"/>
  <c r="AI234" i="3"/>
  <c r="AH234" i="3"/>
  <c r="AG234" i="3"/>
  <c r="AE234" i="3"/>
  <c r="AD234" i="3"/>
  <c r="L234" i="3"/>
  <c r="K234" i="3"/>
  <c r="AL233" i="3"/>
  <c r="AJ233" i="3"/>
  <c r="AI233" i="3"/>
  <c r="AH233" i="3"/>
  <c r="AG233" i="3"/>
  <c r="AE233" i="3"/>
  <c r="AD233" i="3"/>
  <c r="L233" i="3"/>
  <c r="K233" i="3"/>
  <c r="AL232" i="3"/>
  <c r="AJ232" i="3"/>
  <c r="AI232" i="3"/>
  <c r="AH232" i="3"/>
  <c r="AG232" i="3"/>
  <c r="AE232" i="3"/>
  <c r="AD232" i="3"/>
  <c r="L232" i="3"/>
  <c r="K232" i="3"/>
  <c r="AL231" i="3"/>
  <c r="AJ231" i="3"/>
  <c r="AI231" i="3"/>
  <c r="AH231" i="3"/>
  <c r="AG231" i="3"/>
  <c r="AE231" i="3"/>
  <c r="AD231" i="3"/>
  <c r="L231" i="3"/>
  <c r="K231" i="3"/>
  <c r="AL230" i="3"/>
  <c r="AJ230" i="3"/>
  <c r="AI230" i="3"/>
  <c r="AH230" i="3"/>
  <c r="AG230" i="3"/>
  <c r="AE230" i="3"/>
  <c r="AD230" i="3"/>
  <c r="L230" i="3"/>
  <c r="K230" i="3"/>
  <c r="AJ227" i="3"/>
  <c r="AI227" i="3"/>
  <c r="AH227" i="3"/>
  <c r="AG227" i="3"/>
  <c r="AQ227" i="3" s="1"/>
  <c r="AF227" i="3"/>
  <c r="AE227" i="3"/>
  <c r="L227" i="3"/>
  <c r="K227" i="3"/>
  <c r="J227" i="3"/>
  <c r="AL226" i="3"/>
  <c r="AJ226" i="3"/>
  <c r="AI226" i="3"/>
  <c r="AH226" i="3"/>
  <c r="AG226" i="3"/>
  <c r="AE226" i="3"/>
  <c r="AD226" i="3"/>
  <c r="L226" i="3"/>
  <c r="K226" i="3"/>
  <c r="AJ221" i="3"/>
  <c r="AI221" i="3"/>
  <c r="AH221" i="3"/>
  <c r="AG221" i="3"/>
  <c r="AF221" i="3"/>
  <c r="AE221" i="3"/>
  <c r="L221" i="3"/>
  <c r="K221" i="3"/>
  <c r="J221" i="3"/>
  <c r="AL220" i="3"/>
  <c r="AJ220" i="3"/>
  <c r="AI220" i="3"/>
  <c r="AH220" i="3"/>
  <c r="AG220" i="3"/>
  <c r="AE220" i="3"/>
  <c r="AD220" i="3"/>
  <c r="L220" i="3"/>
  <c r="K220" i="3"/>
  <c r="AL218" i="3"/>
  <c r="AJ218" i="3"/>
  <c r="AI218" i="3"/>
  <c r="AH218" i="3"/>
  <c r="AG218" i="3"/>
  <c r="AE218" i="3"/>
  <c r="AD218" i="3"/>
  <c r="L218" i="3"/>
  <c r="K218" i="3"/>
  <c r="AJ217" i="3"/>
  <c r="AI217" i="3"/>
  <c r="AH217" i="3"/>
  <c r="AG217" i="3"/>
  <c r="AF217" i="3"/>
  <c r="AE217" i="3"/>
  <c r="L217" i="3"/>
  <c r="K217" i="3"/>
  <c r="J217" i="3"/>
  <c r="AL216" i="3"/>
  <c r="AJ216" i="3"/>
  <c r="AI216" i="3"/>
  <c r="AH216" i="3"/>
  <c r="AG216" i="3"/>
  <c r="AE216" i="3"/>
  <c r="AD216" i="3"/>
  <c r="L216" i="3"/>
  <c r="K216" i="3"/>
  <c r="AL215" i="3"/>
  <c r="AJ215" i="3"/>
  <c r="AI215" i="3"/>
  <c r="AH215" i="3"/>
  <c r="AG215" i="3"/>
  <c r="AE215" i="3"/>
  <c r="AD215" i="3"/>
  <c r="L215" i="3"/>
  <c r="K215" i="3"/>
  <c r="AL214" i="3"/>
  <c r="AJ214" i="3"/>
  <c r="AI214" i="3"/>
  <c r="AH214" i="3"/>
  <c r="AG214" i="3"/>
  <c r="AE214" i="3"/>
  <c r="AD214" i="3"/>
  <c r="L214" i="3"/>
  <c r="K214" i="3"/>
  <c r="AL212" i="3"/>
  <c r="AJ212" i="3"/>
  <c r="AI212" i="3"/>
  <c r="AH212" i="3"/>
  <c r="AG212" i="3"/>
  <c r="AE212" i="3"/>
  <c r="AD212" i="3"/>
  <c r="L212" i="3"/>
  <c r="K212" i="3"/>
  <c r="AJ211" i="3"/>
  <c r="AI211" i="3"/>
  <c r="AH211" i="3"/>
  <c r="AG211" i="3"/>
  <c r="AF211" i="3"/>
  <c r="AE211" i="3"/>
  <c r="L211" i="3"/>
  <c r="K211" i="3"/>
  <c r="J211" i="3"/>
  <c r="L210" i="3"/>
  <c r="K210" i="3"/>
  <c r="D210" i="3"/>
  <c r="AH210" i="3" s="1"/>
  <c r="AL209" i="3"/>
  <c r="AJ209" i="3"/>
  <c r="AI209" i="3"/>
  <c r="AH209" i="3"/>
  <c r="AG209" i="3"/>
  <c r="AQ209" i="3" s="1"/>
  <c r="AF209" i="3"/>
  <c r="AE209" i="3"/>
  <c r="L209" i="3"/>
  <c r="K209" i="3"/>
  <c r="J209" i="3"/>
  <c r="AL208" i="3"/>
  <c r="AJ208" i="3"/>
  <c r="AI208" i="3"/>
  <c r="AH208" i="3"/>
  <c r="AG208" i="3"/>
  <c r="AE208" i="3"/>
  <c r="AD208" i="3"/>
  <c r="L208" i="3"/>
  <c r="K208" i="3"/>
  <c r="AL207" i="3"/>
  <c r="AJ207" i="3"/>
  <c r="AI207" i="3"/>
  <c r="AH207" i="3"/>
  <c r="AG207" i="3"/>
  <c r="AE207" i="3"/>
  <c r="AD207" i="3"/>
  <c r="L207" i="3"/>
  <c r="K207" i="3"/>
  <c r="AJ206" i="3"/>
  <c r="AI206" i="3"/>
  <c r="AH206" i="3"/>
  <c r="AG206" i="3"/>
  <c r="AF206" i="3"/>
  <c r="AE206" i="3"/>
  <c r="L206" i="3"/>
  <c r="K206" i="3"/>
  <c r="J206" i="3"/>
  <c r="L205" i="3"/>
  <c r="K205" i="3" s="1"/>
  <c r="D205" i="3"/>
  <c r="AH205" i="3" s="1"/>
  <c r="AJ204" i="3"/>
  <c r="AI204" i="3"/>
  <c r="AH204" i="3"/>
  <c r="AG204" i="3"/>
  <c r="AC204" i="3" s="1"/>
  <c r="AF204" i="3"/>
  <c r="AE204" i="3"/>
  <c r="L204" i="3"/>
  <c r="K204" i="3" s="1"/>
  <c r="J204" i="3"/>
  <c r="L203" i="3"/>
  <c r="K203" i="3" s="1"/>
  <c r="D203" i="3"/>
  <c r="AJ203" i="3" s="1"/>
  <c r="AJ202" i="3"/>
  <c r="AI202" i="3"/>
  <c r="AH202" i="3"/>
  <c r="AG202" i="3"/>
  <c r="AF202" i="3"/>
  <c r="AE202" i="3"/>
  <c r="L202" i="3"/>
  <c r="K202" i="3" s="1"/>
  <c r="J202" i="3"/>
  <c r="L201" i="3"/>
  <c r="K201" i="3" s="1"/>
  <c r="D201" i="3"/>
  <c r="AD201" i="3" s="1"/>
  <c r="AJ200" i="3"/>
  <c r="AI200" i="3"/>
  <c r="AH200" i="3"/>
  <c r="AG200" i="3"/>
  <c r="AF200" i="3"/>
  <c r="AE200" i="3"/>
  <c r="L200" i="3"/>
  <c r="K200" i="3" s="1"/>
  <c r="J200" i="3"/>
  <c r="L199" i="3"/>
  <c r="K199" i="3" s="1"/>
  <c r="D199" i="3"/>
  <c r="AJ198" i="3"/>
  <c r="AI198" i="3"/>
  <c r="AH198" i="3"/>
  <c r="AG198" i="3"/>
  <c r="AF198" i="3"/>
  <c r="AE198" i="3"/>
  <c r="L198" i="3"/>
  <c r="K198" i="3" s="1"/>
  <c r="J198" i="3"/>
  <c r="L197" i="3"/>
  <c r="K197" i="3" s="1"/>
  <c r="D197" i="3"/>
  <c r="AE197" i="3" s="1"/>
  <c r="AJ196" i="3"/>
  <c r="AI196" i="3"/>
  <c r="AH196" i="3"/>
  <c r="AG196" i="3"/>
  <c r="AQ196" i="3" s="1"/>
  <c r="AF196" i="3"/>
  <c r="AE196" i="3"/>
  <c r="L196" i="3"/>
  <c r="K196" i="3" s="1"/>
  <c r="J196" i="3"/>
  <c r="L195" i="3"/>
  <c r="K195" i="3" s="1"/>
  <c r="D195" i="3"/>
  <c r="AH195" i="3" s="1"/>
  <c r="AJ194" i="3"/>
  <c r="AI194" i="3"/>
  <c r="AH194" i="3"/>
  <c r="AG194" i="3"/>
  <c r="AF194" i="3"/>
  <c r="AE194" i="3"/>
  <c r="L194" i="3"/>
  <c r="K194" i="3" s="1"/>
  <c r="J194" i="3"/>
  <c r="L193" i="3"/>
  <c r="K193" i="3" s="1"/>
  <c r="D193" i="3"/>
  <c r="AJ192" i="3"/>
  <c r="AI192" i="3"/>
  <c r="AH192" i="3"/>
  <c r="AG192" i="3"/>
  <c r="AF192" i="3"/>
  <c r="AE192" i="3"/>
  <c r="L192" i="3"/>
  <c r="K192" i="3" s="1"/>
  <c r="J192" i="3"/>
  <c r="L169" i="3"/>
  <c r="K169" i="3"/>
  <c r="D169" i="3"/>
  <c r="AJ168" i="3"/>
  <c r="AI168" i="3"/>
  <c r="AH168" i="3"/>
  <c r="AG168" i="3"/>
  <c r="AF168" i="3"/>
  <c r="AE168" i="3"/>
  <c r="L168" i="3"/>
  <c r="K168" i="3"/>
  <c r="J168" i="3"/>
  <c r="L167" i="3"/>
  <c r="K167" i="3"/>
  <c r="D167" i="3"/>
  <c r="AD167" i="3" s="1"/>
  <c r="AJ166" i="3"/>
  <c r="AI166" i="3"/>
  <c r="AH166" i="3"/>
  <c r="AG166" i="3"/>
  <c r="AQ166" i="3" s="1"/>
  <c r="AF166" i="3"/>
  <c r="AE166" i="3"/>
  <c r="L166" i="3"/>
  <c r="K166" i="3"/>
  <c r="J166" i="3"/>
  <c r="L165" i="3"/>
  <c r="K165" i="3"/>
  <c r="D165" i="3"/>
  <c r="AE165" i="3" s="1"/>
  <c r="AJ164" i="3"/>
  <c r="AI164" i="3"/>
  <c r="AH164" i="3"/>
  <c r="AG164" i="3"/>
  <c r="AQ164" i="3" s="1"/>
  <c r="AF164" i="3"/>
  <c r="AE164" i="3"/>
  <c r="L164" i="3"/>
  <c r="K164" i="3"/>
  <c r="J164" i="3"/>
  <c r="L163" i="3"/>
  <c r="K163" i="3"/>
  <c r="D163" i="3"/>
  <c r="AJ162" i="3"/>
  <c r="AI162" i="3"/>
  <c r="AH162" i="3"/>
  <c r="AG162" i="3"/>
  <c r="AQ162" i="3" s="1"/>
  <c r="AF162" i="3"/>
  <c r="AE162" i="3"/>
  <c r="L162" i="3"/>
  <c r="K162" i="3"/>
  <c r="J162" i="3"/>
  <c r="L161" i="3"/>
  <c r="K161" i="3"/>
  <c r="D161" i="3"/>
  <c r="AE161" i="3" s="1"/>
  <c r="AJ160" i="3"/>
  <c r="AI160" i="3"/>
  <c r="AH160" i="3"/>
  <c r="AG160" i="3"/>
  <c r="AQ160" i="3" s="1"/>
  <c r="AF160" i="3"/>
  <c r="AE160" i="3"/>
  <c r="L160" i="3"/>
  <c r="K160" i="3"/>
  <c r="J160" i="3"/>
  <c r="L159" i="3"/>
  <c r="K159" i="3"/>
  <c r="D159" i="3"/>
  <c r="AJ158" i="3"/>
  <c r="AI158" i="3"/>
  <c r="AH158" i="3"/>
  <c r="AG158" i="3"/>
  <c r="AQ158" i="3" s="1"/>
  <c r="AF158" i="3"/>
  <c r="AE158" i="3"/>
  <c r="L158" i="3"/>
  <c r="K158" i="3"/>
  <c r="J158" i="3"/>
  <c r="L157" i="3"/>
  <c r="K157" i="3"/>
  <c r="D157" i="3"/>
  <c r="AE157" i="3" s="1"/>
  <c r="AJ156" i="3"/>
  <c r="AI156" i="3"/>
  <c r="AH156" i="3"/>
  <c r="AG156" i="3"/>
  <c r="AF156" i="3"/>
  <c r="AE156" i="3"/>
  <c r="L156" i="3"/>
  <c r="K156" i="3"/>
  <c r="J156" i="3"/>
  <c r="L155" i="3"/>
  <c r="K155" i="3"/>
  <c r="D155" i="3"/>
  <c r="AJ155" i="3" s="1"/>
  <c r="AJ154" i="3"/>
  <c r="AI154" i="3"/>
  <c r="AH154" i="3"/>
  <c r="AG154" i="3"/>
  <c r="AF154" i="3"/>
  <c r="AE154" i="3"/>
  <c r="L154" i="3"/>
  <c r="K154" i="3"/>
  <c r="J154" i="3"/>
  <c r="L153" i="3"/>
  <c r="K153" i="3"/>
  <c r="D153" i="3"/>
  <c r="AJ152" i="3"/>
  <c r="AI152" i="3"/>
  <c r="AH152" i="3"/>
  <c r="AG152" i="3"/>
  <c r="AQ152" i="3" s="1"/>
  <c r="AF152" i="3"/>
  <c r="AE152" i="3"/>
  <c r="L152" i="3"/>
  <c r="K152" i="3"/>
  <c r="J152" i="3"/>
  <c r="L151" i="3"/>
  <c r="K151" i="3"/>
  <c r="D151" i="3"/>
  <c r="AJ151" i="3" s="1"/>
  <c r="AJ150" i="3"/>
  <c r="AI150" i="3"/>
  <c r="AH150" i="3"/>
  <c r="AG150" i="3"/>
  <c r="AF150" i="3"/>
  <c r="AE150" i="3"/>
  <c r="L150" i="3"/>
  <c r="K150" i="3"/>
  <c r="J150" i="3"/>
  <c r="L149" i="3"/>
  <c r="K149" i="3"/>
  <c r="D149" i="3"/>
  <c r="AI149" i="3" s="1"/>
  <c r="AJ148" i="3"/>
  <c r="AI148" i="3"/>
  <c r="AH148" i="3"/>
  <c r="AG148" i="3"/>
  <c r="AF148" i="3"/>
  <c r="AE148" i="3"/>
  <c r="L148" i="3"/>
  <c r="K148" i="3"/>
  <c r="J148" i="3"/>
  <c r="L141" i="3"/>
  <c r="K141" i="3"/>
  <c r="AL138" i="3"/>
  <c r="AJ138" i="3"/>
  <c r="AI138" i="3"/>
  <c r="AH138" i="3"/>
  <c r="AG138" i="3"/>
  <c r="AE138" i="3"/>
  <c r="AD138" i="3"/>
  <c r="L138" i="3"/>
  <c r="K138" i="3"/>
  <c r="AJ137" i="3"/>
  <c r="AI137" i="3"/>
  <c r="AH137" i="3"/>
  <c r="AG137" i="3"/>
  <c r="AF137" i="3"/>
  <c r="AE137" i="3"/>
  <c r="L137" i="3"/>
  <c r="K137" i="3"/>
  <c r="J137" i="3"/>
  <c r="AL131" i="3"/>
  <c r="AJ131" i="3"/>
  <c r="AI131" i="3"/>
  <c r="AH131" i="3"/>
  <c r="AG131" i="3"/>
  <c r="AE131" i="3"/>
  <c r="AD131" i="3"/>
  <c r="L131" i="3"/>
  <c r="K131" i="3"/>
  <c r="AL130" i="3"/>
  <c r="AJ130" i="3"/>
  <c r="AI130" i="3"/>
  <c r="AH130" i="3"/>
  <c r="AG130" i="3"/>
  <c r="AE130" i="3"/>
  <c r="AD130" i="3"/>
  <c r="L130" i="3"/>
  <c r="K130" i="3"/>
  <c r="AL129" i="3"/>
  <c r="AJ129" i="3"/>
  <c r="AI129" i="3"/>
  <c r="AH129" i="3"/>
  <c r="AG129" i="3"/>
  <c r="AE129" i="3"/>
  <c r="AD129" i="3"/>
  <c r="L129" i="3"/>
  <c r="K129" i="3" s="1"/>
  <c r="AJ128" i="3"/>
  <c r="AI128" i="3"/>
  <c r="AH128" i="3"/>
  <c r="AG128" i="3"/>
  <c r="AF128" i="3"/>
  <c r="AE128" i="3"/>
  <c r="L128" i="3"/>
  <c r="K128" i="3"/>
  <c r="J128" i="3"/>
  <c r="L127" i="3"/>
  <c r="K127" i="3"/>
  <c r="D127" i="3"/>
  <c r="AL126" i="3"/>
  <c r="AJ126" i="3"/>
  <c r="AI126" i="3"/>
  <c r="AH126" i="3"/>
  <c r="AG126" i="3"/>
  <c r="AE126" i="3"/>
  <c r="AD126" i="3"/>
  <c r="L126" i="3"/>
  <c r="K126" i="3"/>
  <c r="AJ125" i="3"/>
  <c r="AI125" i="3"/>
  <c r="AH125" i="3"/>
  <c r="AG125" i="3"/>
  <c r="AF125" i="3"/>
  <c r="AE125" i="3"/>
  <c r="L125" i="3"/>
  <c r="K125" i="3"/>
  <c r="J125" i="3"/>
  <c r="L122" i="3"/>
  <c r="K122" i="3" s="1"/>
  <c r="D122" i="3"/>
  <c r="AG122" i="3" s="1"/>
  <c r="AJ121" i="3"/>
  <c r="AI121" i="3"/>
  <c r="AH121" i="3"/>
  <c r="AG121" i="3"/>
  <c r="AC121" i="3" s="1"/>
  <c r="AF121" i="3"/>
  <c r="AE121" i="3"/>
  <c r="L121" i="3"/>
  <c r="K121" i="3" s="1"/>
  <c r="J121" i="3"/>
  <c r="L120" i="3"/>
  <c r="K120" i="3" s="1"/>
  <c r="D120" i="3"/>
  <c r="AI120" i="3" s="1"/>
  <c r="AJ119" i="3"/>
  <c r="AI119" i="3"/>
  <c r="AH119" i="3"/>
  <c r="AG119" i="3"/>
  <c r="AQ119" i="3" s="1"/>
  <c r="AF119" i="3"/>
  <c r="AE119" i="3"/>
  <c r="L119" i="3"/>
  <c r="K119" i="3" s="1"/>
  <c r="J119" i="3"/>
  <c r="L118" i="3"/>
  <c r="K118" i="3" s="1"/>
  <c r="D118" i="3"/>
  <c r="AH118" i="3" s="1"/>
  <c r="AJ117" i="3"/>
  <c r="AI117" i="3"/>
  <c r="AH117" i="3"/>
  <c r="AG117" i="3"/>
  <c r="AQ117" i="3" s="1"/>
  <c r="AF117" i="3"/>
  <c r="AE117" i="3"/>
  <c r="L117" i="3"/>
  <c r="K117" i="3" s="1"/>
  <c r="J117" i="3"/>
  <c r="L116" i="3"/>
  <c r="K116" i="3" s="1"/>
  <c r="D116" i="3"/>
  <c r="AJ115" i="3"/>
  <c r="AI115" i="3"/>
  <c r="AH115" i="3"/>
  <c r="AG115" i="3"/>
  <c r="AF115" i="3"/>
  <c r="AE115" i="3"/>
  <c r="L115" i="3"/>
  <c r="K115" i="3" s="1"/>
  <c r="J115" i="3"/>
  <c r="L114" i="3"/>
  <c r="K114" i="3"/>
  <c r="D114" i="3"/>
  <c r="AG114" i="3" s="1"/>
  <c r="AJ113" i="3"/>
  <c r="AI113" i="3"/>
  <c r="AH113" i="3"/>
  <c r="AG113" i="3"/>
  <c r="AC113" i="3" s="1"/>
  <c r="AF113" i="3"/>
  <c r="AE113" i="3"/>
  <c r="L113" i="3"/>
  <c r="K113" i="3"/>
  <c r="J113" i="3"/>
  <c r="L112" i="3"/>
  <c r="K112" i="3" s="1"/>
  <c r="D112" i="3"/>
  <c r="AJ111" i="3"/>
  <c r="AI111" i="3"/>
  <c r="AH111" i="3"/>
  <c r="AG111" i="3"/>
  <c r="AF111" i="3"/>
  <c r="AE111" i="3"/>
  <c r="L111" i="3"/>
  <c r="K111" i="3" s="1"/>
  <c r="J111" i="3"/>
  <c r="L110" i="3"/>
  <c r="K110" i="3" s="1"/>
  <c r="D110" i="3"/>
  <c r="AI110" i="3" s="1"/>
  <c r="AJ109" i="3"/>
  <c r="AI109" i="3"/>
  <c r="AH109" i="3"/>
  <c r="AG109" i="3"/>
  <c r="AF109" i="3"/>
  <c r="AE109" i="3"/>
  <c r="L109" i="3"/>
  <c r="K109" i="3" s="1"/>
  <c r="J109" i="3"/>
  <c r="L108" i="3"/>
  <c r="K108" i="3" s="1"/>
  <c r="D108" i="3"/>
  <c r="AL108" i="3" s="1"/>
  <c r="AJ107" i="3"/>
  <c r="AI107" i="3"/>
  <c r="AH107" i="3"/>
  <c r="AG107" i="3"/>
  <c r="AF107" i="3"/>
  <c r="AE107" i="3"/>
  <c r="L107" i="3"/>
  <c r="K107" i="3" s="1"/>
  <c r="J107" i="3"/>
  <c r="L106" i="3"/>
  <c r="K106" i="3"/>
  <c r="D106" i="3"/>
  <c r="AJ105" i="3"/>
  <c r="AI105" i="3"/>
  <c r="AH105" i="3"/>
  <c r="AG105" i="3"/>
  <c r="AF105" i="3"/>
  <c r="AE105" i="3"/>
  <c r="L105" i="3"/>
  <c r="K105" i="3"/>
  <c r="J105" i="3"/>
  <c r="L104" i="3"/>
  <c r="K104" i="3" s="1"/>
  <c r="D104" i="3"/>
  <c r="AL104" i="3" s="1"/>
  <c r="AJ103" i="3"/>
  <c r="AI103" i="3"/>
  <c r="AH103" i="3"/>
  <c r="AG103" i="3"/>
  <c r="AC103" i="3" s="1"/>
  <c r="AF103" i="3"/>
  <c r="AE103" i="3"/>
  <c r="L103" i="3"/>
  <c r="K103" i="3" s="1"/>
  <c r="J103" i="3"/>
  <c r="L102" i="3"/>
  <c r="K102" i="3" s="1"/>
  <c r="D102" i="3"/>
  <c r="AL102" i="3" s="1"/>
  <c r="AJ101" i="3"/>
  <c r="AI101" i="3"/>
  <c r="AH101" i="3"/>
  <c r="AG101" i="3"/>
  <c r="AQ101" i="3" s="1"/>
  <c r="AF101" i="3"/>
  <c r="AE101" i="3"/>
  <c r="L101" i="3"/>
  <c r="K101" i="3" s="1"/>
  <c r="J101" i="3"/>
  <c r="L100" i="3"/>
  <c r="K100" i="3" s="1"/>
  <c r="D100" i="3"/>
  <c r="AL100" i="3" s="1"/>
  <c r="AJ99" i="3"/>
  <c r="AI99" i="3"/>
  <c r="AH99" i="3"/>
  <c r="AG99" i="3"/>
  <c r="AF99" i="3"/>
  <c r="AE99" i="3"/>
  <c r="L99" i="3"/>
  <c r="K99" i="3" s="1"/>
  <c r="J99" i="3"/>
  <c r="L98" i="3"/>
  <c r="K98" i="3" s="1"/>
  <c r="D98" i="3"/>
  <c r="AL98" i="3" s="1"/>
  <c r="AJ97" i="3"/>
  <c r="AI97" i="3"/>
  <c r="AH97" i="3"/>
  <c r="AG97" i="3"/>
  <c r="AQ97" i="3" s="1"/>
  <c r="AF97" i="3"/>
  <c r="AE97" i="3"/>
  <c r="L97" i="3"/>
  <c r="K97" i="3" s="1"/>
  <c r="J97" i="3"/>
  <c r="L96" i="3"/>
  <c r="K96" i="3" s="1"/>
  <c r="D96" i="3"/>
  <c r="AH96" i="3" s="1"/>
  <c r="AJ95" i="3"/>
  <c r="AI95" i="3"/>
  <c r="AH95" i="3"/>
  <c r="AG95" i="3"/>
  <c r="AQ95" i="3" s="1"/>
  <c r="AF95" i="3"/>
  <c r="AE95" i="3"/>
  <c r="L95" i="3"/>
  <c r="K95" i="3" s="1"/>
  <c r="J95" i="3"/>
  <c r="L94" i="3"/>
  <c r="K94" i="3" s="1"/>
  <c r="D94" i="3"/>
  <c r="AG94" i="3" s="1"/>
  <c r="AJ93" i="3"/>
  <c r="AI93" i="3"/>
  <c r="AH93" i="3"/>
  <c r="AG93" i="3"/>
  <c r="AF93" i="3"/>
  <c r="AE93" i="3"/>
  <c r="L93" i="3"/>
  <c r="K93" i="3" s="1"/>
  <c r="J93" i="3"/>
  <c r="L92" i="3"/>
  <c r="K92" i="3" s="1"/>
  <c r="D92" i="3"/>
  <c r="AL92" i="3" s="1"/>
  <c r="AJ91" i="3"/>
  <c r="AI91" i="3"/>
  <c r="AH91" i="3"/>
  <c r="AG91" i="3"/>
  <c r="AF91" i="3"/>
  <c r="AE91" i="3"/>
  <c r="L91" i="3"/>
  <c r="K91" i="3" s="1"/>
  <c r="J91" i="3"/>
  <c r="L90" i="3"/>
  <c r="K90" i="3" s="1"/>
  <c r="D90" i="3"/>
  <c r="AJ89" i="3"/>
  <c r="AI89" i="3"/>
  <c r="AH89" i="3"/>
  <c r="AG89" i="3"/>
  <c r="AQ89" i="3" s="1"/>
  <c r="AF89" i="3"/>
  <c r="AE89" i="3"/>
  <c r="L89" i="3"/>
  <c r="K89" i="3" s="1"/>
  <c r="J89" i="3"/>
  <c r="L88" i="3"/>
  <c r="K88" i="3" s="1"/>
  <c r="D88" i="3"/>
  <c r="AL88" i="3" s="1"/>
  <c r="AJ87" i="3"/>
  <c r="AI87" i="3"/>
  <c r="AH87" i="3"/>
  <c r="AG87" i="3"/>
  <c r="AC87" i="3" s="1"/>
  <c r="AF87" i="3"/>
  <c r="AE87" i="3"/>
  <c r="L87" i="3"/>
  <c r="K87" i="3" s="1"/>
  <c r="J87" i="3"/>
  <c r="L86" i="3"/>
  <c r="K86" i="3" s="1"/>
  <c r="D86" i="3"/>
  <c r="AI86" i="3" s="1"/>
  <c r="AJ85" i="3"/>
  <c r="AI85" i="3"/>
  <c r="AH85" i="3"/>
  <c r="AG85" i="3"/>
  <c r="AQ85" i="3" s="1"/>
  <c r="AF85" i="3"/>
  <c r="AE85" i="3"/>
  <c r="L85" i="3"/>
  <c r="K85" i="3" s="1"/>
  <c r="J85" i="3"/>
  <c r="K84" i="3"/>
  <c r="D84" i="3"/>
  <c r="AL84" i="3" s="1"/>
  <c r="AJ83" i="3"/>
  <c r="AI83" i="3"/>
  <c r="AH83" i="3"/>
  <c r="AG83" i="3"/>
  <c r="AQ83" i="3" s="1"/>
  <c r="AF83" i="3"/>
  <c r="AE83" i="3"/>
  <c r="K83" i="3"/>
  <c r="J83" i="3"/>
  <c r="AL62" i="3"/>
  <c r="AJ62" i="3"/>
  <c r="AI62" i="3"/>
  <c r="AH62" i="3"/>
  <c r="AG62" i="3"/>
  <c r="AE62" i="3"/>
  <c r="AD62" i="3"/>
  <c r="L62" i="3"/>
  <c r="K62" i="3"/>
  <c r="AL61" i="3"/>
  <c r="AJ61" i="3"/>
  <c r="AI61" i="3"/>
  <c r="AH61" i="3"/>
  <c r="AG61" i="3"/>
  <c r="AE61" i="3"/>
  <c r="AD61" i="3"/>
  <c r="L61" i="3"/>
  <c r="K61" i="3"/>
  <c r="AL60" i="3"/>
  <c r="AJ60" i="3"/>
  <c r="AI60" i="3"/>
  <c r="AH60" i="3"/>
  <c r="AG60" i="3"/>
  <c r="AE60" i="3"/>
  <c r="AD60" i="3"/>
  <c r="L60" i="3"/>
  <c r="K60" i="3"/>
  <c r="AJ57" i="3"/>
  <c r="AI57" i="3"/>
  <c r="AH57" i="3"/>
  <c r="AG57" i="3"/>
  <c r="AC57" i="3" s="1"/>
  <c r="AF57" i="3"/>
  <c r="AE57" i="3"/>
  <c r="L57" i="3"/>
  <c r="K57" i="3"/>
  <c r="J57" i="3"/>
  <c r="AL14" i="3"/>
  <c r="AJ14" i="3"/>
  <c r="AI14" i="3"/>
  <c r="AH14" i="3"/>
  <c r="AG14" i="3"/>
  <c r="AE14" i="3"/>
  <c r="AD14" i="3"/>
  <c r="L14" i="3"/>
  <c r="K14" i="3"/>
  <c r="AL10" i="3"/>
  <c r="AJ10" i="3"/>
  <c r="AI10" i="3"/>
  <c r="AH10" i="3"/>
  <c r="AG10" i="3"/>
  <c r="AE10" i="3"/>
  <c r="AD10" i="3"/>
  <c r="L10" i="3"/>
  <c r="K10" i="3"/>
  <c r="AL7" i="3"/>
  <c r="AJ7" i="3"/>
  <c r="AI7" i="3"/>
  <c r="AH7" i="3"/>
  <c r="AG7" i="3"/>
  <c r="AE7" i="3"/>
  <c r="AD7" i="3"/>
  <c r="L7" i="3"/>
  <c r="K7" i="3"/>
  <c r="AJ6" i="3"/>
  <c r="AI6" i="3"/>
  <c r="AH6" i="3"/>
  <c r="AG6" i="3"/>
  <c r="AF6" i="3"/>
  <c r="AE6" i="3"/>
  <c r="L6" i="3"/>
  <c r="K6" i="3"/>
  <c r="J6" i="3"/>
  <c r="AL5" i="3"/>
  <c r="AJ5" i="3"/>
  <c r="AI5" i="3"/>
  <c r="AH5" i="3"/>
  <c r="AG5" i="3"/>
  <c r="AE5" i="3"/>
  <c r="AD5" i="3"/>
  <c r="L5" i="3"/>
  <c r="K5" i="3"/>
  <c r="AL4" i="3"/>
  <c r="AJ4" i="3"/>
  <c r="AI4" i="3"/>
  <c r="AH4" i="3"/>
  <c r="AG4" i="3"/>
  <c r="AF4" i="3"/>
  <c r="AE4" i="3"/>
  <c r="AD4" i="3"/>
  <c r="L4" i="3"/>
  <c r="K4" i="3"/>
  <c r="J4" i="3"/>
  <c r="AM2" i="3"/>
  <c r="AS33" i="3"/>
  <c r="AM295" i="3" l="1"/>
  <c r="AN295" i="3" s="1"/>
  <c r="AM8" i="3"/>
  <c r="AM294" i="3"/>
  <c r="AQ294" i="3" s="1"/>
  <c r="AM298" i="3"/>
  <c r="AM297" i="3"/>
  <c r="AM296" i="3"/>
  <c r="AM293" i="3"/>
  <c r="AM65" i="3"/>
  <c r="AN65" i="3" s="1"/>
  <c r="AM190" i="3"/>
  <c r="AM182" i="3"/>
  <c r="AM176" i="3"/>
  <c r="AM172" i="3"/>
  <c r="AM174" i="3"/>
  <c r="AM170" i="3"/>
  <c r="AM178" i="3"/>
  <c r="AM186" i="3"/>
  <c r="AM171" i="3"/>
  <c r="AM180" i="3"/>
  <c r="AM188" i="3"/>
  <c r="AM177" i="3"/>
  <c r="AM179" i="3"/>
  <c r="AM184" i="3"/>
  <c r="AM183" i="3"/>
  <c r="AM187" i="3"/>
  <c r="AM185" i="3"/>
  <c r="AM189" i="3"/>
  <c r="AM175" i="3"/>
  <c r="AM181" i="3"/>
  <c r="AM191" i="3"/>
  <c r="AM173" i="3"/>
  <c r="AM64" i="3"/>
  <c r="AM69" i="3"/>
  <c r="AM67" i="3"/>
  <c r="AM68" i="3"/>
  <c r="AM66" i="3"/>
  <c r="AM75" i="3"/>
  <c r="AQ75" i="3" s="1"/>
  <c r="AM140" i="3"/>
  <c r="AM139" i="3"/>
  <c r="AM136" i="3"/>
  <c r="AM135" i="3"/>
  <c r="AM134" i="3"/>
  <c r="AM132" i="3"/>
  <c r="AM133" i="3"/>
  <c r="AM238" i="3"/>
  <c r="AN238" i="3" s="1"/>
  <c r="AM12" i="3"/>
  <c r="AM243" i="3"/>
  <c r="AM242" i="3"/>
  <c r="AM241" i="3"/>
  <c r="AM9" i="3"/>
  <c r="AN9" i="3" s="1"/>
  <c r="AM19" i="3"/>
  <c r="AM228" i="3"/>
  <c r="AN228" i="3" s="1"/>
  <c r="AM237" i="3"/>
  <c r="AM52" i="3"/>
  <c r="AN52" i="3" s="1"/>
  <c r="AM58" i="3"/>
  <c r="AM35" i="3"/>
  <c r="AN35" i="3" s="1"/>
  <c r="AM28" i="3"/>
  <c r="AM56" i="3"/>
  <c r="AM55" i="3"/>
  <c r="AM51" i="3"/>
  <c r="AM53" i="3"/>
  <c r="AM54" i="3"/>
  <c r="AM25" i="3"/>
  <c r="AM23" i="3"/>
  <c r="AM22" i="3"/>
  <c r="AM24" i="3"/>
  <c r="AM30" i="3"/>
  <c r="AM29" i="3"/>
  <c r="AM18" i="3"/>
  <c r="AM17" i="3"/>
  <c r="AM229" i="3"/>
  <c r="AN229" i="3" s="1"/>
  <c r="AM16" i="3"/>
  <c r="AM239" i="3"/>
  <c r="AN239" i="3" s="1"/>
  <c r="AM223" i="3"/>
  <c r="AM305" i="3"/>
  <c r="AM306" i="3"/>
  <c r="AM124" i="3"/>
  <c r="AM123" i="3"/>
  <c r="AM304" i="3"/>
  <c r="AM300" i="3"/>
  <c r="AM302" i="3"/>
  <c r="AM299" i="3"/>
  <c r="AM303" i="3"/>
  <c r="AM301" i="3"/>
  <c r="AM59" i="3"/>
  <c r="AN59" i="3" s="1"/>
  <c r="AM307" i="3"/>
  <c r="AM72" i="3"/>
  <c r="AM74" i="3"/>
  <c r="AM71" i="3"/>
  <c r="AM73" i="3"/>
  <c r="AM79" i="3"/>
  <c r="AM76" i="3"/>
  <c r="AM77" i="3"/>
  <c r="AM78" i="3"/>
  <c r="AM224" i="3"/>
  <c r="AN224" i="3" s="1"/>
  <c r="AM70" i="3"/>
  <c r="AM213" i="3"/>
  <c r="AN213" i="3" s="1"/>
  <c r="AM225" i="3"/>
  <c r="AM147" i="3"/>
  <c r="AM145" i="3"/>
  <c r="AM146" i="3"/>
  <c r="AM144" i="3"/>
  <c r="AM143" i="3"/>
  <c r="AQ111" i="3"/>
  <c r="AM142" i="3"/>
  <c r="AM38" i="3"/>
  <c r="AN38" i="3" s="1"/>
  <c r="AM80" i="3"/>
  <c r="AM81" i="3"/>
  <c r="AM82" i="3"/>
  <c r="AM47" i="3"/>
  <c r="AM49" i="3"/>
  <c r="AM48" i="3"/>
  <c r="AM240" i="3"/>
  <c r="AN240" i="3" s="1"/>
  <c r="AM50" i="3"/>
  <c r="AM46" i="3"/>
  <c r="AM236" i="3"/>
  <c r="AM11" i="3"/>
  <c r="AN11" i="3" s="1"/>
  <c r="AQ192" i="3"/>
  <c r="AM13" i="3"/>
  <c r="AM26" i="3"/>
  <c r="AM21" i="3"/>
  <c r="AM45" i="3"/>
  <c r="AM41" i="3"/>
  <c r="AM42" i="3"/>
  <c r="AM43" i="3"/>
  <c r="AM44" i="3"/>
  <c r="AM27" i="3"/>
  <c r="AM15" i="3"/>
  <c r="AM222" i="3"/>
  <c r="AM40" i="3"/>
  <c r="AN40" i="3" s="1"/>
  <c r="AM39" i="3"/>
  <c r="AM219" i="3"/>
  <c r="AN219" i="3" s="1"/>
  <c r="AM63" i="3"/>
  <c r="AM31" i="3"/>
  <c r="AM37" i="3"/>
  <c r="AM36" i="3"/>
  <c r="AM34" i="3"/>
  <c r="AM32" i="3"/>
  <c r="AM33" i="3"/>
  <c r="AM20" i="3"/>
  <c r="AQ4" i="3"/>
  <c r="J62" i="3"/>
  <c r="AL267" i="3"/>
  <c r="AS309" i="3"/>
  <c r="AK226" i="3"/>
  <c r="J61" i="3"/>
  <c r="AS89" i="3"/>
  <c r="AG149" i="3"/>
  <c r="G4" i="4"/>
  <c r="BG4" i="4" s="1"/>
  <c r="AS85" i="3"/>
  <c r="AK126" i="3"/>
  <c r="AI122" i="3"/>
  <c r="AK10" i="3"/>
  <c r="AC85" i="3"/>
  <c r="AK247" i="3"/>
  <c r="AJ267" i="3"/>
  <c r="AK267" i="3" s="1"/>
  <c r="J10" i="3"/>
  <c r="AD104" i="3"/>
  <c r="AS260" i="3"/>
  <c r="AH263" i="3"/>
  <c r="AK7" i="3"/>
  <c r="J60" i="3"/>
  <c r="AE88" i="3"/>
  <c r="AI203" i="3"/>
  <c r="J203" i="3" s="1"/>
  <c r="AD210" i="3"/>
  <c r="AK218" i="3"/>
  <c r="AG277" i="3"/>
  <c r="AS99" i="3"/>
  <c r="AK131" i="3"/>
  <c r="AH197" i="3"/>
  <c r="AK207" i="3"/>
  <c r="AG210" i="3"/>
  <c r="AI277" i="3"/>
  <c r="AL210" i="3"/>
  <c r="AC160" i="3"/>
  <c r="J249" i="3"/>
  <c r="AC287" i="3"/>
  <c r="AK129" i="3"/>
  <c r="J130" i="3"/>
  <c r="J126" i="3"/>
  <c r="AS166" i="3"/>
  <c r="J230" i="3"/>
  <c r="J246" i="3"/>
  <c r="AS111" i="3"/>
  <c r="J138" i="3"/>
  <c r="J234" i="3"/>
  <c r="AQ290" i="3"/>
  <c r="AL118" i="3"/>
  <c r="AI210" i="3"/>
  <c r="J250" i="3"/>
  <c r="AJ277" i="3"/>
  <c r="AK277" i="3" s="1"/>
  <c r="AI283" i="3"/>
  <c r="AE104" i="3"/>
  <c r="AG167" i="3"/>
  <c r="AS160" i="3"/>
  <c r="AC119" i="3"/>
  <c r="AE279" i="3"/>
  <c r="AD195" i="3"/>
  <c r="AK216" i="3"/>
  <c r="J226" i="3"/>
  <c r="J310" i="3"/>
  <c r="J131" i="3"/>
  <c r="AJ210" i="3"/>
  <c r="AK210" i="3" s="1"/>
  <c r="J218" i="3"/>
  <c r="AK220" i="3"/>
  <c r="J235" i="3"/>
  <c r="AK255" i="3"/>
  <c r="J256" i="3"/>
  <c r="AD261" i="3"/>
  <c r="AD84" i="3"/>
  <c r="AH94" i="3"/>
  <c r="AD100" i="3"/>
  <c r="AS115" i="3"/>
  <c r="AD161" i="3"/>
  <c r="AK251" i="3"/>
  <c r="AG261" i="3"/>
  <c r="AK289" i="3"/>
  <c r="AS290" i="3"/>
  <c r="AI308" i="3"/>
  <c r="AG84" i="3"/>
  <c r="AD86" i="3"/>
  <c r="AG100" i="3"/>
  <c r="AD151" i="3"/>
  <c r="AD157" i="3"/>
  <c r="AH161" i="3"/>
  <c r="AC166" i="3"/>
  <c r="J212" i="3"/>
  <c r="J251" i="3"/>
  <c r="J258" i="3"/>
  <c r="AH261" i="3"/>
  <c r="J289" i="3"/>
  <c r="AH84" i="3"/>
  <c r="AH98" i="3"/>
  <c r="AH100" i="3"/>
  <c r="AQ103" i="3"/>
  <c r="AD114" i="3"/>
  <c r="AH151" i="3"/>
  <c r="AK151" i="3" s="1"/>
  <c r="AH157" i="3"/>
  <c r="AL161" i="3"/>
  <c r="AE201" i="3"/>
  <c r="AG205" i="3"/>
  <c r="AI261" i="3"/>
  <c r="AS6" i="3"/>
  <c r="AI84" i="3"/>
  <c r="AI100" i="3"/>
  <c r="AI114" i="3"/>
  <c r="AI157" i="3"/>
  <c r="AC164" i="3"/>
  <c r="AJ201" i="3"/>
  <c r="AJ205" i="3"/>
  <c r="AK205" i="3" s="1"/>
  <c r="J214" i="3"/>
  <c r="J231" i="3"/>
  <c r="AJ261" i="3"/>
  <c r="AD267" i="3"/>
  <c r="AH271" i="3"/>
  <c r="AD277" i="3"/>
  <c r="AS278" i="3"/>
  <c r="J313" i="3"/>
  <c r="AS83" i="3"/>
  <c r="AJ84" i="3"/>
  <c r="AH92" i="3"/>
  <c r="AJ100" i="3"/>
  <c r="AS103" i="3"/>
  <c r="AS119" i="3"/>
  <c r="AJ157" i="3"/>
  <c r="J129" i="3"/>
  <c r="J208" i="3"/>
  <c r="J285" i="3"/>
  <c r="AS198" i="3"/>
  <c r="AS202" i="3"/>
  <c r="J233" i="3"/>
  <c r="AC264" i="3"/>
  <c r="AK318" i="3"/>
  <c r="J288" i="3"/>
  <c r="AK233" i="3"/>
  <c r="AK246" i="3"/>
  <c r="J247" i="3"/>
  <c r="J215" i="3"/>
  <c r="AK235" i="3"/>
  <c r="J248" i="3"/>
  <c r="AK258" i="3"/>
  <c r="J259" i="3"/>
  <c r="AC270" i="3"/>
  <c r="AS315" i="3"/>
  <c r="AC260" i="3"/>
  <c r="AS270" i="3"/>
  <c r="AK291" i="3"/>
  <c r="AK314" i="3"/>
  <c r="AK316" i="3"/>
  <c r="AK212" i="3"/>
  <c r="AK250" i="3"/>
  <c r="J254" i="3"/>
  <c r="J255" i="3"/>
  <c r="AS262" i="3"/>
  <c r="AQ280" i="3"/>
  <c r="J316" i="3"/>
  <c r="AQ6" i="3"/>
  <c r="J7" i="3"/>
  <c r="AG92" i="3"/>
  <c r="AE98" i="3"/>
  <c r="AI98" i="3"/>
  <c r="AG98" i="3"/>
  <c r="AQ105" i="3"/>
  <c r="AC105" i="3"/>
  <c r="AE108" i="3"/>
  <c r="AH108" i="3"/>
  <c r="AD108" i="3"/>
  <c r="AJ159" i="3"/>
  <c r="AH159" i="3"/>
  <c r="AG159" i="3"/>
  <c r="AD159" i="3"/>
  <c r="AE120" i="3"/>
  <c r="AC137" i="3"/>
  <c r="AQ137" i="3"/>
  <c r="AI265" i="3"/>
  <c r="AE265" i="3"/>
  <c r="AD265" i="3"/>
  <c r="AR4" i="3"/>
  <c r="J5" i="3"/>
  <c r="AC83" i="3"/>
  <c r="AC89" i="3"/>
  <c r="AG96" i="3"/>
  <c r="AI96" i="3"/>
  <c r="AD98" i="3"/>
  <c r="AJ102" i="3"/>
  <c r="AI102" i="3"/>
  <c r="AG108" i="3"/>
  <c r="AC111" i="3"/>
  <c r="AS113" i="3"/>
  <c r="AQ113" i="3"/>
  <c r="AK14" i="3"/>
  <c r="AQ87" i="3"/>
  <c r="AQ99" i="3"/>
  <c r="AC99" i="3"/>
  <c r="AE127" i="3"/>
  <c r="AL127" i="3"/>
  <c r="AJ127" i="3"/>
  <c r="AH127" i="3"/>
  <c r="AG127" i="3"/>
  <c r="AD127" i="3"/>
  <c r="AI159" i="3"/>
  <c r="AJ98" i="3"/>
  <c r="AD102" i="3"/>
  <c r="AE122" i="3"/>
  <c r="AJ122" i="3"/>
  <c r="AH122" i="3"/>
  <c r="AD122" i="3"/>
  <c r="AL122" i="3"/>
  <c r="AQ150" i="3"/>
  <c r="AC150" i="3"/>
  <c r="AS150" i="3"/>
  <c r="AQ156" i="3"/>
  <c r="AS156" i="3"/>
  <c r="AL159" i="3"/>
  <c r="AS162" i="3"/>
  <c r="AE193" i="3"/>
  <c r="AL193" i="3"/>
  <c r="AI193" i="3"/>
  <c r="AK4" i="3"/>
  <c r="AQ57" i="3"/>
  <c r="AS87" i="3"/>
  <c r="AE92" i="3"/>
  <c r="AD92" i="3"/>
  <c r="AS95" i="3"/>
  <c r="AS101" i="3"/>
  <c r="AC101" i="3"/>
  <c r="AH110" i="3"/>
  <c r="AJ110" i="3"/>
  <c r="J110" i="3" s="1"/>
  <c r="AS125" i="3"/>
  <c r="AQ125" i="3"/>
  <c r="AS128" i="3"/>
  <c r="AC128" i="3"/>
  <c r="AQ128" i="3"/>
  <c r="AJ86" i="3"/>
  <c r="J86" i="3" s="1"/>
  <c r="AL86" i="3"/>
  <c r="AJ96" i="3"/>
  <c r="AS105" i="3"/>
  <c r="AJ114" i="3"/>
  <c r="AL114" i="3"/>
  <c r="AH114" i="3"/>
  <c r="AI127" i="3"/>
  <c r="AH141" i="3"/>
  <c r="AL141" i="3"/>
  <c r="AJ141" i="3"/>
  <c r="AI141" i="3"/>
  <c r="AG141" i="3"/>
  <c r="AD141" i="3"/>
  <c r="AC168" i="3"/>
  <c r="AQ168" i="3"/>
  <c r="AE199" i="3"/>
  <c r="AL199" i="3"/>
  <c r="AI199" i="3"/>
  <c r="AH199" i="3"/>
  <c r="AG199" i="3"/>
  <c r="AD199" i="3"/>
  <c r="AQ217" i="3"/>
  <c r="AC217" i="3"/>
  <c r="AS217" i="3"/>
  <c r="AN4" i="3"/>
  <c r="AS57" i="3"/>
  <c r="AK60" i="3"/>
  <c r="AJ120" i="3"/>
  <c r="J120" i="3" s="1"/>
  <c r="AG120" i="3"/>
  <c r="AS137" i="3"/>
  <c r="AQ148" i="3"/>
  <c r="AC148" i="3"/>
  <c r="AJ153" i="3"/>
  <c r="AL153" i="3"/>
  <c r="AI153" i="3"/>
  <c r="AE153" i="3"/>
  <c r="AD153" i="3"/>
  <c r="AS192" i="3"/>
  <c r="AS196" i="3"/>
  <c r="AQ202" i="3"/>
  <c r="AL205" i="3"/>
  <c r="J207" i="3"/>
  <c r="AK234" i="3"/>
  <c r="AC262" i="3"/>
  <c r="AI267" i="3"/>
  <c r="AL271" i="3"/>
  <c r="AC274" i="3"/>
  <c r="AS274" i="3"/>
  <c r="AS280" i="3"/>
  <c r="J286" i="3"/>
  <c r="AK311" i="3"/>
  <c r="J318" i="3"/>
  <c r="AL151" i="3"/>
  <c r="AC196" i="3"/>
  <c r="AC202" i="3"/>
  <c r="AI292" i="3"/>
  <c r="AD308" i="3"/>
  <c r="AS148" i="3"/>
  <c r="AG308" i="3"/>
  <c r="J314" i="3"/>
  <c r="AS97" i="3"/>
  <c r="AK130" i="3"/>
  <c r="AD149" i="3"/>
  <c r="AL157" i="3"/>
  <c r="AG201" i="3"/>
  <c r="AD205" i="3"/>
  <c r="J220" i="3"/>
  <c r="AK254" i="3"/>
  <c r="J291" i="3"/>
  <c r="AH308" i="3"/>
  <c r="AS168" i="3"/>
  <c r="AK208" i="3"/>
  <c r="AK232" i="3"/>
  <c r="AD271" i="3"/>
  <c r="AJ273" i="3"/>
  <c r="AS276" i="3"/>
  <c r="AE118" i="3"/>
  <c r="AL149" i="3"/>
  <c r="AE151" i="3"/>
  <c r="AS158" i="3"/>
  <c r="AC162" i="3"/>
  <c r="AE167" i="3"/>
  <c r="AC192" i="3"/>
  <c r="AL195" i="3"/>
  <c r="AL201" i="3"/>
  <c r="AE203" i="3"/>
  <c r="AS204" i="3"/>
  <c r="AI205" i="3"/>
  <c r="J216" i="3"/>
  <c r="AK248" i="3"/>
  <c r="AK256" i="3"/>
  <c r="AL261" i="3"/>
  <c r="AG271" i="3"/>
  <c r="AC276" i="3"/>
  <c r="AL277" i="3"/>
  <c r="AK288" i="3"/>
  <c r="AL308" i="3"/>
  <c r="AI151" i="3"/>
  <c r="J151" i="3" s="1"/>
  <c r="AG157" i="3"/>
  <c r="AL167" i="3"/>
  <c r="AC198" i="3"/>
  <c r="AS264" i="3"/>
  <c r="AE267" i="3"/>
  <c r="AI271" i="3"/>
  <c r="AS287" i="3"/>
  <c r="AQ309" i="3"/>
  <c r="AK310" i="3"/>
  <c r="J317" i="3"/>
  <c r="C34" i="2"/>
  <c r="C35" i="2"/>
  <c r="C36" i="2"/>
  <c r="C31" i="2"/>
  <c r="AM57" i="3"/>
  <c r="AC4" i="3"/>
  <c r="AS4" i="3"/>
  <c r="AC6" i="3"/>
  <c r="AK5" i="3"/>
  <c r="AM5" i="3"/>
  <c r="AN5" i="3" s="1"/>
  <c r="AM7" i="3"/>
  <c r="AQ7" i="3" s="1"/>
  <c r="AM4" i="3"/>
  <c r="AM6" i="3"/>
  <c r="AM14" i="3"/>
  <c r="AQ14" i="3" s="1"/>
  <c r="AM312" i="3"/>
  <c r="AM289" i="3"/>
  <c r="AQ289" i="3" s="1"/>
  <c r="AM313" i="3"/>
  <c r="AQ313" i="3" s="1"/>
  <c r="AM290" i="3"/>
  <c r="AM314" i="3"/>
  <c r="AM292" i="3"/>
  <c r="AQ292" i="3" s="1"/>
  <c r="AM291" i="3"/>
  <c r="AM315" i="3"/>
  <c r="AM284" i="3"/>
  <c r="AM316" i="3"/>
  <c r="AQ316" i="3" s="1"/>
  <c r="AM308" i="3"/>
  <c r="AM285" i="3"/>
  <c r="AN285" i="3" s="1"/>
  <c r="AM271" i="3"/>
  <c r="AM270" i="3"/>
  <c r="AM317" i="3"/>
  <c r="AQ317" i="3" s="1"/>
  <c r="AM309" i="3"/>
  <c r="AM286" i="3"/>
  <c r="AQ286" i="3" s="1"/>
  <c r="AM311" i="3"/>
  <c r="AN311" i="3" s="1"/>
  <c r="AM288" i="3"/>
  <c r="AN288" i="3" s="1"/>
  <c r="AM277" i="3"/>
  <c r="AM276" i="3"/>
  <c r="AM318" i="3"/>
  <c r="AQ318" i="3" s="1"/>
  <c r="AM275" i="3"/>
  <c r="AM269" i="3"/>
  <c r="AM266" i="3"/>
  <c r="AM278" i="3"/>
  <c r="AM280" i="3"/>
  <c r="AM274" i="3"/>
  <c r="AM265" i="3"/>
  <c r="AM279" i="3"/>
  <c r="AQ279" i="3" s="1"/>
  <c r="AM268" i="3"/>
  <c r="AM261" i="3"/>
  <c r="AM260" i="3"/>
  <c r="AM281" i="3"/>
  <c r="AM273" i="3"/>
  <c r="AQ273" i="3" s="1"/>
  <c r="AM310" i="3"/>
  <c r="AQ310" i="3" s="1"/>
  <c r="AM283" i="3"/>
  <c r="AM267" i="3"/>
  <c r="AM287" i="3"/>
  <c r="AM282" i="3"/>
  <c r="AM272" i="3"/>
  <c r="AM262" i="3"/>
  <c r="AM258" i="3"/>
  <c r="AN258" i="3" s="1"/>
  <c r="AM250" i="3"/>
  <c r="AN250" i="3" s="1"/>
  <c r="AM234" i="3"/>
  <c r="AN234" i="3" s="1"/>
  <c r="AM263" i="3"/>
  <c r="AM251" i="3"/>
  <c r="AQ251" i="3" s="1"/>
  <c r="AM235" i="3"/>
  <c r="AN235" i="3" s="1"/>
  <c r="AM264" i="3"/>
  <c r="AM254" i="3"/>
  <c r="AQ254" i="3" s="1"/>
  <c r="AM246" i="3"/>
  <c r="AN246" i="3" s="1"/>
  <c r="AM230" i="3"/>
  <c r="AQ230" i="3" s="1"/>
  <c r="AM259" i="3"/>
  <c r="AQ259" i="3" s="1"/>
  <c r="AM253" i="3"/>
  <c r="AQ253" i="3" s="1"/>
  <c r="AM245" i="3"/>
  <c r="AQ245" i="3" s="1"/>
  <c r="AM257" i="3"/>
  <c r="AQ257" i="3" s="1"/>
  <c r="AM249" i="3"/>
  <c r="AN249" i="3" s="1"/>
  <c r="AM233" i="3"/>
  <c r="AQ233" i="3" s="1"/>
  <c r="AM231" i="3"/>
  <c r="AQ231" i="3" s="1"/>
  <c r="AM227" i="3"/>
  <c r="AM214" i="3"/>
  <c r="AQ214" i="3" s="1"/>
  <c r="AM217" i="3"/>
  <c r="AM210" i="3"/>
  <c r="AM209" i="3"/>
  <c r="AM255" i="3"/>
  <c r="AN255" i="3" s="1"/>
  <c r="AM216" i="3"/>
  <c r="AM211" i="3"/>
  <c r="AM212" i="3"/>
  <c r="AQ212" i="3" s="1"/>
  <c r="AM199" i="3"/>
  <c r="AM198" i="3"/>
  <c r="AM232" i="3"/>
  <c r="AQ232" i="3" s="1"/>
  <c r="AM221" i="3"/>
  <c r="AM220" i="3"/>
  <c r="AQ220" i="3" s="1"/>
  <c r="AM218" i="3"/>
  <c r="AQ218" i="3" s="1"/>
  <c r="AM215" i="3"/>
  <c r="AQ215" i="3" s="1"/>
  <c r="AM248" i="3"/>
  <c r="AQ248" i="3" s="1"/>
  <c r="AM252" i="3"/>
  <c r="AM205" i="3"/>
  <c r="AM204" i="3"/>
  <c r="AM244" i="3"/>
  <c r="AM206" i="3"/>
  <c r="AM201" i="3"/>
  <c r="AM195" i="3"/>
  <c r="AM200" i="3"/>
  <c r="AM203" i="3"/>
  <c r="AM197" i="3"/>
  <c r="AM194" i="3"/>
  <c r="AM157" i="3"/>
  <c r="AM156" i="3"/>
  <c r="AM256" i="3"/>
  <c r="AQ256" i="3" s="1"/>
  <c r="AM159" i="3"/>
  <c r="AM158" i="3"/>
  <c r="AM208" i="3"/>
  <c r="AN208" i="3" s="1"/>
  <c r="AM202" i="3"/>
  <c r="AM193" i="3"/>
  <c r="AM247" i="3"/>
  <c r="AQ247" i="3" s="1"/>
  <c r="AM192" i="3"/>
  <c r="AM151" i="3"/>
  <c r="AM148" i="3"/>
  <c r="AM130" i="3"/>
  <c r="AM165" i="3"/>
  <c r="AM154" i="3"/>
  <c r="AM131" i="3"/>
  <c r="AN131" i="3" s="1"/>
  <c r="AM163" i="3"/>
  <c r="AM161" i="3"/>
  <c r="AM153" i="3"/>
  <c r="AM149" i="3"/>
  <c r="AM137" i="3"/>
  <c r="AM226" i="3"/>
  <c r="AN226" i="3" s="1"/>
  <c r="AM207" i="3"/>
  <c r="AM168" i="3"/>
  <c r="AM160" i="3"/>
  <c r="AM152" i="3"/>
  <c r="AM138" i="3"/>
  <c r="AQ138" i="3" s="1"/>
  <c r="AM125" i="3"/>
  <c r="AM196" i="3"/>
  <c r="AM169" i="3"/>
  <c r="AM164" i="3"/>
  <c r="AM162" i="3"/>
  <c r="AM150" i="3"/>
  <c r="AM127" i="3"/>
  <c r="AM126" i="3"/>
  <c r="AN126" i="3" s="1"/>
  <c r="AM122" i="3"/>
  <c r="AQ122" i="3" s="1"/>
  <c r="AM121" i="3"/>
  <c r="AM167" i="3"/>
  <c r="AM166" i="3"/>
  <c r="AM141" i="3"/>
  <c r="AM128" i="3"/>
  <c r="AM118" i="3"/>
  <c r="AM155" i="3"/>
  <c r="AM129" i="3"/>
  <c r="AQ129" i="3" s="1"/>
  <c r="AM117" i="3"/>
  <c r="AM114" i="3"/>
  <c r="AQ114" i="3" s="1"/>
  <c r="AM113" i="3"/>
  <c r="AM112" i="3"/>
  <c r="AM108" i="3"/>
  <c r="AM107" i="3"/>
  <c r="AM92" i="3"/>
  <c r="AM91" i="3"/>
  <c r="AM60" i="3"/>
  <c r="AN60" i="3" s="1"/>
  <c r="AM115" i="3"/>
  <c r="AM109" i="3"/>
  <c r="AM94" i="3"/>
  <c r="AQ94" i="3" s="1"/>
  <c r="AM93" i="3"/>
  <c r="AM61" i="3"/>
  <c r="AQ61" i="3" s="1"/>
  <c r="AM96" i="3"/>
  <c r="AM95" i="3"/>
  <c r="AM62" i="3"/>
  <c r="AQ62" i="3" s="1"/>
  <c r="AM120" i="3"/>
  <c r="AM110" i="3"/>
  <c r="AM98" i="3"/>
  <c r="AM97" i="3"/>
  <c r="AM100" i="3"/>
  <c r="AM99" i="3"/>
  <c r="AM84" i="3"/>
  <c r="AM83" i="3"/>
  <c r="AM111" i="3"/>
  <c r="AM102" i="3"/>
  <c r="AM101" i="3"/>
  <c r="AM86" i="3"/>
  <c r="AM85" i="3"/>
  <c r="AM119" i="3"/>
  <c r="AM90" i="3"/>
  <c r="AM89" i="3"/>
  <c r="AM116" i="3"/>
  <c r="AM104" i="3"/>
  <c r="AM103" i="3"/>
  <c r="AM88" i="3"/>
  <c r="AM87" i="3"/>
  <c r="AM106" i="3"/>
  <c r="AM105" i="3"/>
  <c r="AS109" i="3"/>
  <c r="AC109" i="3"/>
  <c r="AQ109" i="3"/>
  <c r="AM10" i="3"/>
  <c r="AN10" i="3" s="1"/>
  <c r="J14" i="3"/>
  <c r="AK62" i="3"/>
  <c r="AL90" i="3"/>
  <c r="AD90" i="3"/>
  <c r="AJ90" i="3"/>
  <c r="AI90" i="3"/>
  <c r="AH90" i="3"/>
  <c r="AG90" i="3"/>
  <c r="AS107" i="3"/>
  <c r="AC107" i="3"/>
  <c r="AQ107" i="3"/>
  <c r="AL106" i="3"/>
  <c r="AD106" i="3"/>
  <c r="AJ106" i="3"/>
  <c r="AI106" i="3"/>
  <c r="AH106" i="3"/>
  <c r="AG106" i="3"/>
  <c r="AI112" i="3"/>
  <c r="AL112" i="3"/>
  <c r="AJ112" i="3"/>
  <c r="AH112" i="3"/>
  <c r="AG112" i="3"/>
  <c r="AJ116" i="3"/>
  <c r="AE116" i="3"/>
  <c r="AL116" i="3"/>
  <c r="AH116" i="3"/>
  <c r="AG116" i="3"/>
  <c r="AD116" i="3"/>
  <c r="AI116" i="3"/>
  <c r="AJ88" i="3"/>
  <c r="AI88" i="3"/>
  <c r="AH88" i="3"/>
  <c r="AG88" i="3"/>
  <c r="AE90" i="3"/>
  <c r="AK61" i="3"/>
  <c r="AS93" i="3"/>
  <c r="AC93" i="3"/>
  <c r="AQ93" i="3"/>
  <c r="AD112" i="3"/>
  <c r="AC115" i="3"/>
  <c r="AQ115" i="3"/>
  <c r="AD88" i="3"/>
  <c r="AS91" i="3"/>
  <c r="AC91" i="3"/>
  <c r="AQ91" i="3"/>
  <c r="AJ104" i="3"/>
  <c r="AI104" i="3"/>
  <c r="AH104" i="3"/>
  <c r="AG104" i="3"/>
  <c r="AE106" i="3"/>
  <c r="AE112" i="3"/>
  <c r="AE86" i="3"/>
  <c r="AI94" i="3"/>
  <c r="AC97" i="3"/>
  <c r="AE102" i="3"/>
  <c r="AD118" i="3"/>
  <c r="AJ118" i="3"/>
  <c r="AK118" i="3" s="1"/>
  <c r="AI118" i="3"/>
  <c r="AG118" i="3"/>
  <c r="AE84" i="3"/>
  <c r="AI92" i="3"/>
  <c r="AJ94" i="3"/>
  <c r="AC95" i="3"/>
  <c r="AE100" i="3"/>
  <c r="AI108" i="3"/>
  <c r="AL110" i="3"/>
  <c r="AG86" i="3"/>
  <c r="AJ92" i="3"/>
  <c r="AD96" i="3"/>
  <c r="AL96" i="3"/>
  <c r="AG102" i="3"/>
  <c r="AJ108" i="3"/>
  <c r="AD110" i="3"/>
  <c r="AQ121" i="3"/>
  <c r="AH86" i="3"/>
  <c r="AD94" i="3"/>
  <c r="AL94" i="3"/>
  <c r="AE96" i="3"/>
  <c r="AH102" i="3"/>
  <c r="AE110" i="3"/>
  <c r="AS121" i="3"/>
  <c r="AE94" i="3"/>
  <c r="AG110" i="3"/>
  <c r="AE114" i="3"/>
  <c r="AL120" i="3"/>
  <c r="AD120" i="3"/>
  <c r="AJ169" i="3"/>
  <c r="AG169" i="3"/>
  <c r="AH169" i="3"/>
  <c r="AE169" i="3"/>
  <c r="AD169" i="3"/>
  <c r="AL169" i="3"/>
  <c r="AH120" i="3"/>
  <c r="AS117" i="3"/>
  <c r="AC117" i="3"/>
  <c r="AI169" i="3"/>
  <c r="AK138" i="3"/>
  <c r="AH163" i="3"/>
  <c r="AG163" i="3"/>
  <c r="AE163" i="3"/>
  <c r="AD163" i="3"/>
  <c r="AL163" i="3"/>
  <c r="AJ163" i="3"/>
  <c r="AI163" i="3"/>
  <c r="AI165" i="3"/>
  <c r="AH165" i="3"/>
  <c r="AD165" i="3"/>
  <c r="AL165" i="3"/>
  <c r="AJ165" i="3"/>
  <c r="AG165" i="3"/>
  <c r="AC125" i="3"/>
  <c r="AH149" i="3"/>
  <c r="AG153" i="3"/>
  <c r="AG161" i="3"/>
  <c r="AI161" i="3"/>
  <c r="AE141" i="3"/>
  <c r="AJ149" i="3"/>
  <c r="J149" i="3" s="1"/>
  <c r="AG151" i="3"/>
  <c r="AH153" i="3"/>
  <c r="AS154" i="3"/>
  <c r="AC154" i="3"/>
  <c r="AQ154" i="3"/>
  <c r="AE155" i="3"/>
  <c r="AC158" i="3"/>
  <c r="AJ161" i="3"/>
  <c r="AC156" i="3"/>
  <c r="AL155" i="3"/>
  <c r="AD155" i="3"/>
  <c r="AG155" i="3"/>
  <c r="AQ206" i="3"/>
  <c r="AC206" i="3"/>
  <c r="AS206" i="3"/>
  <c r="AH155" i="3"/>
  <c r="AE149" i="3"/>
  <c r="AS152" i="3"/>
  <c r="AC152" i="3"/>
  <c r="AI155" i="3"/>
  <c r="J155" i="3" s="1"/>
  <c r="AS164" i="3"/>
  <c r="AJ167" i="3"/>
  <c r="AI167" i="3"/>
  <c r="AH167" i="3"/>
  <c r="AE195" i="3"/>
  <c r="AG197" i="3"/>
  <c r="AS200" i="3"/>
  <c r="AC200" i="3"/>
  <c r="AQ200" i="3"/>
  <c r="AG203" i="3"/>
  <c r="AL203" i="3"/>
  <c r="AD203" i="3"/>
  <c r="AH203" i="3"/>
  <c r="AG195" i="3"/>
  <c r="AJ197" i="3"/>
  <c r="AQ204" i="3"/>
  <c r="AE159" i="3"/>
  <c r="AD193" i="3"/>
  <c r="AI195" i="3"/>
  <c r="AQ198" i="3"/>
  <c r="AH201" i="3"/>
  <c r="AQ211" i="3"/>
  <c r="AC211" i="3"/>
  <c r="AS211" i="3"/>
  <c r="AK214" i="3"/>
  <c r="AK257" i="3"/>
  <c r="J257" i="3"/>
  <c r="AJ195" i="3"/>
  <c r="AK195" i="3" s="1"/>
  <c r="AI201" i="3"/>
  <c r="AC209" i="3"/>
  <c r="AS209" i="3"/>
  <c r="AJ193" i="3"/>
  <c r="AG193" i="3"/>
  <c r="AH193" i="3"/>
  <c r="AK215" i="3"/>
  <c r="AS194" i="3"/>
  <c r="AC194" i="3"/>
  <c r="AQ194" i="3"/>
  <c r="AL197" i="3"/>
  <c r="AD197" i="3"/>
  <c r="AI197" i="3"/>
  <c r="AS221" i="3"/>
  <c r="AC221" i="3"/>
  <c r="AJ199" i="3"/>
  <c r="AE205" i="3"/>
  <c r="AK230" i="3"/>
  <c r="AK231" i="3"/>
  <c r="AS227" i="3"/>
  <c r="AC227" i="3"/>
  <c r="AK245" i="3"/>
  <c r="AK249" i="3"/>
  <c r="AK253" i="3"/>
  <c r="AQ221" i="3"/>
  <c r="AE210" i="3"/>
  <c r="J245" i="3"/>
  <c r="J253" i="3"/>
  <c r="AS266" i="3"/>
  <c r="AC266" i="3"/>
  <c r="AQ266" i="3"/>
  <c r="AK259" i="3"/>
  <c r="J232" i="3"/>
  <c r="AS244" i="3"/>
  <c r="AS252" i="3"/>
  <c r="AC244" i="3"/>
  <c r="AC252" i="3"/>
  <c r="AG263" i="3"/>
  <c r="AJ263" i="3"/>
  <c r="AL263" i="3"/>
  <c r="AQ260" i="3"/>
  <c r="AL269" i="3"/>
  <c r="AD269" i="3"/>
  <c r="AI269" i="3"/>
  <c r="AJ269" i="3"/>
  <c r="AH269" i="3"/>
  <c r="AG269" i="3"/>
  <c r="AE269" i="3"/>
  <c r="AD263" i="3"/>
  <c r="AQ278" i="3"/>
  <c r="AC278" i="3"/>
  <c r="AE263" i="3"/>
  <c r="AJ265" i="3"/>
  <c r="AG265" i="3"/>
  <c r="AH265" i="3"/>
  <c r="AS268" i="3"/>
  <c r="AL273" i="3"/>
  <c r="AJ279" i="3"/>
  <c r="AI279" i="3"/>
  <c r="AH279" i="3"/>
  <c r="AJ281" i="3"/>
  <c r="AK281" i="3" s="1"/>
  <c r="AI281" i="3"/>
  <c r="AG281" i="3"/>
  <c r="AL281" i="3"/>
  <c r="AS272" i="3"/>
  <c r="AC272" i="3"/>
  <c r="AQ272" i="3"/>
  <c r="AD273" i="3"/>
  <c r="AG275" i="3"/>
  <c r="AL275" i="3"/>
  <c r="AD275" i="3"/>
  <c r="AH275" i="3"/>
  <c r="AL279" i="3"/>
  <c r="AG283" i="3"/>
  <c r="AL283" i="3"/>
  <c r="AD283" i="3"/>
  <c r="AJ283" i="3"/>
  <c r="AH283" i="3"/>
  <c r="AS284" i="3"/>
  <c r="AC284" i="3"/>
  <c r="AQ284" i="3"/>
  <c r="AS312" i="3"/>
  <c r="AC312" i="3"/>
  <c r="AQ312" i="3"/>
  <c r="AL265" i="3"/>
  <c r="AC268" i="3"/>
  <c r="AE273" i="3"/>
  <c r="AI275" i="3"/>
  <c r="AS282" i="3"/>
  <c r="AK285" i="3"/>
  <c r="AG267" i="3"/>
  <c r="AJ275" i="3"/>
  <c r="AK313" i="3"/>
  <c r="AH273" i="3"/>
  <c r="AD281" i="3"/>
  <c r="AK286" i="3"/>
  <c r="AI273" i="3"/>
  <c r="AD279" i="3"/>
  <c r="AE281" i="3"/>
  <c r="AJ271" i="3"/>
  <c r="AE277" i="3"/>
  <c r="AH292" i="3"/>
  <c r="AJ308" i="3"/>
  <c r="AC309" i="3"/>
  <c r="AQ315" i="3"/>
  <c r="AK317" i="3"/>
  <c r="AJ292" i="3"/>
  <c r="J311" i="3"/>
  <c r="AC315" i="3"/>
  <c r="AC282" i="3"/>
  <c r="AD292" i="3"/>
  <c r="AL292" i="3"/>
  <c r="AE292" i="3"/>
  <c r="C32" i="2"/>
  <c r="AS222" i="3"/>
  <c r="AC8" i="3" l="1"/>
  <c r="AQ295" i="3"/>
  <c r="AN8" i="3"/>
  <c r="AQ8" i="3"/>
  <c r="AC295" i="3"/>
  <c r="AN294" i="3"/>
  <c r="AQ65" i="3"/>
  <c r="AC298" i="3"/>
  <c r="AC297" i="3"/>
  <c r="AN297" i="3"/>
  <c r="AQ297" i="3"/>
  <c r="AN298" i="3"/>
  <c r="AQ298" i="3"/>
  <c r="AC294" i="3"/>
  <c r="AC183" i="3"/>
  <c r="AC171" i="3"/>
  <c r="AC191" i="3"/>
  <c r="AQ173" i="3"/>
  <c r="AN173" i="3"/>
  <c r="AQ191" i="3"/>
  <c r="AN191" i="3"/>
  <c r="AC181" i="3"/>
  <c r="AN181" i="3"/>
  <c r="AQ181" i="3"/>
  <c r="AQ171" i="3"/>
  <c r="AN171" i="3"/>
  <c r="AC185" i="3"/>
  <c r="AN175" i="3"/>
  <c r="AQ175" i="3"/>
  <c r="AC187" i="3"/>
  <c r="AN189" i="3"/>
  <c r="AQ189" i="3"/>
  <c r="AC173" i="3"/>
  <c r="AN185" i="3"/>
  <c r="AQ185" i="3"/>
  <c r="AC175" i="3"/>
  <c r="AN187" i="3"/>
  <c r="AQ187" i="3"/>
  <c r="AC177" i="3"/>
  <c r="AQ183" i="3"/>
  <c r="AN183" i="3"/>
  <c r="AC189" i="3"/>
  <c r="AC179" i="3"/>
  <c r="AQ179" i="3"/>
  <c r="AN179" i="3"/>
  <c r="AQ177" i="3"/>
  <c r="AN177" i="3"/>
  <c r="AC65" i="3"/>
  <c r="AC69" i="3"/>
  <c r="AQ66" i="3"/>
  <c r="AN66" i="3"/>
  <c r="AC66" i="3"/>
  <c r="AN68" i="3"/>
  <c r="AQ68" i="3"/>
  <c r="AC67" i="3"/>
  <c r="AN69" i="3"/>
  <c r="AQ69" i="3"/>
  <c r="AC68" i="3"/>
  <c r="AQ67" i="3"/>
  <c r="AN67" i="3"/>
  <c r="AN75" i="3"/>
  <c r="AC75" i="3"/>
  <c r="AC135" i="3"/>
  <c r="AQ139" i="3"/>
  <c r="AN139" i="3"/>
  <c r="AN140" i="3"/>
  <c r="AQ140" i="3"/>
  <c r="AC140" i="3"/>
  <c r="AC139" i="3"/>
  <c r="AQ135" i="3"/>
  <c r="AN135" i="3"/>
  <c r="AQ136" i="3"/>
  <c r="AN136" i="3"/>
  <c r="AC136" i="3"/>
  <c r="AC133" i="3"/>
  <c r="AC12" i="3"/>
  <c r="AC134" i="3"/>
  <c r="AQ133" i="3"/>
  <c r="AN133" i="3"/>
  <c r="AQ134" i="3"/>
  <c r="AN134" i="3"/>
  <c r="AC238" i="3"/>
  <c r="AQ238" i="3"/>
  <c r="AN12" i="3"/>
  <c r="AQ12" i="3"/>
  <c r="AC243" i="3"/>
  <c r="AN242" i="3"/>
  <c r="AQ242" i="3"/>
  <c r="AN243" i="3"/>
  <c r="AQ243" i="3"/>
  <c r="AC242" i="3"/>
  <c r="AQ52" i="3"/>
  <c r="AC9" i="3"/>
  <c r="AQ9" i="3"/>
  <c r="AN19" i="3"/>
  <c r="AQ19" i="3"/>
  <c r="AC19" i="3"/>
  <c r="AC237" i="3"/>
  <c r="AQ228" i="3"/>
  <c r="AN237" i="3"/>
  <c r="AQ237" i="3"/>
  <c r="AC228" i="3"/>
  <c r="AN58" i="3"/>
  <c r="AQ58" i="3"/>
  <c r="AC58" i="3"/>
  <c r="AC52" i="3"/>
  <c r="AQ35" i="3"/>
  <c r="AC28" i="3"/>
  <c r="AC35" i="3"/>
  <c r="AN28" i="3"/>
  <c r="AQ28" i="3"/>
  <c r="AC55" i="3"/>
  <c r="AN54" i="3"/>
  <c r="AQ54" i="3"/>
  <c r="AN53" i="3"/>
  <c r="AQ53" i="3"/>
  <c r="AQ55" i="3"/>
  <c r="AN55" i="3"/>
  <c r="AN56" i="3"/>
  <c r="AQ56" i="3"/>
  <c r="AC54" i="3"/>
  <c r="AC56" i="3"/>
  <c r="AC53" i="3"/>
  <c r="AQ24" i="3"/>
  <c r="AN24" i="3"/>
  <c r="AN22" i="3"/>
  <c r="AQ22" i="3"/>
  <c r="AQ23" i="3"/>
  <c r="AN23" i="3"/>
  <c r="AN25" i="3"/>
  <c r="AQ25" i="3"/>
  <c r="AC25" i="3"/>
  <c r="AC22" i="3"/>
  <c r="AC23" i="3"/>
  <c r="AC24" i="3"/>
  <c r="AC30" i="3"/>
  <c r="AQ29" i="3"/>
  <c r="AN29" i="3"/>
  <c r="AN30" i="3"/>
  <c r="AQ30" i="3"/>
  <c r="AC29" i="3"/>
  <c r="AQ17" i="3"/>
  <c r="AN17" i="3"/>
  <c r="AQ18" i="3"/>
  <c r="AN18" i="3"/>
  <c r="AC18" i="3"/>
  <c r="AC17" i="3"/>
  <c r="AQ229" i="3"/>
  <c r="AC16" i="3"/>
  <c r="AN16" i="3"/>
  <c r="AQ16" i="3"/>
  <c r="AC223" i="3"/>
  <c r="AC229" i="3"/>
  <c r="AQ239" i="3"/>
  <c r="AN223" i="3"/>
  <c r="AQ223" i="3"/>
  <c r="AC239" i="3"/>
  <c r="AC306" i="3"/>
  <c r="AN306" i="3"/>
  <c r="AQ306" i="3"/>
  <c r="AC124" i="3"/>
  <c r="AQ124" i="3"/>
  <c r="AN124" i="3"/>
  <c r="AC304" i="3"/>
  <c r="AQ302" i="3"/>
  <c r="AN302" i="3"/>
  <c r="AQ300" i="3"/>
  <c r="AN300" i="3"/>
  <c r="AN304" i="3"/>
  <c r="AQ304" i="3"/>
  <c r="AC300" i="3"/>
  <c r="AC302" i="3"/>
  <c r="AQ59" i="3"/>
  <c r="AC59" i="3"/>
  <c r="AN72" i="3"/>
  <c r="AQ72" i="3"/>
  <c r="AC72" i="3"/>
  <c r="AC73" i="3"/>
  <c r="AN73" i="3"/>
  <c r="AQ73" i="3"/>
  <c r="AQ71" i="3"/>
  <c r="AN71" i="3"/>
  <c r="AN74" i="3"/>
  <c r="AQ74" i="3"/>
  <c r="AC71" i="3"/>
  <c r="AC74" i="3"/>
  <c r="AC76" i="3"/>
  <c r="AN78" i="3"/>
  <c r="AQ78" i="3"/>
  <c r="AQ77" i="3"/>
  <c r="AN77" i="3"/>
  <c r="AN76" i="3"/>
  <c r="AQ76" i="3"/>
  <c r="AN79" i="3"/>
  <c r="AQ79" i="3"/>
  <c r="AC77" i="3"/>
  <c r="AC78" i="3"/>
  <c r="AC79" i="3"/>
  <c r="AQ224" i="3"/>
  <c r="AC224" i="3"/>
  <c r="AC147" i="3"/>
  <c r="AQ213" i="3"/>
  <c r="AN225" i="3"/>
  <c r="AQ225" i="3"/>
  <c r="AC225" i="3"/>
  <c r="AC213" i="3"/>
  <c r="AQ146" i="3"/>
  <c r="AN146" i="3"/>
  <c r="AQ147" i="3"/>
  <c r="AN147" i="3"/>
  <c r="AC146" i="3"/>
  <c r="AC144" i="3"/>
  <c r="AC143" i="3"/>
  <c r="AN143" i="3"/>
  <c r="AQ143" i="3"/>
  <c r="AN144" i="3"/>
  <c r="AQ144" i="3"/>
  <c r="AQ38" i="3"/>
  <c r="AC38" i="3"/>
  <c r="AQ240" i="3"/>
  <c r="AC82" i="3"/>
  <c r="AN82" i="3"/>
  <c r="AQ82" i="3"/>
  <c r="AQ81" i="3"/>
  <c r="AN81" i="3"/>
  <c r="AC81" i="3"/>
  <c r="AC49" i="3"/>
  <c r="AC48" i="3"/>
  <c r="AC47" i="3"/>
  <c r="AN48" i="3"/>
  <c r="AQ48" i="3"/>
  <c r="AQ49" i="3"/>
  <c r="AN49" i="3"/>
  <c r="AN47" i="3"/>
  <c r="AQ47" i="3"/>
  <c r="AC50" i="3"/>
  <c r="AQ50" i="3"/>
  <c r="AN50" i="3"/>
  <c r="AC240" i="3"/>
  <c r="AQ11" i="3"/>
  <c r="AC11" i="3"/>
  <c r="AC13" i="3"/>
  <c r="AN13" i="3"/>
  <c r="AQ13" i="3"/>
  <c r="AQ21" i="3"/>
  <c r="AN21" i="3"/>
  <c r="AQ26" i="3"/>
  <c r="AN26" i="3"/>
  <c r="AC21" i="3"/>
  <c r="AC26" i="3"/>
  <c r="AC42" i="3"/>
  <c r="AC45" i="3"/>
  <c r="AC44" i="3"/>
  <c r="AC43" i="3"/>
  <c r="AN44" i="3"/>
  <c r="AQ44" i="3"/>
  <c r="AQ43" i="3"/>
  <c r="AN43" i="3"/>
  <c r="AN42" i="3"/>
  <c r="AQ42" i="3"/>
  <c r="AN45" i="3"/>
  <c r="AQ45" i="3"/>
  <c r="AC15" i="3"/>
  <c r="AN15" i="3"/>
  <c r="AQ15" i="3"/>
  <c r="AN222" i="3"/>
  <c r="AQ222" i="3"/>
  <c r="AC222" i="3"/>
  <c r="AC39" i="3"/>
  <c r="AQ40" i="3"/>
  <c r="AQ39" i="3"/>
  <c r="AN39" i="3"/>
  <c r="AC40" i="3"/>
  <c r="AQ219" i="3"/>
  <c r="AC219" i="3"/>
  <c r="AC63" i="3"/>
  <c r="AQ63" i="3"/>
  <c r="AN63" i="3"/>
  <c r="AC31" i="3"/>
  <c r="AN31" i="3"/>
  <c r="AQ31" i="3"/>
  <c r="AQ36" i="3"/>
  <c r="AN36" i="3"/>
  <c r="AC36" i="3"/>
  <c r="J169" i="3"/>
  <c r="AC32" i="3"/>
  <c r="AC33" i="3"/>
  <c r="AQ32" i="3"/>
  <c r="AN32" i="3"/>
  <c r="AN33" i="3"/>
  <c r="AQ33" i="3"/>
  <c r="J283" i="3"/>
  <c r="AN151" i="3"/>
  <c r="AK263" i="3"/>
  <c r="J267" i="3"/>
  <c r="AN267" i="3"/>
  <c r="AK94" i="3"/>
  <c r="AQ100" i="3"/>
  <c r="AQ108" i="3"/>
  <c r="AQ167" i="3"/>
  <c r="AK110" i="3"/>
  <c r="AN261" i="3"/>
  <c r="AQ149" i="3"/>
  <c r="J116" i="3"/>
  <c r="J96" i="3"/>
  <c r="J102" i="3"/>
  <c r="AQ92" i="3"/>
  <c r="AQ141" i="3"/>
  <c r="J159" i="3"/>
  <c r="AK98" i="3"/>
  <c r="J210" i="3"/>
  <c r="J273" i="3"/>
  <c r="AN110" i="3"/>
  <c r="AQ199" i="3"/>
  <c r="AK96" i="3"/>
  <c r="AQ201" i="3"/>
  <c r="J122" i="3"/>
  <c r="AQ84" i="3"/>
  <c r="J114" i="3"/>
  <c r="AQ98" i="3"/>
  <c r="AQ210" i="3"/>
  <c r="J84" i="3"/>
  <c r="J269" i="3"/>
  <c r="J141" i="3"/>
  <c r="AN138" i="3"/>
  <c r="AN127" i="3"/>
  <c r="J277" i="3"/>
  <c r="AK122" i="3"/>
  <c r="AQ159" i="3"/>
  <c r="AQ271" i="3"/>
  <c r="AN277" i="3"/>
  <c r="AK114" i="3"/>
  <c r="J205" i="3"/>
  <c r="AK100" i="3"/>
  <c r="AK157" i="3"/>
  <c r="AQ96" i="3"/>
  <c r="J271" i="3"/>
  <c r="AQ120" i="3"/>
  <c r="J292" i="3"/>
  <c r="AN254" i="3"/>
  <c r="AN251" i="3"/>
  <c r="AN159" i="3"/>
  <c r="J261" i="3"/>
  <c r="AK261" i="3"/>
  <c r="AN197" i="3"/>
  <c r="J279" i="3"/>
  <c r="AN218" i="3"/>
  <c r="J201" i="3"/>
  <c r="J193" i="3"/>
  <c r="J195" i="3"/>
  <c r="AQ205" i="3"/>
  <c r="J112" i="3"/>
  <c r="J88" i="3"/>
  <c r="J157" i="3"/>
  <c r="AK84" i="3"/>
  <c r="J118" i="3"/>
  <c r="AK127" i="3"/>
  <c r="J106" i="3"/>
  <c r="AK159" i="3"/>
  <c r="J197" i="3"/>
  <c r="J153" i="3"/>
  <c r="AN141" i="3"/>
  <c r="J265" i="3"/>
  <c r="AN256" i="3"/>
  <c r="AQ308" i="3"/>
  <c r="AN215" i="3"/>
  <c r="AN212" i="3"/>
  <c r="AQ246" i="3"/>
  <c r="AQ127" i="3"/>
  <c r="AN233" i="3"/>
  <c r="AN230" i="3"/>
  <c r="AN247" i="3"/>
  <c r="AN317" i="3"/>
  <c r="AQ249" i="3"/>
  <c r="AN257" i="3"/>
  <c r="AN316" i="3"/>
  <c r="AQ5" i="3"/>
  <c r="AN318" i="3"/>
  <c r="AQ258" i="3"/>
  <c r="AQ126" i="3"/>
  <c r="AQ235" i="3"/>
  <c r="AN62" i="3"/>
  <c r="AQ255" i="3"/>
  <c r="AQ277" i="3"/>
  <c r="AN220" i="3"/>
  <c r="AN161" i="3"/>
  <c r="AN195" i="3"/>
  <c r="AQ285" i="3"/>
  <c r="AN245" i="3"/>
  <c r="AN214" i="3"/>
  <c r="AN96" i="3"/>
  <c r="AN122" i="3"/>
  <c r="AQ60" i="3"/>
  <c r="AN61" i="3"/>
  <c r="AQ261" i="3"/>
  <c r="AN253" i="3"/>
  <c r="AQ234" i="3"/>
  <c r="AN129" i="3"/>
  <c r="AQ288" i="3"/>
  <c r="AN114" i="3"/>
  <c r="AN84" i="3"/>
  <c r="AQ131" i="3"/>
  <c r="AN313" i="3"/>
  <c r="AN92" i="3"/>
  <c r="AQ311" i="3"/>
  <c r="AQ250" i="3"/>
  <c r="AN232" i="3"/>
  <c r="AN289" i="3"/>
  <c r="AN286" i="3"/>
  <c r="AN210" i="3"/>
  <c r="AN259" i="3"/>
  <c r="AQ226" i="3"/>
  <c r="AN231" i="3"/>
  <c r="AN310" i="3"/>
  <c r="AN248" i="3"/>
  <c r="AN98" i="3"/>
  <c r="J275" i="3"/>
  <c r="J161" i="3"/>
  <c r="J165" i="3"/>
  <c r="J127" i="3"/>
  <c r="J163" i="3"/>
  <c r="AN263" i="3"/>
  <c r="J108" i="3"/>
  <c r="J94" i="3"/>
  <c r="J104" i="3"/>
  <c r="AN94" i="3"/>
  <c r="AK141" i="3"/>
  <c r="J98" i="3"/>
  <c r="J90" i="3"/>
  <c r="AQ208" i="3"/>
  <c r="AN199" i="3"/>
  <c r="AN205" i="3"/>
  <c r="AN100" i="3"/>
  <c r="AN108" i="3"/>
  <c r="AN7" i="3"/>
  <c r="AK275" i="3"/>
  <c r="AN275" i="3"/>
  <c r="AQ165" i="3"/>
  <c r="AQ102" i="3"/>
  <c r="AK104" i="3"/>
  <c r="AN104" i="3"/>
  <c r="AK92" i="3"/>
  <c r="AQ106" i="3"/>
  <c r="AQ130" i="3"/>
  <c r="AN130" i="3"/>
  <c r="AN14" i="3"/>
  <c r="AQ283" i="3"/>
  <c r="J281" i="3"/>
  <c r="J199" i="3"/>
  <c r="AK199" i="3"/>
  <c r="AN167" i="3"/>
  <c r="AK167" i="3"/>
  <c r="AQ116" i="3"/>
  <c r="AQ112" i="3"/>
  <c r="AK106" i="3"/>
  <c r="AN106" i="3"/>
  <c r="AN291" i="3"/>
  <c r="AQ291" i="3"/>
  <c r="AK155" i="3"/>
  <c r="AN155" i="3"/>
  <c r="AK169" i="3"/>
  <c r="AN169" i="3"/>
  <c r="AN102" i="3"/>
  <c r="AK102" i="3"/>
  <c r="AK112" i="3"/>
  <c r="AN112" i="3"/>
  <c r="AQ155" i="3"/>
  <c r="AK271" i="3"/>
  <c r="AQ269" i="3"/>
  <c r="J263" i="3"/>
  <c r="AQ203" i="3"/>
  <c r="J167" i="3"/>
  <c r="AQ161" i="3"/>
  <c r="AK108" i="3"/>
  <c r="AN116" i="3"/>
  <c r="AK116" i="3"/>
  <c r="AQ157" i="3"/>
  <c r="AN157" i="3"/>
  <c r="AQ216" i="3"/>
  <c r="AN216" i="3"/>
  <c r="AN314" i="3"/>
  <c r="AQ314" i="3"/>
  <c r="AQ153" i="3"/>
  <c r="AN165" i="3"/>
  <c r="AK165" i="3"/>
  <c r="AQ88" i="3"/>
  <c r="AQ90" i="3"/>
  <c r="AQ281" i="3"/>
  <c r="J308" i="3"/>
  <c r="AK308" i="3"/>
  <c r="AK283" i="3"/>
  <c r="AN283" i="3"/>
  <c r="AN281" i="3"/>
  <c r="AQ163" i="3"/>
  <c r="AQ169" i="3"/>
  <c r="AN292" i="3"/>
  <c r="AK292" i="3"/>
  <c r="AN273" i="3"/>
  <c r="AK273" i="3"/>
  <c r="AN269" i="3"/>
  <c r="AK269" i="3"/>
  <c r="AN193" i="3"/>
  <c r="AK193" i="3"/>
  <c r="AK197" i="3"/>
  <c r="AN163" i="3"/>
  <c r="AK163" i="3"/>
  <c r="AK120" i="3"/>
  <c r="AN120" i="3"/>
  <c r="AQ86" i="3"/>
  <c r="AK88" i="3"/>
  <c r="AN88" i="3"/>
  <c r="AN118" i="3"/>
  <c r="AK90" i="3"/>
  <c r="AN90" i="3"/>
  <c r="AQ207" i="3"/>
  <c r="AN207" i="3"/>
  <c r="AQ10" i="3"/>
  <c r="AN271" i="3"/>
  <c r="AQ110" i="3"/>
  <c r="AK265" i="3"/>
  <c r="AN265" i="3"/>
  <c r="AN308" i="3"/>
  <c r="AN279" i="3"/>
  <c r="AK279" i="3"/>
  <c r="AN201" i="3"/>
  <c r="AK201" i="3"/>
  <c r="AK153" i="3"/>
  <c r="AN153" i="3"/>
  <c r="AN149" i="3"/>
  <c r="AK149" i="3"/>
  <c r="AK161" i="3"/>
  <c r="AN86" i="3"/>
  <c r="AK86" i="3"/>
  <c r="AQ275" i="3"/>
  <c r="AQ263" i="3"/>
  <c r="AQ267" i="3"/>
  <c r="AQ265" i="3"/>
  <c r="AQ193" i="3"/>
  <c r="AQ195" i="3"/>
  <c r="AN203" i="3"/>
  <c r="AK203" i="3"/>
  <c r="AQ197" i="3"/>
  <c r="AQ151" i="3"/>
  <c r="J92" i="3"/>
  <c r="AQ118" i="3"/>
  <c r="AQ104" i="3"/>
  <c r="AS157" i="3"/>
  <c r="B210" i="3"/>
  <c r="AS7" i="3"/>
  <c r="AS291" i="3"/>
  <c r="AS163" i="3"/>
  <c r="AS112" i="3"/>
  <c r="AS201" i="3"/>
  <c r="AS308" i="3"/>
  <c r="AS90" i="3"/>
  <c r="AS100" i="3"/>
  <c r="AS58" i="3"/>
  <c r="AS155" i="3"/>
  <c r="AS153" i="3"/>
  <c r="A2" i="6"/>
  <c r="AS210" i="3"/>
  <c r="AS114" i="3"/>
  <c r="AS126" i="3"/>
  <c r="AS116" i="3"/>
  <c r="AS104" i="3"/>
  <c r="AS193" i="3"/>
  <c r="AS265" i="3"/>
  <c r="AS88" i="3"/>
  <c r="AS161" i="3"/>
  <c r="AS5" i="3"/>
  <c r="AS169" i="3"/>
  <c r="AS273" i="3"/>
  <c r="AS197" i="3"/>
  <c r="AS94" i="3"/>
  <c r="AS313" i="3"/>
  <c r="AS151" i="3"/>
  <c r="AS159" i="3"/>
  <c r="AS110" i="3"/>
  <c r="AS207" i="3"/>
  <c r="AS316" i="3"/>
  <c r="AS285" i="3"/>
  <c r="AS267" i="3"/>
  <c r="AS218" i="3"/>
  <c r="AS167" i="3"/>
  <c r="AS98" i="3"/>
  <c r="AS84" i="3"/>
  <c r="AS223" i="3"/>
  <c r="AS165" i="3"/>
  <c r="AS281" i="3"/>
  <c r="AS106" i="3"/>
  <c r="AS245" i="3"/>
  <c r="AS129" i="3"/>
  <c r="AS92" i="3"/>
  <c r="AS288" i="3"/>
  <c r="AS122" i="3"/>
  <c r="AS271" i="3"/>
  <c r="AS228" i="3"/>
  <c r="AS203" i="3"/>
  <c r="AS277" i="3"/>
  <c r="AS283" i="3"/>
  <c r="AS275" i="3"/>
  <c r="AS120" i="3"/>
  <c r="AS263" i="3"/>
  <c r="AS138" i="3"/>
  <c r="AS149" i="3"/>
  <c r="AS261" i="3"/>
  <c r="AS199" i="3"/>
  <c r="AS205" i="3"/>
  <c r="E5" i="3"/>
  <c r="AS269" i="3"/>
  <c r="AS279" i="3"/>
  <c r="AS195" i="3"/>
  <c r="AS253" i="3"/>
  <c r="AS310" i="3"/>
  <c r="AS96" i="3"/>
  <c r="AS86" i="3"/>
  <c r="AS108" i="3"/>
  <c r="AS102" i="3"/>
  <c r="AS118" i="3"/>
  <c r="AF5" i="3" l="1"/>
  <c r="AS246" i="3"/>
  <c r="AS208" i="3"/>
  <c r="AS292" i="3"/>
  <c r="AS139" i="3"/>
  <c r="B2" i="6"/>
  <c r="AS219" i="3"/>
  <c r="A5" i="6"/>
  <c r="AS311" i="3"/>
  <c r="AS286" i="3"/>
  <c r="A3" i="6"/>
  <c r="AS254" i="3"/>
  <c r="A72" i="6"/>
  <c r="AS314" i="3"/>
  <c r="A104" i="6"/>
  <c r="AS59" i="3"/>
  <c r="AS127" i="3"/>
  <c r="AS8" i="3"/>
  <c r="B211" i="3"/>
  <c r="B6" i="3"/>
  <c r="AS212" i="3"/>
  <c r="AS224" i="3"/>
  <c r="AS229" i="3"/>
  <c r="A71" i="6"/>
  <c r="AS289" i="3"/>
  <c r="AS317" i="3"/>
  <c r="AS130" i="3"/>
  <c r="H4" i="4" l="1" a="1"/>
  <c r="H4" i="4" s="1"/>
  <c r="AL211" i="3"/>
  <c r="I4" i="4" a="1"/>
  <c r="I4" i="4" s="1"/>
  <c r="O4" i="4" a="1"/>
  <c r="O4" i="4" s="1"/>
  <c r="AL6" i="3"/>
  <c r="N4" i="4" a="1"/>
  <c r="N4" i="4" s="1"/>
  <c r="J4" i="4" a="1"/>
  <c r="J4" i="4" s="1"/>
  <c r="L4" i="4" a="1"/>
  <c r="L4" i="4" s="1"/>
  <c r="M4" i="4" a="1"/>
  <c r="M4" i="4" s="1"/>
  <c r="K4" i="4" a="1"/>
  <c r="K4" i="4" s="1"/>
  <c r="C2" i="6"/>
  <c r="D2" i="6" s="1"/>
  <c r="AR5" i="3"/>
  <c r="A137" i="6"/>
  <c r="A124" i="6"/>
  <c r="A70" i="6"/>
  <c r="A126" i="6"/>
  <c r="AS140" i="3"/>
  <c r="A76" i="6"/>
  <c r="AS247" i="3"/>
  <c r="A136" i="6"/>
  <c r="A92" i="6"/>
  <c r="A270" i="6"/>
  <c r="A144" i="6"/>
  <c r="AS213" i="3"/>
  <c r="AS131" i="3"/>
  <c r="B5" i="6"/>
  <c r="A109" i="6"/>
  <c r="AS220" i="3"/>
  <c r="A131" i="6"/>
  <c r="A73" i="6"/>
  <c r="A302" i="6"/>
  <c r="A292" i="6"/>
  <c r="A296" i="6"/>
  <c r="A99" i="6"/>
  <c r="A110" i="6"/>
  <c r="A295" i="6"/>
  <c r="A133" i="6"/>
  <c r="A4" i="6"/>
  <c r="A105" i="6"/>
  <c r="A98" i="6"/>
  <c r="B72" i="6"/>
  <c r="A83" i="6"/>
  <c r="A114" i="6"/>
  <c r="A128" i="6"/>
  <c r="A308" i="6"/>
  <c r="A303" i="6"/>
  <c r="A75" i="6"/>
  <c r="A305" i="6"/>
  <c r="A284" i="6"/>
  <c r="A102" i="6"/>
  <c r="AS318" i="3"/>
  <c r="A91" i="6"/>
  <c r="A78" i="6"/>
  <c r="A95" i="6"/>
  <c r="A294" i="6"/>
  <c r="B7" i="3"/>
  <c r="A115" i="6"/>
  <c r="A306" i="6"/>
  <c r="A304" i="6"/>
  <c r="A101" i="6"/>
  <c r="A93" i="6"/>
  <c r="AS225" i="3"/>
  <c r="AS60" i="3"/>
  <c r="A278" i="6"/>
  <c r="A86" i="6"/>
  <c r="A125" i="6"/>
  <c r="B3" i="6"/>
  <c r="A113" i="6"/>
  <c r="A94" i="6"/>
  <c r="B71" i="6"/>
  <c r="A89" i="6"/>
  <c r="A134" i="6"/>
  <c r="A287" i="6"/>
  <c r="A107" i="6"/>
  <c r="A286" i="6"/>
  <c r="A103" i="6"/>
  <c r="AS255" i="3"/>
  <c r="A300" i="6"/>
  <c r="A97" i="6"/>
  <c r="A87" i="6"/>
  <c r="A69" i="6"/>
  <c r="A100" i="6"/>
  <c r="A108" i="6"/>
  <c r="B104" i="6"/>
  <c r="AS9" i="3"/>
  <c r="A135" i="6"/>
  <c r="A88" i="6"/>
  <c r="AS230" i="3"/>
  <c r="A301" i="6"/>
  <c r="A77" i="6"/>
  <c r="E2" i="6" l="1"/>
  <c r="AN4" i="4"/>
  <c r="AO4" i="4" s="1"/>
  <c r="AP4" i="4" s="1"/>
  <c r="AQ4" i="4" s="1"/>
  <c r="AR4" i="4" s="1"/>
  <c r="AS4" i="4" s="1"/>
  <c r="AT4" i="4" s="1"/>
  <c r="A84" i="6"/>
  <c r="A106" i="6"/>
  <c r="A132" i="6"/>
  <c r="B115" i="6"/>
  <c r="B114" i="6"/>
  <c r="B286" i="6"/>
  <c r="B105" i="6"/>
  <c r="B278" i="6"/>
  <c r="A314" i="6"/>
  <c r="A293" i="6"/>
  <c r="B83" i="6"/>
  <c r="A117" i="6"/>
  <c r="A82" i="6"/>
  <c r="B306" i="6"/>
  <c r="A80" i="6"/>
  <c r="A143" i="6"/>
  <c r="B113" i="6"/>
  <c r="B99" i="6"/>
  <c r="B308" i="6"/>
  <c r="AS61" i="3"/>
  <c r="B70" i="6"/>
  <c r="A279" i="6"/>
  <c r="A289" i="6"/>
  <c r="B75" i="6"/>
  <c r="A141" i="6"/>
  <c r="B97" i="6"/>
  <c r="B126" i="6"/>
  <c r="B133" i="6"/>
  <c r="B110" i="6"/>
  <c r="A119" i="6"/>
  <c r="B135" i="6"/>
  <c r="C71" i="6"/>
  <c r="B270" i="6"/>
  <c r="B295" i="6"/>
  <c r="B73" i="6"/>
  <c r="A142" i="6"/>
  <c r="A307" i="6"/>
  <c r="A313" i="6"/>
  <c r="B101" i="6"/>
  <c r="B131" i="6"/>
  <c r="C72" i="6"/>
  <c r="B92" i="6"/>
  <c r="B294" i="6"/>
  <c r="B100" i="6"/>
  <c r="A272" i="6"/>
  <c r="A90" i="6"/>
  <c r="A112" i="6"/>
  <c r="AS231" i="3"/>
  <c r="B296" i="6"/>
  <c r="B287" i="6"/>
  <c r="A288" i="6"/>
  <c r="B98" i="6"/>
  <c r="C5" i="6"/>
  <c r="A38" i="6"/>
  <c r="A297" i="6"/>
  <c r="B77" i="6"/>
  <c r="B125" i="6"/>
  <c r="A129" i="6"/>
  <c r="B305" i="6"/>
  <c r="F2" i="6"/>
  <c r="A85" i="6"/>
  <c r="A120" i="6"/>
  <c r="B78" i="6"/>
  <c r="B303" i="6"/>
  <c r="A118" i="6"/>
  <c r="A298" i="6"/>
  <c r="AS248" i="3"/>
  <c r="B304" i="6"/>
  <c r="AS10" i="3"/>
  <c r="B134" i="6"/>
  <c r="A271" i="6"/>
  <c r="B144" i="6"/>
  <c r="B94" i="6"/>
  <c r="A79" i="6"/>
  <c r="A35" i="6"/>
  <c r="A121" i="6"/>
  <c r="A290" i="6"/>
  <c r="B124" i="6"/>
  <c r="A130" i="6"/>
  <c r="B8" i="3"/>
  <c r="B292" i="6"/>
  <c r="AS256" i="3"/>
  <c r="B128" i="6"/>
  <c r="A127" i="6"/>
  <c r="AS226" i="3"/>
  <c r="B87" i="6"/>
  <c r="B76" i="6"/>
  <c r="B103" i="6"/>
  <c r="A81" i="6"/>
  <c r="B300" i="6"/>
  <c r="B107" i="6"/>
  <c r="AS141" i="3"/>
  <c r="A138" i="6"/>
  <c r="A111" i="6"/>
  <c r="B212" i="3"/>
  <c r="B69" i="6"/>
  <c r="B102" i="6"/>
  <c r="AS214" i="3"/>
  <c r="A37" i="6"/>
  <c r="A74" i="6"/>
  <c r="A309" i="6"/>
  <c r="B301" i="6"/>
  <c r="A96" i="6"/>
  <c r="B137" i="6"/>
  <c r="B4" i="6"/>
  <c r="B88" i="6"/>
  <c r="B91" i="6"/>
  <c r="C3" i="6"/>
  <c r="B109" i="6"/>
  <c r="B108" i="6"/>
  <c r="B86" i="6"/>
  <c r="B284" i="6"/>
  <c r="C104" i="6"/>
  <c r="B95" i="6"/>
  <c r="B302" i="6"/>
  <c r="A285" i="6"/>
  <c r="B136" i="6"/>
  <c r="B93" i="6"/>
  <c r="B89" i="6"/>
  <c r="D5" i="6" l="1"/>
  <c r="E5" i="6"/>
  <c r="F3" i="6"/>
  <c r="C4" i="6"/>
  <c r="C103" i="6"/>
  <c r="C270" i="6"/>
  <c r="C99" i="6"/>
  <c r="C294" i="6"/>
  <c r="C109" i="6"/>
  <c r="C107" i="6"/>
  <c r="C87" i="6"/>
  <c r="C305" i="6"/>
  <c r="C105" i="6"/>
  <c r="C78" i="6"/>
  <c r="C91" i="6"/>
  <c r="C89" i="6"/>
  <c r="C126" i="6"/>
  <c r="C101" i="6"/>
  <c r="C135" i="6"/>
  <c r="C97" i="6"/>
  <c r="C83" i="6"/>
  <c r="C113" i="6"/>
  <c r="C303" i="6"/>
  <c r="C95" i="6"/>
  <c r="C115" i="6"/>
  <c r="F104" i="6"/>
  <c r="C301" i="6"/>
  <c r="C278" i="6"/>
  <c r="C93" i="6"/>
  <c r="E71" i="6"/>
  <c r="D72" i="6"/>
  <c r="E72" i="6"/>
  <c r="D71" i="6"/>
  <c r="A122" i="6"/>
  <c r="B82" i="6"/>
  <c r="C77" i="6"/>
  <c r="A149" i="6"/>
  <c r="C75" i="6"/>
  <c r="C134" i="6"/>
  <c r="AS11" i="3"/>
  <c r="B130" i="6"/>
  <c r="C110" i="6"/>
  <c r="C287" i="6"/>
  <c r="C88" i="6"/>
  <c r="A152" i="6"/>
  <c r="B121" i="6"/>
  <c r="C94" i="6"/>
  <c r="C73" i="6"/>
  <c r="B298" i="6"/>
  <c r="C136" i="6"/>
  <c r="D3" i="6"/>
  <c r="C308" i="6"/>
  <c r="B9" i="3"/>
  <c r="A116" i="6"/>
  <c r="A42" i="6"/>
  <c r="A158" i="6"/>
  <c r="C292" i="6"/>
  <c r="A53" i="6"/>
  <c r="B314" i="6"/>
  <c r="A280" i="6"/>
  <c r="C144" i="6"/>
  <c r="B288" i="6"/>
  <c r="A46" i="6"/>
  <c r="B309" i="6"/>
  <c r="A41" i="6"/>
  <c r="B127" i="6"/>
  <c r="C302" i="6"/>
  <c r="AS215" i="3"/>
  <c r="C295" i="6"/>
  <c r="A43" i="6"/>
  <c r="A155" i="6"/>
  <c r="B129" i="6"/>
  <c r="A33" i="6"/>
  <c r="B80" i="6"/>
  <c r="C306" i="6"/>
  <c r="B297" i="6"/>
  <c r="C69" i="6"/>
  <c r="A123" i="6"/>
  <c r="B142" i="6"/>
  <c r="E104" i="6"/>
  <c r="E3" i="6"/>
  <c r="B119" i="6"/>
  <c r="A153" i="6"/>
  <c r="A156" i="6"/>
  <c r="C108" i="6"/>
  <c r="A150" i="6"/>
  <c r="F71" i="6"/>
  <c r="B111" i="6"/>
  <c r="C98" i="6"/>
  <c r="C304" i="6"/>
  <c r="C124" i="6"/>
  <c r="C100" i="6"/>
  <c r="A58" i="6"/>
  <c r="C102" i="6"/>
  <c r="C70" i="6"/>
  <c r="A36" i="6"/>
  <c r="A50" i="6"/>
  <c r="A54" i="6"/>
  <c r="A34" i="6"/>
  <c r="B96" i="6"/>
  <c r="C114" i="6"/>
  <c r="AS257" i="3"/>
  <c r="B81" i="6"/>
  <c r="C92" i="6"/>
  <c r="B313" i="6"/>
  <c r="C300" i="6"/>
  <c r="B143" i="6"/>
  <c r="B90" i="6"/>
  <c r="B279" i="6"/>
  <c r="B293" i="6"/>
  <c r="A45" i="6"/>
  <c r="A146" i="6"/>
  <c r="A151" i="6"/>
  <c r="B112" i="6"/>
  <c r="B138" i="6"/>
  <c r="B213" i="3"/>
  <c r="A140" i="6"/>
  <c r="B285" i="6"/>
  <c r="C284" i="6"/>
  <c r="C137" i="6"/>
  <c r="A44" i="6"/>
  <c r="A291" i="6"/>
  <c r="B74" i="6"/>
  <c r="B37" i="6"/>
  <c r="C86" i="6"/>
  <c r="B118" i="6"/>
  <c r="A148" i="6"/>
  <c r="B272" i="6"/>
  <c r="B120" i="6"/>
  <c r="A6" i="6"/>
  <c r="B117" i="6"/>
  <c r="AS232" i="3"/>
  <c r="AS62" i="3"/>
  <c r="B141" i="6"/>
  <c r="C133" i="6"/>
  <c r="C286" i="6"/>
  <c r="B289" i="6"/>
  <c r="C128" i="6"/>
  <c r="A49" i="6"/>
  <c r="A139" i="6"/>
  <c r="A48" i="6"/>
  <c r="B35" i="6"/>
  <c r="A47" i="6"/>
  <c r="F5" i="6"/>
  <c r="C76" i="6"/>
  <c r="A315" i="6"/>
  <c r="AS249" i="3"/>
  <c r="B84" i="6"/>
  <c r="A51" i="6"/>
  <c r="A32" i="6"/>
  <c r="B38" i="6"/>
  <c r="C296" i="6"/>
  <c r="B79" i="6"/>
  <c r="A299" i="6"/>
  <c r="A159" i="6"/>
  <c r="B85" i="6"/>
  <c r="C125" i="6"/>
  <c r="B271" i="6"/>
  <c r="A154" i="6"/>
  <c r="B290" i="6"/>
  <c r="A145" i="6"/>
  <c r="F72" i="6"/>
  <c r="C131" i="6"/>
  <c r="D104" i="6"/>
  <c r="A281" i="6"/>
  <c r="A310" i="6"/>
  <c r="A52" i="6"/>
  <c r="B132" i="6"/>
  <c r="B307" i="6"/>
  <c r="B106" i="6"/>
  <c r="E4" i="6" l="1"/>
  <c r="D4" i="6"/>
  <c r="E137" i="6"/>
  <c r="D131" i="6"/>
  <c r="D137" i="6"/>
  <c r="E131" i="6"/>
  <c r="D303" i="6"/>
  <c r="E301" i="6"/>
  <c r="D301" i="6"/>
  <c r="E303" i="6"/>
  <c r="E305" i="6"/>
  <c r="D305" i="6"/>
  <c r="D124" i="6"/>
  <c r="E144" i="6"/>
  <c r="E124" i="6"/>
  <c r="D136" i="6"/>
  <c r="D144" i="6"/>
  <c r="E136" i="6"/>
  <c r="D294" i="6"/>
  <c r="E294" i="6"/>
  <c r="E89" i="6"/>
  <c r="F86" i="6"/>
  <c r="E103" i="6"/>
  <c r="C297" i="6"/>
  <c r="E101" i="6"/>
  <c r="D126" i="6"/>
  <c r="F125" i="6"/>
  <c r="D109" i="6"/>
  <c r="C285" i="6"/>
  <c r="E278" i="6"/>
  <c r="F88" i="6"/>
  <c r="E270" i="6"/>
  <c r="D270" i="6"/>
  <c r="F306" i="6"/>
  <c r="D128" i="6"/>
  <c r="D87" i="6"/>
  <c r="D115" i="6"/>
  <c r="F114" i="6"/>
  <c r="F110" i="6"/>
  <c r="E113" i="6"/>
  <c r="D95" i="6"/>
  <c r="D103" i="6"/>
  <c r="E107" i="6"/>
  <c r="F108" i="6"/>
  <c r="C121" i="6"/>
  <c r="F98" i="6"/>
  <c r="E97" i="6"/>
  <c r="D101" i="6"/>
  <c r="D93" i="6"/>
  <c r="D107" i="6"/>
  <c r="E105" i="6"/>
  <c r="F295" i="6"/>
  <c r="C119" i="6"/>
  <c r="F102" i="6"/>
  <c r="E83" i="6"/>
  <c r="C35" i="6"/>
  <c r="E78" i="6"/>
  <c r="F94" i="6"/>
  <c r="F100" i="6"/>
  <c r="C143" i="6"/>
  <c r="D113" i="6"/>
  <c r="E93" i="6"/>
  <c r="D99" i="6"/>
  <c r="E128" i="6"/>
  <c r="F286" i="6"/>
  <c r="D278" i="6"/>
  <c r="F292" i="6"/>
  <c r="F308" i="6"/>
  <c r="E126" i="6"/>
  <c r="D78" i="6"/>
  <c r="C313" i="6"/>
  <c r="E99" i="6"/>
  <c r="C81" i="6"/>
  <c r="D135" i="6"/>
  <c r="E91" i="6"/>
  <c r="C288" i="6"/>
  <c r="E87" i="6"/>
  <c r="D83" i="6"/>
  <c r="C117" i="6"/>
  <c r="E115" i="6"/>
  <c r="C111" i="6"/>
  <c r="E95" i="6"/>
  <c r="E109" i="6"/>
  <c r="C307" i="6"/>
  <c r="C130" i="6"/>
  <c r="D97" i="6"/>
  <c r="E135" i="6"/>
  <c r="D91" i="6"/>
  <c r="C85" i="6"/>
  <c r="F92" i="6"/>
  <c r="D105" i="6"/>
  <c r="D89" i="6"/>
  <c r="C272" i="6"/>
  <c r="E133" i="6"/>
  <c r="D133" i="6"/>
  <c r="D134" i="6"/>
  <c r="E134" i="6"/>
  <c r="F302" i="6"/>
  <c r="F300" i="6"/>
  <c r="F304" i="6"/>
  <c r="D69" i="6"/>
  <c r="D287" i="6"/>
  <c r="D296" i="6"/>
  <c r="E70" i="6"/>
  <c r="E69" i="6"/>
  <c r="E296" i="6"/>
  <c r="D73" i="6"/>
  <c r="E287" i="6"/>
  <c r="D77" i="6"/>
  <c r="D75" i="6"/>
  <c r="D76" i="6"/>
  <c r="E77" i="6"/>
  <c r="E73" i="6"/>
  <c r="D284" i="6"/>
  <c r="E75" i="6"/>
  <c r="D70" i="6"/>
  <c r="E284" i="6"/>
  <c r="E76" i="6"/>
  <c r="B149" i="6"/>
  <c r="B54" i="6"/>
  <c r="AS12" i="3"/>
  <c r="F83" i="6"/>
  <c r="F303" i="6"/>
  <c r="C74" i="6"/>
  <c r="F134" i="6"/>
  <c r="D286" i="6"/>
  <c r="AS258" i="3"/>
  <c r="D114" i="6"/>
  <c r="D92" i="6"/>
  <c r="F109" i="6"/>
  <c r="E98" i="6"/>
  <c r="F107" i="6"/>
  <c r="B291" i="6"/>
  <c r="F101" i="6"/>
  <c r="C90" i="6"/>
  <c r="B299" i="6"/>
  <c r="B158" i="6"/>
  <c r="A67" i="6"/>
  <c r="C129" i="6"/>
  <c r="F270" i="6"/>
  <c r="B150" i="6"/>
  <c r="C289" i="6"/>
  <c r="F105" i="6"/>
  <c r="F76" i="6"/>
  <c r="E292" i="6"/>
  <c r="C79" i="6"/>
  <c r="D100" i="6"/>
  <c r="C120" i="6"/>
  <c r="F73" i="6"/>
  <c r="B51" i="6"/>
  <c r="C106" i="6"/>
  <c r="C314" i="6"/>
  <c r="D125" i="6"/>
  <c r="B41" i="6"/>
  <c r="B47" i="6"/>
  <c r="A30" i="6"/>
  <c r="B6" i="6"/>
  <c r="B152" i="6"/>
  <c r="F135" i="6"/>
  <c r="B140" i="6"/>
  <c r="B34" i="6"/>
  <c r="F126" i="6"/>
  <c r="F284" i="6"/>
  <c r="A40" i="6"/>
  <c r="C279" i="6"/>
  <c r="E110" i="6"/>
  <c r="A55" i="6"/>
  <c r="B42" i="6"/>
  <c r="B151" i="6"/>
  <c r="F70" i="6"/>
  <c r="AS233" i="3"/>
  <c r="F124" i="6"/>
  <c r="A64" i="6"/>
  <c r="A276" i="6"/>
  <c r="F4" i="6"/>
  <c r="F103" i="6"/>
  <c r="B155" i="6"/>
  <c r="B36" i="6"/>
  <c r="A268" i="6"/>
  <c r="C293" i="6"/>
  <c r="E88" i="6"/>
  <c r="D94" i="6"/>
  <c r="A147" i="6"/>
  <c r="A63" i="6"/>
  <c r="B49" i="6"/>
  <c r="F87" i="6"/>
  <c r="B156" i="6"/>
  <c r="F97" i="6"/>
  <c r="F95" i="6"/>
  <c r="C309" i="6"/>
  <c r="E100" i="6"/>
  <c r="F294" i="6"/>
  <c r="B45" i="6"/>
  <c r="D292" i="6"/>
  <c r="E286" i="6"/>
  <c r="F99" i="6"/>
  <c r="A59" i="6"/>
  <c r="F131" i="6"/>
  <c r="A311" i="6"/>
  <c r="D86" i="6"/>
  <c r="B159" i="6"/>
  <c r="C142" i="6"/>
  <c r="B315" i="6"/>
  <c r="D304" i="6"/>
  <c r="E306" i="6"/>
  <c r="D98" i="6"/>
  <c r="A39" i="6"/>
  <c r="F113" i="6"/>
  <c r="F115" i="6"/>
  <c r="F91" i="6"/>
  <c r="E302" i="6"/>
  <c r="C127" i="6"/>
  <c r="F287" i="6"/>
  <c r="F133" i="6"/>
  <c r="F93" i="6"/>
  <c r="D108" i="6"/>
  <c r="A66" i="6"/>
  <c r="E86" i="6"/>
  <c r="B281" i="6"/>
  <c r="A56" i="6"/>
  <c r="F75" i="6"/>
  <c r="A60" i="6"/>
  <c r="D308" i="6"/>
  <c r="F77" i="6"/>
  <c r="A273" i="6"/>
  <c r="A7" i="6"/>
  <c r="F137" i="6"/>
  <c r="B139" i="6"/>
  <c r="B153" i="6"/>
  <c r="F305" i="6"/>
  <c r="E125" i="6"/>
  <c r="B32" i="6"/>
  <c r="E92" i="6"/>
  <c r="C118" i="6"/>
  <c r="C84" i="6"/>
  <c r="C37" i="6"/>
  <c r="D102" i="6"/>
  <c r="E308" i="6"/>
  <c r="A68" i="6"/>
  <c r="F301" i="6"/>
  <c r="C96" i="6"/>
  <c r="C290" i="6"/>
  <c r="F144" i="6"/>
  <c r="F78" i="6"/>
  <c r="B48" i="6"/>
  <c r="F89" i="6"/>
  <c r="A57" i="6"/>
  <c r="B148" i="6"/>
  <c r="B116" i="6"/>
  <c r="B43" i="6"/>
  <c r="B44" i="6"/>
  <c r="C112" i="6"/>
  <c r="D302" i="6"/>
  <c r="F69" i="6"/>
  <c r="C138" i="6"/>
  <c r="B145" i="6"/>
  <c r="B280" i="6"/>
  <c r="AS63" i="3"/>
  <c r="C82" i="6"/>
  <c r="D88" i="6"/>
  <c r="E6" i="3"/>
  <c r="B310" i="6"/>
  <c r="B53" i="6"/>
  <c r="B123" i="6"/>
  <c r="B52" i="6"/>
  <c r="C271" i="6"/>
  <c r="A31" i="6"/>
  <c r="B33" i="6"/>
  <c r="F278" i="6"/>
  <c r="D110" i="6"/>
  <c r="C141" i="6"/>
  <c r="C132" i="6"/>
  <c r="A160" i="6"/>
  <c r="B46" i="6"/>
  <c r="F136" i="6"/>
  <c r="B154" i="6"/>
  <c r="C38" i="6"/>
  <c r="A157" i="6"/>
  <c r="F128" i="6"/>
  <c r="E108" i="6"/>
  <c r="B58" i="6"/>
  <c r="E300" i="6"/>
  <c r="D295" i="6"/>
  <c r="B50" i="6"/>
  <c r="F296" i="6"/>
  <c r="E304" i="6"/>
  <c r="D300" i="6"/>
  <c r="AS216" i="3"/>
  <c r="B122" i="6"/>
  <c r="E295" i="6"/>
  <c r="B146" i="6"/>
  <c r="C80" i="6"/>
  <c r="A316" i="6"/>
  <c r="C298" i="6"/>
  <c r="E94" i="6"/>
  <c r="E114" i="6"/>
  <c r="AS250" i="3"/>
  <c r="E102" i="6"/>
  <c r="B214" i="3"/>
  <c r="D306" i="6"/>
  <c r="D138" i="6" l="1"/>
  <c r="E138" i="6"/>
  <c r="X5" i="4"/>
  <c r="AD6" i="3"/>
  <c r="D35" i="6"/>
  <c r="E35" i="6"/>
  <c r="E38" i="6"/>
  <c r="D38" i="6"/>
  <c r="E37" i="6"/>
  <c r="D37" i="6"/>
  <c r="F80" i="6"/>
  <c r="D143" i="6"/>
  <c r="D141" i="6"/>
  <c r="E143" i="6"/>
  <c r="E141" i="6"/>
  <c r="E289" i="6"/>
  <c r="D289" i="6"/>
  <c r="F309" i="6"/>
  <c r="E142" i="6"/>
  <c r="D142" i="6"/>
  <c r="C291" i="6"/>
  <c r="D81" i="6"/>
  <c r="D293" i="6"/>
  <c r="D111" i="6"/>
  <c r="C280" i="6"/>
  <c r="F84" i="6"/>
  <c r="F120" i="6"/>
  <c r="E297" i="6"/>
  <c r="F96" i="6"/>
  <c r="F290" i="6"/>
  <c r="E85" i="6"/>
  <c r="E307" i="6"/>
  <c r="D285" i="6"/>
  <c r="F112" i="6"/>
  <c r="D121" i="6"/>
  <c r="C299" i="6"/>
  <c r="D85" i="6"/>
  <c r="E293" i="6"/>
  <c r="F271" i="6"/>
  <c r="E119" i="6"/>
  <c r="D117" i="6"/>
  <c r="C44" i="6"/>
  <c r="F118" i="6"/>
  <c r="C32" i="6"/>
  <c r="F82" i="6"/>
  <c r="C146" i="6"/>
  <c r="D297" i="6"/>
  <c r="F279" i="6"/>
  <c r="C154" i="6"/>
  <c r="F90" i="6"/>
  <c r="E272" i="6"/>
  <c r="E117" i="6"/>
  <c r="C49" i="6"/>
  <c r="F314" i="6"/>
  <c r="E121" i="6"/>
  <c r="D313" i="6"/>
  <c r="C140" i="6"/>
  <c r="C156" i="6"/>
  <c r="E313" i="6"/>
  <c r="D288" i="6"/>
  <c r="C123" i="6"/>
  <c r="F127" i="6"/>
  <c r="C152" i="6"/>
  <c r="D307" i="6"/>
  <c r="E111" i="6"/>
  <c r="E130" i="6"/>
  <c r="C148" i="6"/>
  <c r="D119" i="6"/>
  <c r="E288" i="6"/>
  <c r="D130" i="6"/>
  <c r="C158" i="6"/>
  <c r="F79" i="6"/>
  <c r="C310" i="6"/>
  <c r="E285" i="6"/>
  <c r="C150" i="6"/>
  <c r="E81" i="6"/>
  <c r="D272" i="6"/>
  <c r="F106" i="6"/>
  <c r="F298" i="6"/>
  <c r="E132" i="6"/>
  <c r="D74" i="6"/>
  <c r="D129" i="6"/>
  <c r="E74" i="6"/>
  <c r="D132" i="6"/>
  <c r="E129" i="6"/>
  <c r="A222" i="6"/>
  <c r="A168" i="6"/>
  <c r="B68" i="6"/>
  <c r="B147" i="6"/>
  <c r="A164" i="6"/>
  <c r="B56" i="6"/>
  <c r="A191" i="6"/>
  <c r="C43" i="6"/>
  <c r="A212" i="6"/>
  <c r="F307" i="6"/>
  <c r="A8" i="6"/>
  <c r="A165" i="6"/>
  <c r="A183" i="6"/>
  <c r="D80" i="6"/>
  <c r="C42" i="6"/>
  <c r="F117" i="6"/>
  <c r="A162" i="6"/>
  <c r="B273" i="6"/>
  <c r="D118" i="6"/>
  <c r="A194" i="6"/>
  <c r="E112" i="6"/>
  <c r="A202" i="6"/>
  <c r="B30" i="6"/>
  <c r="A185" i="6"/>
  <c r="A62" i="6"/>
  <c r="C315" i="6"/>
  <c r="B316" i="6"/>
  <c r="AS251" i="3"/>
  <c r="B57" i="6"/>
  <c r="D84" i="6"/>
  <c r="A178" i="6"/>
  <c r="B66" i="6"/>
  <c r="E298" i="6"/>
  <c r="A184" i="6"/>
  <c r="D290" i="6"/>
  <c r="A167" i="6"/>
  <c r="A205" i="6"/>
  <c r="D79" i="6"/>
  <c r="E90" i="6"/>
  <c r="A246" i="6"/>
  <c r="C48" i="6"/>
  <c r="A201" i="6"/>
  <c r="C50" i="6"/>
  <c r="A267" i="6"/>
  <c r="A197" i="6"/>
  <c r="B7" i="6"/>
  <c r="B31" i="6"/>
  <c r="E7" i="3"/>
  <c r="A177" i="6"/>
  <c r="AS21" i="3"/>
  <c r="C46" i="6"/>
  <c r="A218" i="6"/>
  <c r="F130" i="6"/>
  <c r="F289" i="6"/>
  <c r="A269" i="6"/>
  <c r="B276" i="6"/>
  <c r="F297" i="6"/>
  <c r="A210" i="6"/>
  <c r="A186" i="6"/>
  <c r="A192" i="6"/>
  <c r="A282" i="6"/>
  <c r="A264" i="6"/>
  <c r="AS234" i="3"/>
  <c r="E120" i="6"/>
  <c r="C51" i="6"/>
  <c r="C122" i="6"/>
  <c r="A211" i="6"/>
  <c r="C281" i="6"/>
  <c r="A166" i="6"/>
  <c r="A173" i="6"/>
  <c r="A312" i="6"/>
  <c r="C33" i="6"/>
  <c r="F272" i="6"/>
  <c r="E80" i="6"/>
  <c r="F111" i="6"/>
  <c r="D309" i="6"/>
  <c r="B64" i="6"/>
  <c r="D96" i="6"/>
  <c r="B268" i="6"/>
  <c r="B39" i="6"/>
  <c r="A266" i="6"/>
  <c r="A172" i="6"/>
  <c r="D82" i="6"/>
  <c r="A195" i="6"/>
  <c r="A224" i="6"/>
  <c r="A220" i="6"/>
  <c r="A199" i="6"/>
  <c r="A208" i="6"/>
  <c r="C153" i="6"/>
  <c r="C47" i="6"/>
  <c r="B311" i="6"/>
  <c r="F313" i="6"/>
  <c r="D314" i="6"/>
  <c r="F143" i="6"/>
  <c r="F129" i="6"/>
  <c r="A193" i="6"/>
  <c r="A190" i="6"/>
  <c r="D127" i="6"/>
  <c r="E84" i="6"/>
  <c r="C53" i="6"/>
  <c r="B63" i="6"/>
  <c r="A170" i="6"/>
  <c r="E314" i="6"/>
  <c r="D120" i="6"/>
  <c r="B60" i="6"/>
  <c r="A176" i="6"/>
  <c r="B10" i="3"/>
  <c r="A187" i="6"/>
  <c r="C54" i="6"/>
  <c r="F293" i="6"/>
  <c r="F35" i="6"/>
  <c r="C151" i="6"/>
  <c r="F138" i="6"/>
  <c r="D298" i="6"/>
  <c r="A182" i="6"/>
  <c r="B40" i="6"/>
  <c r="E127" i="6"/>
  <c r="D279" i="6"/>
  <c r="F119" i="6"/>
  <c r="A161" i="6"/>
  <c r="A209" i="6"/>
  <c r="C36" i="6"/>
  <c r="F121" i="6"/>
  <c r="C45" i="6"/>
  <c r="AS259" i="3"/>
  <c r="A204" i="6"/>
  <c r="A200" i="6"/>
  <c r="B160" i="6"/>
  <c r="C6" i="6"/>
  <c r="D106" i="6"/>
  <c r="C58" i="6"/>
  <c r="E118" i="6"/>
  <c r="A196" i="6"/>
  <c r="B157" i="6"/>
  <c r="F141" i="6"/>
  <c r="D271" i="6"/>
  <c r="B55" i="6"/>
  <c r="AS13" i="3"/>
  <c r="C159" i="6"/>
  <c r="C155" i="6"/>
  <c r="A226" i="6"/>
  <c r="C149" i="6"/>
  <c r="E82" i="6"/>
  <c r="C52" i="6"/>
  <c r="A217" i="6"/>
  <c r="A189" i="6"/>
  <c r="A181" i="6"/>
  <c r="E271" i="6"/>
  <c r="A277" i="6"/>
  <c r="A275" i="6"/>
  <c r="A216" i="6"/>
  <c r="E96" i="6"/>
  <c r="E79" i="6"/>
  <c r="A274" i="6"/>
  <c r="C145" i="6"/>
  <c r="D112" i="6"/>
  <c r="A171" i="6"/>
  <c r="C34" i="6"/>
  <c r="C41" i="6"/>
  <c r="A265" i="6"/>
  <c r="A169" i="6"/>
  <c r="F142" i="6"/>
  <c r="C116" i="6"/>
  <c r="E106" i="6"/>
  <c r="A198" i="6"/>
  <c r="A65" i="6"/>
  <c r="F285" i="6"/>
  <c r="A180" i="6"/>
  <c r="B67" i="6"/>
  <c r="E290" i="6"/>
  <c r="F85" i="6"/>
  <c r="F38" i="6"/>
  <c r="A188" i="6"/>
  <c r="F74" i="6"/>
  <c r="F37" i="6"/>
  <c r="B215" i="3"/>
  <c r="E309" i="6"/>
  <c r="F132" i="6"/>
  <c r="F81" i="6"/>
  <c r="F288" i="6"/>
  <c r="E279" i="6"/>
  <c r="A61" i="6"/>
  <c r="D90" i="6"/>
  <c r="A175" i="6"/>
  <c r="C139" i="6"/>
  <c r="B59" i="6"/>
  <c r="A203" i="6"/>
  <c r="E140" i="6" l="1"/>
  <c r="D140" i="6"/>
  <c r="E139" i="6"/>
  <c r="D139" i="6"/>
  <c r="D42" i="6"/>
  <c r="E42" i="6"/>
  <c r="D44" i="6"/>
  <c r="E44" i="6"/>
  <c r="E43" i="6"/>
  <c r="D43" i="6"/>
  <c r="E6" i="6"/>
  <c r="D6" i="6"/>
  <c r="G5" i="4"/>
  <c r="BG5" i="4" s="1"/>
  <c r="AF7" i="3"/>
  <c r="AR6" i="3"/>
  <c r="AK6" i="3"/>
  <c r="AN6" i="3"/>
  <c r="E34" i="6"/>
  <c r="E32" i="6"/>
  <c r="D33" i="6"/>
  <c r="D34" i="6"/>
  <c r="D32" i="6"/>
  <c r="E33" i="6"/>
  <c r="D41" i="6"/>
  <c r="E41" i="6"/>
  <c r="E36" i="6"/>
  <c r="D36" i="6"/>
  <c r="D45" i="6"/>
  <c r="E45" i="6"/>
  <c r="D46" i="6"/>
  <c r="E46" i="6"/>
  <c r="E47" i="6"/>
  <c r="D47" i="6"/>
  <c r="E49" i="6"/>
  <c r="D49" i="6"/>
  <c r="D48" i="6"/>
  <c r="E48" i="6"/>
  <c r="D50" i="6"/>
  <c r="E52" i="6"/>
  <c r="E50" i="6"/>
  <c r="D51" i="6"/>
  <c r="D52" i="6"/>
  <c r="E51" i="6"/>
  <c r="D54" i="6"/>
  <c r="E53" i="6"/>
  <c r="E54" i="6"/>
  <c r="D53" i="6"/>
  <c r="E159" i="6"/>
  <c r="D159" i="6"/>
  <c r="E158" i="6"/>
  <c r="D153" i="6"/>
  <c r="E146" i="6"/>
  <c r="E153" i="6"/>
  <c r="D158" i="6"/>
  <c r="D146" i="6"/>
  <c r="F58" i="6"/>
  <c r="D152" i="6"/>
  <c r="E145" i="6"/>
  <c r="E152" i="6"/>
  <c r="D145" i="6"/>
  <c r="E150" i="6"/>
  <c r="E148" i="6"/>
  <c r="D150" i="6"/>
  <c r="D148" i="6"/>
  <c r="E299" i="6"/>
  <c r="D299" i="6"/>
  <c r="E149" i="6"/>
  <c r="D151" i="6"/>
  <c r="D154" i="6"/>
  <c r="E155" i="6"/>
  <c r="E151" i="6"/>
  <c r="F315" i="6"/>
  <c r="D156" i="6"/>
  <c r="D149" i="6"/>
  <c r="E154" i="6"/>
  <c r="D155" i="6"/>
  <c r="E156" i="6"/>
  <c r="D280" i="6"/>
  <c r="C276" i="6"/>
  <c r="E280" i="6"/>
  <c r="C68" i="6"/>
  <c r="D123" i="6"/>
  <c r="C160" i="6"/>
  <c r="D310" i="6"/>
  <c r="C268" i="6"/>
  <c r="C55" i="6"/>
  <c r="E123" i="6"/>
  <c r="E310" i="6"/>
  <c r="F281" i="6"/>
  <c r="F116" i="6"/>
  <c r="E291" i="6"/>
  <c r="C39" i="6"/>
  <c r="F122" i="6"/>
  <c r="D291" i="6"/>
  <c r="B184" i="6"/>
  <c r="B187" i="6"/>
  <c r="C31" i="6"/>
  <c r="B177" i="6"/>
  <c r="B176" i="6"/>
  <c r="B246" i="6"/>
  <c r="B220" i="6"/>
  <c r="F151" i="6"/>
  <c r="A223" i="6"/>
  <c r="A215" i="6"/>
  <c r="A245" i="6"/>
  <c r="B162" i="6"/>
  <c r="AS22" i="3"/>
  <c r="B8" i="6"/>
  <c r="B65" i="6"/>
  <c r="B282" i="6"/>
  <c r="D116" i="6"/>
  <c r="A207" i="6"/>
  <c r="B164" i="6"/>
  <c r="D281" i="6"/>
  <c r="F6" i="6"/>
  <c r="B173" i="6"/>
  <c r="B172" i="6"/>
  <c r="C56" i="6"/>
  <c r="F48" i="6"/>
  <c r="A231" i="6"/>
  <c r="F44" i="6"/>
  <c r="A253" i="6"/>
  <c r="C147" i="6"/>
  <c r="F45" i="6"/>
  <c r="F33" i="6"/>
  <c r="C60" i="6"/>
  <c r="F159" i="6"/>
  <c r="B275" i="6"/>
  <c r="B216" i="6"/>
  <c r="B269" i="6"/>
  <c r="B274" i="6"/>
  <c r="C7" i="6"/>
  <c r="B169" i="6"/>
  <c r="F150" i="6"/>
  <c r="B264" i="6"/>
  <c r="D58" i="6"/>
  <c r="B209" i="6"/>
  <c r="AS235" i="3"/>
  <c r="F158" i="6"/>
  <c r="A244" i="6"/>
  <c r="C63" i="6"/>
  <c r="D315" i="6"/>
  <c r="B222" i="6"/>
  <c r="F51" i="6"/>
  <c r="B224" i="6"/>
  <c r="C316" i="6"/>
  <c r="A243" i="6"/>
  <c r="A163" i="6"/>
  <c r="A227" i="6"/>
  <c r="B188" i="6"/>
  <c r="F42" i="6"/>
  <c r="E315" i="6"/>
  <c r="B183" i="6"/>
  <c r="F146" i="6"/>
  <c r="F310" i="6"/>
  <c r="F145" i="6"/>
  <c r="B182" i="6"/>
  <c r="B200" i="6"/>
  <c r="B205" i="6"/>
  <c r="A214" i="6"/>
  <c r="E116" i="6"/>
  <c r="A213" i="6"/>
  <c r="C40" i="6"/>
  <c r="A221" i="6"/>
  <c r="E58" i="6"/>
  <c r="C273" i="6"/>
  <c r="D122" i="6"/>
  <c r="B193" i="6"/>
  <c r="A249" i="6"/>
  <c r="A242" i="6"/>
  <c r="B204" i="6"/>
  <c r="F149" i="6"/>
  <c r="B208" i="6"/>
  <c r="B197" i="6"/>
  <c r="A255" i="6"/>
  <c r="B166" i="6"/>
  <c r="B62" i="6"/>
  <c r="A261" i="6"/>
  <c r="A252" i="6"/>
  <c r="F54" i="6"/>
  <c r="B168" i="6"/>
  <c r="E8" i="3"/>
  <c r="F156" i="6"/>
  <c r="B277" i="6"/>
  <c r="C30" i="6"/>
  <c r="F155" i="6"/>
  <c r="F43" i="6"/>
  <c r="F280" i="6"/>
  <c r="B194" i="6"/>
  <c r="F140" i="6"/>
  <c r="A251" i="6"/>
  <c r="A9" i="6"/>
  <c r="F50" i="6"/>
  <c r="B167" i="6"/>
  <c r="B165" i="6"/>
  <c r="C311" i="6"/>
  <c r="A263" i="6"/>
  <c r="A248" i="6"/>
  <c r="B181" i="6"/>
  <c r="C67" i="6"/>
  <c r="B175" i="6"/>
  <c r="B210" i="6"/>
  <c r="B217" i="6"/>
  <c r="A240" i="6"/>
  <c r="B226" i="6"/>
  <c r="B212" i="6"/>
  <c r="B312" i="6"/>
  <c r="B191" i="6"/>
  <c r="B180" i="6"/>
  <c r="C59" i="6"/>
  <c r="A254" i="6"/>
  <c r="A247" i="6"/>
  <c r="F299" i="6"/>
  <c r="A229" i="6"/>
  <c r="F36" i="6"/>
  <c r="B185" i="6"/>
  <c r="B196" i="6"/>
  <c r="B11" i="3"/>
  <c r="B266" i="6"/>
  <c r="A250" i="6"/>
  <c r="C66" i="6"/>
  <c r="B61" i="6"/>
  <c r="A258" i="6"/>
  <c r="B267" i="6"/>
  <c r="C57" i="6"/>
  <c r="F53" i="6"/>
  <c r="B201" i="6"/>
  <c r="A230" i="6"/>
  <c r="F34" i="6"/>
  <c r="B203" i="6"/>
  <c r="B195" i="6"/>
  <c r="A260" i="6"/>
  <c r="B218" i="6"/>
  <c r="A262" i="6"/>
  <c r="A228" i="6"/>
  <c r="A257" i="6"/>
  <c r="B265" i="6"/>
  <c r="F139" i="6"/>
  <c r="B198" i="6"/>
  <c r="F32" i="6"/>
  <c r="B192" i="6"/>
  <c r="F46" i="6"/>
  <c r="F41" i="6"/>
  <c r="B202" i="6"/>
  <c r="A259" i="6"/>
  <c r="B161" i="6"/>
  <c r="E281" i="6"/>
  <c r="F291" i="6"/>
  <c r="F52" i="6"/>
  <c r="AS14" i="3"/>
  <c r="F47" i="6"/>
  <c r="B216" i="3"/>
  <c r="B189" i="6"/>
  <c r="B171" i="6"/>
  <c r="A225" i="6"/>
  <c r="A206" i="6"/>
  <c r="C157" i="6"/>
  <c r="B211" i="6"/>
  <c r="B178" i="6"/>
  <c r="C64" i="6"/>
  <c r="A179" i="6"/>
  <c r="B190" i="6"/>
  <c r="A235" i="6"/>
  <c r="E122" i="6"/>
  <c r="F152" i="6"/>
  <c r="F148" i="6"/>
  <c r="A256" i="6"/>
  <c r="F154" i="6"/>
  <c r="F49" i="6"/>
  <c r="F123" i="6"/>
  <c r="B186" i="6"/>
  <c r="A239" i="6"/>
  <c r="A219" i="6"/>
  <c r="B170" i="6"/>
  <c r="A232" i="6"/>
  <c r="B199" i="6"/>
  <c r="F153" i="6"/>
  <c r="A283" i="6"/>
  <c r="AF8" i="3" l="1"/>
  <c r="AR8" i="3" s="1"/>
  <c r="F60" i="6"/>
  <c r="E7" i="6"/>
  <c r="D7" i="6"/>
  <c r="I5" i="4" a="1"/>
  <c r="I5" i="4" s="1"/>
  <c r="H5" i="4" a="1"/>
  <c r="H5" i="4" s="1"/>
  <c r="AR7" i="3"/>
  <c r="E30" i="6"/>
  <c r="D30" i="6"/>
  <c r="D31" i="6"/>
  <c r="E31" i="6"/>
  <c r="E40" i="6"/>
  <c r="D39" i="6"/>
  <c r="D40" i="6"/>
  <c r="E39" i="6"/>
  <c r="E55" i="6"/>
  <c r="D55" i="6"/>
  <c r="F66" i="6"/>
  <c r="F64" i="6"/>
  <c r="E160" i="6"/>
  <c r="D160" i="6"/>
  <c r="F67" i="6"/>
  <c r="F59" i="6"/>
  <c r="F57" i="6"/>
  <c r="E157" i="6"/>
  <c r="D157" i="6"/>
  <c r="F316" i="6"/>
  <c r="E147" i="6"/>
  <c r="D147" i="6"/>
  <c r="C204" i="6"/>
  <c r="C202" i="6"/>
  <c r="D276" i="6"/>
  <c r="C184" i="6"/>
  <c r="C282" i="6"/>
  <c r="C194" i="6"/>
  <c r="C176" i="6"/>
  <c r="C209" i="6"/>
  <c r="C264" i="6"/>
  <c r="C178" i="6"/>
  <c r="C164" i="6"/>
  <c r="C198" i="6"/>
  <c r="C170" i="6"/>
  <c r="E276" i="6"/>
  <c r="C266" i="6"/>
  <c r="C182" i="6"/>
  <c r="C200" i="6"/>
  <c r="F273" i="6"/>
  <c r="E68" i="6"/>
  <c r="F56" i="6"/>
  <c r="C166" i="6"/>
  <c r="C162" i="6"/>
  <c r="C274" i="6"/>
  <c r="C172" i="6"/>
  <c r="C186" i="6"/>
  <c r="D268" i="6"/>
  <c r="F311" i="6"/>
  <c r="C188" i="6"/>
  <c r="C190" i="6"/>
  <c r="C180" i="6"/>
  <c r="C192" i="6"/>
  <c r="F63" i="6"/>
  <c r="C196" i="6"/>
  <c r="C168" i="6"/>
  <c r="C62" i="6"/>
  <c r="E268" i="6"/>
  <c r="D68" i="6"/>
  <c r="F55" i="6"/>
  <c r="C165" i="6"/>
  <c r="C211" i="6"/>
  <c r="B231" i="6"/>
  <c r="B248" i="6"/>
  <c r="B252" i="6"/>
  <c r="C199" i="6"/>
  <c r="D67" i="6"/>
  <c r="B239" i="6"/>
  <c r="C61" i="6"/>
  <c r="F39" i="6"/>
  <c r="B259" i="6"/>
  <c r="B251" i="6"/>
  <c r="C275" i="6"/>
  <c r="A10" i="6"/>
  <c r="C197" i="6"/>
  <c r="B206" i="6"/>
  <c r="B283" i="6"/>
  <c r="C216" i="6"/>
  <c r="E60" i="6"/>
  <c r="E59" i="6"/>
  <c r="D64" i="6"/>
  <c r="B215" i="6"/>
  <c r="C208" i="6"/>
  <c r="C167" i="6"/>
  <c r="B258" i="6"/>
  <c r="C171" i="6"/>
  <c r="D311" i="6"/>
  <c r="B262" i="6"/>
  <c r="C201" i="6"/>
  <c r="B163" i="6"/>
  <c r="C212" i="6"/>
  <c r="B257" i="6"/>
  <c r="E9" i="3"/>
  <c r="E66" i="6"/>
  <c r="B249" i="6"/>
  <c r="B243" i="6"/>
  <c r="B235" i="6"/>
  <c r="A237" i="6"/>
  <c r="C177" i="6"/>
  <c r="A238" i="6"/>
  <c r="E64" i="6"/>
  <c r="B247" i="6"/>
  <c r="C195" i="6"/>
  <c r="B244" i="6"/>
  <c r="C161" i="6"/>
  <c r="C210" i="6"/>
  <c r="D273" i="6"/>
  <c r="A233" i="6"/>
  <c r="F147" i="6"/>
  <c r="F30" i="6"/>
  <c r="B214" i="6"/>
  <c r="B225" i="6"/>
  <c r="B228" i="6"/>
  <c r="D59" i="6"/>
  <c r="C218" i="6"/>
  <c r="B255" i="6"/>
  <c r="C220" i="6"/>
  <c r="F68" i="6"/>
  <c r="B253" i="6"/>
  <c r="C265" i="6"/>
  <c r="B256" i="6"/>
  <c r="D63" i="6"/>
  <c r="B261" i="6"/>
  <c r="C267" i="6"/>
  <c r="B263" i="6"/>
  <c r="B179" i="6"/>
  <c r="C224" i="6"/>
  <c r="D56" i="6"/>
  <c r="C203" i="6"/>
  <c r="F268" i="6"/>
  <c r="B223" i="6"/>
  <c r="C312" i="6"/>
  <c r="E311" i="6"/>
  <c r="B229" i="6"/>
  <c r="C191" i="6"/>
  <c r="B219" i="6"/>
  <c r="B240" i="6"/>
  <c r="A241" i="6"/>
  <c r="B9" i="6"/>
  <c r="F7" i="6"/>
  <c r="B245" i="6"/>
  <c r="C175" i="6"/>
  <c r="B250" i="6"/>
  <c r="C217" i="6"/>
  <c r="C246" i="6"/>
  <c r="AS15" i="3"/>
  <c r="B213" i="6"/>
  <c r="C181" i="6"/>
  <c r="C8" i="6"/>
  <c r="B232" i="6"/>
  <c r="A234" i="6"/>
  <c r="F40" i="6"/>
  <c r="AS23" i="3"/>
  <c r="C65" i="6"/>
  <c r="D66" i="6"/>
  <c r="C169" i="6"/>
  <c r="C222" i="6"/>
  <c r="B221" i="6"/>
  <c r="C183" i="6"/>
  <c r="F31" i="6"/>
  <c r="D316" i="6"/>
  <c r="C173" i="6"/>
  <c r="F276" i="6"/>
  <c r="C205" i="6"/>
  <c r="B242" i="6"/>
  <c r="B207" i="6"/>
  <c r="C193" i="6"/>
  <c r="E63" i="6"/>
  <c r="C187" i="6"/>
  <c r="C189" i="6"/>
  <c r="B260" i="6"/>
  <c r="B254" i="6"/>
  <c r="C269" i="6"/>
  <c r="D60" i="6"/>
  <c r="C185" i="6"/>
  <c r="A236" i="6"/>
  <c r="B217" i="3"/>
  <c r="B12" i="3"/>
  <c r="B230" i="6"/>
  <c r="E67" i="6"/>
  <c r="E57" i="6"/>
  <c r="B227" i="6"/>
  <c r="C226" i="6"/>
  <c r="F157" i="6"/>
  <c r="E273" i="6"/>
  <c r="C277" i="6"/>
  <c r="F160" i="6"/>
  <c r="E56" i="6"/>
  <c r="E316" i="6"/>
  <c r="D57" i="6"/>
  <c r="AF9" i="3" l="1"/>
  <c r="AR9" i="3" s="1"/>
  <c r="C258" i="6"/>
  <c r="D258" i="6" s="1"/>
  <c r="F61" i="6"/>
  <c r="D8" i="6"/>
  <c r="E8" i="6"/>
  <c r="AN5" i="4"/>
  <c r="AL217" i="3"/>
  <c r="E164" i="6"/>
  <c r="D164" i="6"/>
  <c r="D162" i="6"/>
  <c r="E162" i="6"/>
  <c r="D166" i="6"/>
  <c r="E166" i="6"/>
  <c r="E165" i="6"/>
  <c r="D165" i="6"/>
  <c r="E167" i="6"/>
  <c r="D167" i="6"/>
  <c r="D168" i="6"/>
  <c r="E168" i="6"/>
  <c r="F65" i="6"/>
  <c r="E161" i="6"/>
  <c r="D161" i="6"/>
  <c r="D246" i="6"/>
  <c r="F218" i="6"/>
  <c r="E246" i="6"/>
  <c r="E220" i="6"/>
  <c r="F222" i="6"/>
  <c r="D220" i="6"/>
  <c r="F212" i="6"/>
  <c r="F312" i="6"/>
  <c r="E210" i="6"/>
  <c r="E216" i="6"/>
  <c r="D216" i="6"/>
  <c r="D226" i="6"/>
  <c r="E226" i="6"/>
  <c r="D210" i="6"/>
  <c r="F175" i="6"/>
  <c r="C239" i="6"/>
  <c r="E204" i="6"/>
  <c r="F208" i="6"/>
  <c r="F217" i="6"/>
  <c r="E190" i="6"/>
  <c r="E264" i="6"/>
  <c r="E282" i="6"/>
  <c r="F183" i="6"/>
  <c r="E186" i="6"/>
  <c r="E184" i="6"/>
  <c r="E198" i="6"/>
  <c r="D194" i="6"/>
  <c r="F195" i="6"/>
  <c r="E196" i="6"/>
  <c r="F181" i="6"/>
  <c r="D176" i="6"/>
  <c r="F187" i="6"/>
  <c r="D180" i="6"/>
  <c r="E192" i="6"/>
  <c r="F173" i="6"/>
  <c r="C219" i="6"/>
  <c r="F193" i="6"/>
  <c r="F189" i="6"/>
  <c r="C242" i="6"/>
  <c r="D204" i="6"/>
  <c r="F211" i="6"/>
  <c r="E209" i="6"/>
  <c r="F177" i="6"/>
  <c r="F267" i="6"/>
  <c r="C225" i="6"/>
  <c r="D282" i="6"/>
  <c r="D198" i="6"/>
  <c r="D196" i="6"/>
  <c r="E180" i="6"/>
  <c r="D264" i="6"/>
  <c r="D182" i="6"/>
  <c r="F265" i="6"/>
  <c r="D266" i="6"/>
  <c r="F169" i="6"/>
  <c r="F199" i="6"/>
  <c r="C260" i="6"/>
  <c r="D62" i="6"/>
  <c r="F224" i="6"/>
  <c r="E274" i="6"/>
  <c r="F191" i="6"/>
  <c r="D178" i="6"/>
  <c r="E176" i="6"/>
  <c r="E188" i="6"/>
  <c r="E170" i="6"/>
  <c r="D170" i="6"/>
  <c r="C215" i="6"/>
  <c r="C207" i="6"/>
  <c r="D190" i="6"/>
  <c r="E194" i="6"/>
  <c r="F277" i="6"/>
  <c r="F201" i="6"/>
  <c r="D209" i="6"/>
  <c r="E172" i="6"/>
  <c r="D202" i="6"/>
  <c r="F275" i="6"/>
  <c r="F185" i="6"/>
  <c r="F203" i="6"/>
  <c r="D192" i="6"/>
  <c r="C250" i="6"/>
  <c r="D186" i="6"/>
  <c r="F269" i="6"/>
  <c r="E182" i="6"/>
  <c r="D200" i="6"/>
  <c r="F171" i="6"/>
  <c r="D274" i="6"/>
  <c r="F197" i="6"/>
  <c r="E200" i="6"/>
  <c r="E202" i="6"/>
  <c r="E178" i="6"/>
  <c r="D188" i="6"/>
  <c r="D172" i="6"/>
  <c r="C262" i="6"/>
  <c r="E266" i="6"/>
  <c r="E62" i="6"/>
  <c r="D184" i="6"/>
  <c r="D205" i="6"/>
  <c r="E205" i="6"/>
  <c r="E189" i="6"/>
  <c r="F194" i="6"/>
  <c r="B218" i="3"/>
  <c r="C261" i="6"/>
  <c r="F192" i="6"/>
  <c r="E195" i="6"/>
  <c r="C240" i="6"/>
  <c r="D65" i="6"/>
  <c r="D208" i="6"/>
  <c r="C252" i="6"/>
  <c r="C206" i="6"/>
  <c r="D171" i="6"/>
  <c r="C257" i="6"/>
  <c r="B241" i="6"/>
  <c r="E212" i="6"/>
  <c r="F172" i="6"/>
  <c r="B233" i="6"/>
  <c r="AS16" i="3"/>
  <c r="F180" i="6"/>
  <c r="C243" i="6"/>
  <c r="E265" i="6"/>
  <c r="E169" i="6"/>
  <c r="F202" i="6"/>
  <c r="D312" i="6"/>
  <c r="D169" i="6"/>
  <c r="D197" i="6"/>
  <c r="F178" i="6"/>
  <c r="C9" i="6"/>
  <c r="D195" i="6"/>
  <c r="D224" i="6"/>
  <c r="C221" i="6"/>
  <c r="C256" i="6"/>
  <c r="D193" i="6"/>
  <c r="E171" i="6"/>
  <c r="A19" i="6"/>
  <c r="F209" i="6"/>
  <c r="C232" i="6"/>
  <c r="C263" i="6"/>
  <c r="D275" i="6"/>
  <c r="E222" i="6"/>
  <c r="E193" i="6"/>
  <c r="F162" i="6"/>
  <c r="F168" i="6"/>
  <c r="F166" i="6"/>
  <c r="F226" i="6"/>
  <c r="C227" i="6"/>
  <c r="C163" i="6"/>
  <c r="F170" i="6"/>
  <c r="F274" i="6"/>
  <c r="B238" i="6"/>
  <c r="D212" i="6"/>
  <c r="F188" i="6"/>
  <c r="C247" i="6"/>
  <c r="C235" i="6"/>
  <c r="C231" i="6"/>
  <c r="A11" i="6"/>
  <c r="E191" i="6"/>
  <c r="AS24" i="3"/>
  <c r="F196" i="6"/>
  <c r="F161" i="6"/>
  <c r="C253" i="6"/>
  <c r="E277" i="6"/>
  <c r="D201" i="6"/>
  <c r="D175" i="6"/>
  <c r="D185" i="6"/>
  <c r="E211" i="6"/>
  <c r="D181" i="6"/>
  <c r="F210" i="6"/>
  <c r="C255" i="6"/>
  <c r="E208" i="6"/>
  <c r="C259" i="6"/>
  <c r="D265" i="6"/>
  <c r="E175" i="6"/>
  <c r="C229" i="6"/>
  <c r="D222" i="6"/>
  <c r="E312" i="6"/>
  <c r="B234" i="6"/>
  <c r="D177" i="6"/>
  <c r="F167" i="6"/>
  <c r="E185" i="6"/>
  <c r="E218" i="6"/>
  <c r="C254" i="6"/>
  <c r="F264" i="6"/>
  <c r="F176" i="6"/>
  <c r="F216" i="6"/>
  <c r="F198" i="6"/>
  <c r="E183" i="6"/>
  <c r="D173" i="6"/>
  <c r="D183" i="6"/>
  <c r="E201" i="6"/>
  <c r="C251" i="6"/>
  <c r="E267" i="6"/>
  <c r="C214" i="6"/>
  <c r="E224" i="6"/>
  <c r="E217" i="6"/>
  <c r="E173" i="6"/>
  <c r="E187" i="6"/>
  <c r="E203" i="6"/>
  <c r="F200" i="6"/>
  <c r="D218" i="6"/>
  <c r="C245" i="6"/>
  <c r="C179" i="6"/>
  <c r="F186" i="6"/>
  <c r="E199" i="6"/>
  <c r="E275" i="6"/>
  <c r="D211" i="6"/>
  <c r="D61" i="6"/>
  <c r="D187" i="6"/>
  <c r="F220" i="6"/>
  <c r="F190" i="6"/>
  <c r="B10" i="6"/>
  <c r="F62" i="6"/>
  <c r="E65" i="6"/>
  <c r="D267" i="6"/>
  <c r="B13" i="3"/>
  <c r="F182" i="6"/>
  <c r="D189" i="6"/>
  <c r="D269" i="6"/>
  <c r="F165" i="6"/>
  <c r="E197" i="6"/>
  <c r="C248" i="6"/>
  <c r="E61" i="6"/>
  <c r="C230" i="6"/>
  <c r="B237" i="6"/>
  <c r="E269" i="6"/>
  <c r="C213" i="6"/>
  <c r="F205" i="6"/>
  <c r="F184" i="6"/>
  <c r="E181" i="6"/>
  <c r="C223" i="6"/>
  <c r="C244" i="6"/>
  <c r="F8" i="6"/>
  <c r="F204" i="6"/>
  <c r="F266" i="6"/>
  <c r="E177" i="6"/>
  <c r="B236" i="6"/>
  <c r="F246" i="6"/>
  <c r="D191" i="6"/>
  <c r="F282" i="6"/>
  <c r="D203" i="6"/>
  <c r="F164" i="6"/>
  <c r="D199" i="6"/>
  <c r="C249" i="6"/>
  <c r="C283" i="6"/>
  <c r="D217" i="6"/>
  <c r="D277" i="6"/>
  <c r="C228" i="6"/>
  <c r="E258" i="6" l="1"/>
  <c r="E250" i="6"/>
  <c r="D250" i="6"/>
  <c r="E257" i="6"/>
  <c r="D257" i="6"/>
  <c r="E245" i="6"/>
  <c r="D245" i="6"/>
  <c r="E249" i="6"/>
  <c r="D249" i="6"/>
  <c r="D254" i="6"/>
  <c r="E254" i="6"/>
  <c r="D252" i="6"/>
  <c r="E252" i="6"/>
  <c r="D251" i="6"/>
  <c r="E251" i="6"/>
  <c r="E255" i="6"/>
  <c r="D255" i="6"/>
  <c r="D256" i="6"/>
  <c r="E256" i="6"/>
  <c r="E9" i="6"/>
  <c r="D9" i="6"/>
  <c r="E163" i="6"/>
  <c r="D163" i="6"/>
  <c r="D240" i="6"/>
  <c r="D253" i="6"/>
  <c r="E240" i="6"/>
  <c r="E253" i="6"/>
  <c r="D248" i="6"/>
  <c r="E248" i="6"/>
  <c r="D247" i="6"/>
  <c r="E247" i="6"/>
  <c r="D244" i="6"/>
  <c r="E230" i="6"/>
  <c r="E244" i="6"/>
  <c r="D230" i="6"/>
  <c r="D232" i="6"/>
  <c r="E229" i="6"/>
  <c r="D229" i="6"/>
  <c r="D243" i="6"/>
  <c r="E243" i="6"/>
  <c r="E232" i="6"/>
  <c r="D231" i="6"/>
  <c r="F213" i="6"/>
  <c r="E231" i="6"/>
  <c r="E242" i="6"/>
  <c r="F214" i="6"/>
  <c r="D242" i="6"/>
  <c r="D228" i="6"/>
  <c r="D215" i="6"/>
  <c r="D262" i="6"/>
  <c r="E215" i="6"/>
  <c r="F221" i="6"/>
  <c r="E225" i="6"/>
  <c r="F261" i="6"/>
  <c r="E239" i="6"/>
  <c r="D260" i="6"/>
  <c r="C234" i="6"/>
  <c r="F227" i="6"/>
  <c r="E223" i="6"/>
  <c r="F263" i="6"/>
  <c r="F283" i="6"/>
  <c r="E228" i="6"/>
  <c r="D223" i="6"/>
  <c r="E262" i="6"/>
  <c r="D207" i="6"/>
  <c r="D239" i="6"/>
  <c r="D225" i="6"/>
  <c r="D219" i="6"/>
  <c r="E260" i="6"/>
  <c r="E207" i="6"/>
  <c r="E219" i="6"/>
  <c r="F259" i="6"/>
  <c r="F179" i="6"/>
  <c r="F235" i="6"/>
  <c r="D206" i="6"/>
  <c r="E206" i="6"/>
  <c r="E259" i="6"/>
  <c r="D227" i="6"/>
  <c r="F252" i="6"/>
  <c r="E10" i="3"/>
  <c r="C241" i="6"/>
  <c r="A20" i="6"/>
  <c r="F242" i="6"/>
  <c r="E179" i="6"/>
  <c r="C233" i="6"/>
  <c r="F244" i="6"/>
  <c r="F251" i="6"/>
  <c r="F248" i="6"/>
  <c r="E235" i="6"/>
  <c r="F207" i="6"/>
  <c r="F228" i="6"/>
  <c r="A12" i="6"/>
  <c r="F225" i="6"/>
  <c r="D213" i="6"/>
  <c r="F239" i="6"/>
  <c r="F254" i="6"/>
  <c r="F231" i="6"/>
  <c r="AS25" i="3"/>
  <c r="F163" i="6"/>
  <c r="E263" i="6"/>
  <c r="E227" i="6"/>
  <c r="B14" i="3"/>
  <c r="F245" i="6"/>
  <c r="D221" i="6"/>
  <c r="F247" i="6"/>
  <c r="D179" i="6"/>
  <c r="F260" i="6"/>
  <c r="D235" i="6"/>
  <c r="F262" i="6"/>
  <c r="F250" i="6"/>
  <c r="D214" i="6"/>
  <c r="E213" i="6"/>
  <c r="C237" i="6"/>
  <c r="B19" i="6"/>
  <c r="E261" i="6"/>
  <c r="F219" i="6"/>
  <c r="C236" i="6"/>
  <c r="C10" i="6"/>
  <c r="F9" i="6"/>
  <c r="F258" i="6"/>
  <c r="F253" i="6"/>
  <c r="F206" i="6"/>
  <c r="D263" i="6"/>
  <c r="F223" i="6"/>
  <c r="E221" i="6"/>
  <c r="F255" i="6"/>
  <c r="F232" i="6"/>
  <c r="F249" i="6"/>
  <c r="F215" i="6"/>
  <c r="E214" i="6"/>
  <c r="E283" i="6"/>
  <c r="D261" i="6"/>
  <c r="F240" i="6"/>
  <c r="D283" i="6"/>
  <c r="F256" i="6"/>
  <c r="D259" i="6"/>
  <c r="F230" i="6"/>
  <c r="B219" i="3"/>
  <c r="F243" i="6"/>
  <c r="F229" i="6"/>
  <c r="F257" i="6"/>
  <c r="B11" i="6"/>
  <c r="C238" i="6"/>
  <c r="E233" i="6" l="1"/>
  <c r="D233" i="6"/>
  <c r="D234" i="6"/>
  <c r="E234" i="6"/>
  <c r="E10" i="6"/>
  <c r="D10" i="6"/>
  <c r="AF10" i="3"/>
  <c r="E237" i="6"/>
  <c r="E241" i="6"/>
  <c r="D241" i="6"/>
  <c r="D237" i="6"/>
  <c r="F236" i="6"/>
  <c r="E238" i="6"/>
  <c r="D238" i="6"/>
  <c r="C19" i="6"/>
  <c r="F238" i="6"/>
  <c r="D236" i="6"/>
  <c r="B15" i="3"/>
  <c r="B220" i="3"/>
  <c r="F10" i="6"/>
  <c r="F241" i="6"/>
  <c r="F234" i="6"/>
  <c r="C11" i="6"/>
  <c r="B20" i="6"/>
  <c r="E11" i="3"/>
  <c r="A21" i="6"/>
  <c r="F233" i="6"/>
  <c r="E236" i="6"/>
  <c r="AS17" i="3"/>
  <c r="A13" i="6"/>
  <c r="F237" i="6"/>
  <c r="B12" i="6"/>
  <c r="D11" i="6" l="1"/>
  <c r="E11" i="6"/>
  <c r="AF11" i="3"/>
  <c r="AR11" i="3" s="1"/>
  <c r="AR10" i="3"/>
  <c r="E19" i="6"/>
  <c r="D19" i="6"/>
  <c r="A18" i="6"/>
  <c r="A23" i="6"/>
  <c r="AS26" i="3"/>
  <c r="B221" i="3"/>
  <c r="F11" i="6"/>
  <c r="C20" i="6"/>
  <c r="AS18" i="3"/>
  <c r="A27" i="6"/>
  <c r="F19" i="6"/>
  <c r="B21" i="6"/>
  <c r="A22" i="6"/>
  <c r="B13" i="6"/>
  <c r="A26" i="6"/>
  <c r="A14" i="6"/>
  <c r="C12" i="6"/>
  <c r="B16" i="3"/>
  <c r="E12" i="3"/>
  <c r="A28" i="6"/>
  <c r="AF12" i="3" l="1"/>
  <c r="AR12" i="3" s="1"/>
  <c r="E12" i="6"/>
  <c r="D12" i="6"/>
  <c r="AL221" i="3"/>
  <c r="E20" i="6"/>
  <c r="D20" i="6"/>
  <c r="E13" i="3"/>
  <c r="B26" i="6"/>
  <c r="F20" i="6"/>
  <c r="AS19" i="3"/>
  <c r="B22" i="6"/>
  <c r="B23" i="6"/>
  <c r="B27" i="6"/>
  <c r="B18" i="6"/>
  <c r="B222" i="3"/>
  <c r="A24" i="6"/>
  <c r="A15" i="6"/>
  <c r="B14" i="6"/>
  <c r="A29" i="6"/>
  <c r="C21" i="6"/>
  <c r="F12" i="6"/>
  <c r="B28" i="6"/>
  <c r="A25" i="6"/>
  <c r="C13" i="6"/>
  <c r="AF13" i="3" l="1"/>
  <c r="AR13" i="3" s="1"/>
  <c r="D13" i="6"/>
  <c r="E13" i="6"/>
  <c r="D21" i="6"/>
  <c r="E21" i="6"/>
  <c r="C18" i="6"/>
  <c r="B25" i="6"/>
  <c r="B29" i="6"/>
  <c r="E14" i="3"/>
  <c r="A174" i="6"/>
  <c r="A17" i="6"/>
  <c r="B15" i="6"/>
  <c r="B17" i="3"/>
  <c r="C14" i="6"/>
  <c r="B223" i="3"/>
  <c r="A16" i="6"/>
  <c r="F21" i="6"/>
  <c r="C28" i="6"/>
  <c r="C22" i="6"/>
  <c r="B24" i="6"/>
  <c r="C26" i="6"/>
  <c r="F13" i="6"/>
  <c r="C27" i="6"/>
  <c r="C23" i="6"/>
  <c r="E26" i="6" l="1"/>
  <c r="D26" i="6"/>
  <c r="E27" i="6"/>
  <c r="D27" i="6"/>
  <c r="E28" i="6"/>
  <c r="D28" i="6"/>
  <c r="D22" i="6"/>
  <c r="E22" i="6"/>
  <c r="D14" i="6"/>
  <c r="E14" i="6"/>
  <c r="E23" i="6"/>
  <c r="D23" i="6"/>
  <c r="AF14" i="3"/>
  <c r="AR14" i="3" s="1"/>
  <c r="AC131" i="3"/>
  <c r="AC165" i="3"/>
  <c r="AC102" i="3"/>
  <c r="AC14" i="3"/>
  <c r="AC255" i="3"/>
  <c r="AC251" i="3"/>
  <c r="AC94" i="3"/>
  <c r="AC234" i="3"/>
  <c r="AC84" i="3"/>
  <c r="AC226" i="3"/>
  <c r="AC313" i="3"/>
  <c r="AC161" i="3"/>
  <c r="AC259" i="3"/>
  <c r="AC88" i="3"/>
  <c r="AC316" i="3"/>
  <c r="AC169" i="3"/>
  <c r="AC120" i="3"/>
  <c r="AC308" i="3"/>
  <c r="AC263" i="3"/>
  <c r="AC292" i="3"/>
  <c r="AC215" i="3"/>
  <c r="AC195" i="3"/>
  <c r="AC138" i="3"/>
  <c r="AC98" i="3"/>
  <c r="AC235" i="3"/>
  <c r="AC230" i="3"/>
  <c r="AC149" i="3"/>
  <c r="AC129" i="3"/>
  <c r="AC157" i="3"/>
  <c r="AC231" i="3"/>
  <c r="AC279" i="3"/>
  <c r="AC118" i="3"/>
  <c r="AC127" i="3"/>
  <c r="AC285" i="3"/>
  <c r="AC108" i="3"/>
  <c r="AC288" i="3"/>
  <c r="AC159" i="3"/>
  <c r="AC245" i="3"/>
  <c r="AC90" i="3"/>
  <c r="AC281" i="3"/>
  <c r="AC265" i="3"/>
  <c r="AC271" i="3"/>
  <c r="AC317" i="3"/>
  <c r="AC212" i="3"/>
  <c r="AC257" i="3"/>
  <c r="AC106" i="3"/>
  <c r="AC254" i="3"/>
  <c r="AC283" i="3"/>
  <c r="AC277" i="3"/>
  <c r="AC126" i="3"/>
  <c r="AC114" i="3"/>
  <c r="AC247" i="3"/>
  <c r="AC7" i="3"/>
  <c r="AC269" i="3"/>
  <c r="AC203" i="3"/>
  <c r="AC62" i="3"/>
  <c r="AC100" i="3"/>
  <c r="AC210" i="3"/>
  <c r="AC310" i="3"/>
  <c r="AC250" i="3"/>
  <c r="AC208" i="3"/>
  <c r="AC96" i="3"/>
  <c r="AC92" i="3"/>
  <c r="AC218" i="3"/>
  <c r="AC318" i="3"/>
  <c r="AC314" i="3"/>
  <c r="AC167" i="3"/>
  <c r="AC261" i="3"/>
  <c r="AC258" i="3"/>
  <c r="AC267" i="3"/>
  <c r="AC197" i="3"/>
  <c r="AC104" i="3"/>
  <c r="AC246" i="3"/>
  <c r="AC5" i="3"/>
  <c r="AC199" i="3"/>
  <c r="AC61" i="3"/>
  <c r="AC256" i="3"/>
  <c r="AC233" i="3"/>
  <c r="AC311" i="3"/>
  <c r="AC122" i="3"/>
  <c r="AC286" i="3"/>
  <c r="AC232" i="3"/>
  <c r="AC273" i="3"/>
  <c r="AC116" i="3"/>
  <c r="AC289" i="3"/>
  <c r="AC216" i="3"/>
  <c r="AC291" i="3"/>
  <c r="AC193" i="3"/>
  <c r="AC130" i="3"/>
  <c r="AC249" i="3"/>
  <c r="AC248" i="3"/>
  <c r="AC214" i="3"/>
  <c r="AC112" i="3"/>
  <c r="AC141" i="3"/>
  <c r="AC201" i="3"/>
  <c r="AC253" i="3"/>
  <c r="AC220" i="3"/>
  <c r="AC110" i="3"/>
  <c r="AC275" i="3"/>
  <c r="AC151" i="3"/>
  <c r="AC207" i="3"/>
  <c r="AC205" i="3"/>
  <c r="AC155" i="3"/>
  <c r="AC153" i="3"/>
  <c r="AC163" i="3"/>
  <c r="AC86" i="3"/>
  <c r="AC10" i="3"/>
  <c r="AC60" i="3"/>
  <c r="D18" i="6"/>
  <c r="E18" i="6"/>
  <c r="C25" i="6"/>
  <c r="B224" i="3"/>
  <c r="C29" i="6"/>
  <c r="C24" i="6"/>
  <c r="F28" i="6"/>
  <c r="B174" i="6"/>
  <c r="F27" i="6"/>
  <c r="F26" i="6"/>
  <c r="B16" i="6"/>
  <c r="F14" i="6"/>
  <c r="E15" i="3"/>
  <c r="B17" i="6"/>
  <c r="F22" i="6"/>
  <c r="F18" i="6"/>
  <c r="B18" i="3"/>
  <c r="F23" i="6"/>
  <c r="C15" i="6"/>
  <c r="D25" i="6" l="1"/>
  <c r="E25" i="6"/>
  <c r="E29" i="6"/>
  <c r="D29" i="6"/>
  <c r="E24" i="6"/>
  <c r="D24" i="6"/>
  <c r="E15" i="6"/>
  <c r="D15" i="6"/>
  <c r="AF15" i="3"/>
  <c r="AR15" i="3" s="1"/>
  <c r="AC2" i="3"/>
  <c r="E1" i="3" s="1"/>
  <c r="C174" i="6"/>
  <c r="C17" i="6"/>
  <c r="F24" i="6"/>
  <c r="E16" i="3"/>
  <c r="F15" i="6"/>
  <c r="C16" i="6"/>
  <c r="B225" i="3"/>
  <c r="F29" i="6"/>
  <c r="F25" i="6"/>
  <c r="B19" i="3"/>
  <c r="E17" i="6" l="1"/>
  <c r="D17" i="6"/>
  <c r="E16" i="6"/>
  <c r="D16" i="6"/>
  <c r="AF16" i="3"/>
  <c r="AR16" i="3" s="1"/>
  <c r="V4" i="4" a="1"/>
  <c r="V4" i="4" s="1"/>
  <c r="R4" i="4" a="1"/>
  <c r="R4" i="4" s="1"/>
  <c r="T4" i="4" a="1"/>
  <c r="T4" i="4" s="1"/>
  <c r="S4" i="4" a="1"/>
  <c r="S4" i="4" s="1"/>
  <c r="P4" i="4" a="1"/>
  <c r="P4" i="4" s="1"/>
  <c r="AU4" i="4" s="1"/>
  <c r="W4" i="4" a="1"/>
  <c r="W4" i="4" s="1"/>
  <c r="U4" i="4" a="1"/>
  <c r="U4" i="4" s="1"/>
  <c r="Q4" i="4" a="1"/>
  <c r="Q4" i="4" s="1"/>
  <c r="E174" i="6"/>
  <c r="D174" i="6"/>
  <c r="F16" i="6"/>
  <c r="B226" i="3"/>
  <c r="F17" i="6"/>
  <c r="E17" i="3"/>
  <c r="F174" i="6"/>
  <c r="AF17" i="3" l="1"/>
  <c r="AR17" i="3" s="1"/>
  <c r="AV4" i="4"/>
  <c r="AW4" i="4" s="1"/>
  <c r="AX4" i="4" s="1"/>
  <c r="AY4" i="4" s="1"/>
  <c r="AZ4" i="4" s="1"/>
  <c r="BA4" i="4" s="1"/>
  <c r="BB4" i="4" s="1"/>
  <c r="E18" i="3"/>
  <c r="B227" i="3"/>
  <c r="AL227" i="3" l="1"/>
  <c r="AF18" i="3"/>
  <c r="AR18" i="3" s="1"/>
  <c r="E19" i="3"/>
  <c r="B228" i="3"/>
  <c r="AF19" i="3" l="1"/>
  <c r="AR19" i="3" s="1"/>
  <c r="E20" i="3"/>
  <c r="B229" i="3"/>
  <c r="B20" i="3"/>
  <c r="AD20" i="3" l="1"/>
  <c r="AN20" i="3" s="1"/>
  <c r="AL20" i="3"/>
  <c r="B21" i="3"/>
  <c r="E21" i="3"/>
  <c r="B230" i="3"/>
  <c r="AF21" i="3" l="1"/>
  <c r="AR21" i="3" s="1"/>
  <c r="AR20" i="3"/>
  <c r="AK20" i="3"/>
  <c r="B22" i="3"/>
  <c r="E22" i="3"/>
  <c r="B231" i="3"/>
  <c r="AF22" i="3" l="1"/>
  <c r="AR22" i="3" s="1"/>
  <c r="B232" i="3"/>
  <c r="B23" i="3"/>
  <c r="E23" i="3"/>
  <c r="B233" i="3"/>
  <c r="AF23" i="3" l="1"/>
  <c r="AR23" i="3" s="1"/>
  <c r="E24" i="3"/>
  <c r="B234" i="3"/>
  <c r="E25" i="3"/>
  <c r="B24" i="3"/>
  <c r="AF24" i="3" l="1"/>
  <c r="AR24" i="3" s="1"/>
  <c r="AF25" i="3"/>
  <c r="AR25" i="3" s="1"/>
  <c r="E26" i="3"/>
  <c r="B25" i="3"/>
  <c r="B235" i="3"/>
  <c r="AF26" i="3" l="1"/>
  <c r="AR26" i="3" s="1"/>
  <c r="B26" i="3"/>
  <c r="B236" i="3"/>
  <c r="B27" i="3"/>
  <c r="E27" i="3"/>
  <c r="AL236" i="3" l="1"/>
  <c r="AD27" i="3"/>
  <c r="AR27" i="3" s="1"/>
  <c r="AL27" i="3"/>
  <c r="B237" i="3"/>
  <c r="B28" i="3"/>
  <c r="E28" i="3"/>
  <c r="AF28" i="3" l="1"/>
  <c r="AR28" i="3" s="1"/>
  <c r="AK27" i="3"/>
  <c r="AN27" i="3"/>
  <c r="B238" i="3"/>
  <c r="E29" i="3"/>
  <c r="B29" i="3"/>
  <c r="AF29" i="3" l="1"/>
  <c r="AR29" i="3" s="1"/>
  <c r="B239" i="3"/>
  <c r="E30" i="3"/>
  <c r="B30" i="3"/>
  <c r="B240" i="3"/>
  <c r="AF30" i="3" l="1"/>
  <c r="AR30" i="3" s="1"/>
  <c r="E31" i="3"/>
  <c r="B31" i="3"/>
  <c r="E32" i="3"/>
  <c r="B241" i="3"/>
  <c r="AF31" i="3" l="1"/>
  <c r="AR31" i="3" s="1"/>
  <c r="AF32" i="3"/>
  <c r="AR32" i="3" s="1"/>
  <c r="AL241" i="3"/>
  <c r="E33" i="3"/>
  <c r="B242" i="3"/>
  <c r="B32" i="3"/>
  <c r="AF33" i="3" l="1"/>
  <c r="AR33" i="3" s="1"/>
  <c r="B33" i="3"/>
  <c r="B34" i="3"/>
  <c r="E34" i="3"/>
  <c r="B243" i="3"/>
  <c r="AD34" i="3" l="1"/>
  <c r="AN34" i="3" s="1"/>
  <c r="AL34" i="3"/>
  <c r="B244" i="3"/>
  <c r="B35" i="3"/>
  <c r="E35" i="3"/>
  <c r="AF35" i="3" l="1"/>
  <c r="AR35" i="3" s="1"/>
  <c r="AR34" i="3"/>
  <c r="AK34" i="3"/>
  <c r="AL244" i="3"/>
  <c r="B36" i="3"/>
  <c r="B245" i="3"/>
  <c r="E36" i="3"/>
  <c r="AF36" i="3" l="1"/>
  <c r="AR36" i="3" s="1"/>
  <c r="E37" i="3"/>
  <c r="B246" i="3"/>
  <c r="B37" i="3"/>
  <c r="E38" i="3"/>
  <c r="AD37" i="3" l="1"/>
  <c r="AN37" i="3" s="1"/>
  <c r="AF38" i="3"/>
  <c r="AR38" i="3" s="1"/>
  <c r="AL37" i="3"/>
  <c r="E39" i="3"/>
  <c r="B247" i="3"/>
  <c r="AF39" i="3" l="1"/>
  <c r="AR39" i="3" s="1"/>
  <c r="AK37" i="3"/>
  <c r="AR37" i="3"/>
  <c r="B248" i="3"/>
  <c r="E40" i="3"/>
  <c r="B38" i="3"/>
  <c r="E41" i="3"/>
  <c r="AF40" i="3" l="1"/>
  <c r="AR40" i="3" s="1"/>
  <c r="AD41" i="3"/>
  <c r="AK41" i="3" s="1"/>
  <c r="B249" i="3"/>
  <c r="E42" i="3"/>
  <c r="B39" i="3"/>
  <c r="B250" i="3"/>
  <c r="AF42" i="3" l="1"/>
  <c r="AR42" i="3" s="1"/>
  <c r="AR41" i="3"/>
  <c r="AN41" i="3"/>
  <c r="B251" i="3"/>
  <c r="B40" i="3"/>
  <c r="E43" i="3"/>
  <c r="AF43" i="3" l="1"/>
  <c r="AR43" i="3" s="1"/>
  <c r="E44" i="3"/>
  <c r="B41" i="3"/>
  <c r="E45" i="3"/>
  <c r="B252" i="3"/>
  <c r="AF44" i="3" l="1"/>
  <c r="AR44" i="3" s="1"/>
  <c r="AL252" i="3"/>
  <c r="AL41" i="3"/>
  <c r="AF45" i="3"/>
  <c r="AR45" i="3" s="1"/>
  <c r="E46" i="3"/>
  <c r="B42" i="3"/>
  <c r="B253" i="3"/>
  <c r="AD46" i="3" l="1"/>
  <c r="AK46" i="3" s="1"/>
  <c r="E47" i="3"/>
  <c r="B254" i="3"/>
  <c r="B43" i="3"/>
  <c r="AN46" i="3" l="1"/>
  <c r="AF47" i="3"/>
  <c r="AR47" i="3" s="1"/>
  <c r="AR46" i="3"/>
  <c r="B255" i="3"/>
  <c r="E48" i="3"/>
  <c r="B44" i="3"/>
  <c r="AF48" i="3" l="1"/>
  <c r="AR48" i="3" s="1"/>
  <c r="B45" i="3"/>
  <c r="B46" i="3"/>
  <c r="E49" i="3"/>
  <c r="B256" i="3"/>
  <c r="AF49" i="3" l="1"/>
  <c r="AR49" i="3" s="1"/>
  <c r="AL46" i="3"/>
  <c r="B47" i="3"/>
  <c r="E50" i="3"/>
  <c r="B257" i="3"/>
  <c r="AF50" i="3" l="1"/>
  <c r="AR50" i="3" s="1"/>
  <c r="B258" i="3"/>
  <c r="E51" i="3"/>
  <c r="B48" i="3"/>
  <c r="B259" i="3"/>
  <c r="AD51" i="3" l="1"/>
  <c r="AK51" i="3" s="1"/>
  <c r="B49" i="3"/>
  <c r="B260" i="3"/>
  <c r="E52" i="3"/>
  <c r="B308" i="3"/>
  <c r="E53" i="3"/>
  <c r="AF52" i="3" l="1"/>
  <c r="AR52" i="3" s="1"/>
  <c r="AN51" i="3"/>
  <c r="AR51" i="3"/>
  <c r="AF53" i="3"/>
  <c r="AR53" i="3" s="1"/>
  <c r="AL260" i="3"/>
  <c r="B309" i="3"/>
  <c r="E54" i="3"/>
  <c r="B50" i="3"/>
  <c r="B261" i="3"/>
  <c r="AF54" i="3" l="1"/>
  <c r="AR54" i="3" s="1"/>
  <c r="AL309" i="3"/>
  <c r="B262" i="3"/>
  <c r="B310" i="3"/>
  <c r="E55" i="3"/>
  <c r="B51" i="3"/>
  <c r="AF55" i="3" l="1"/>
  <c r="AR55" i="3" s="1"/>
  <c r="AL51" i="3"/>
  <c r="AL262" i="3"/>
  <c r="B311" i="3"/>
  <c r="B52" i="3"/>
  <c r="B263" i="3"/>
  <c r="E56" i="3"/>
  <c r="AF56" i="3" l="1"/>
  <c r="AR56" i="3" s="1"/>
  <c r="E57" i="3"/>
  <c r="B312" i="3"/>
  <c r="E58" i="3"/>
  <c r="B53" i="3"/>
  <c r="B54" i="3" s="1"/>
  <c r="B264" i="3"/>
  <c r="AD57" i="3" l="1"/>
  <c r="AR57" i="3" s="1"/>
  <c r="AF58" i="3"/>
  <c r="AR58" i="3" s="1"/>
  <c r="AL264" i="3"/>
  <c r="AL312" i="3"/>
  <c r="B55" i="3"/>
  <c r="B265" i="3"/>
  <c r="B313" i="3"/>
  <c r="E59" i="3"/>
  <c r="AN57" i="3" l="1"/>
  <c r="AK57" i="3"/>
  <c r="AF59" i="3"/>
  <c r="AR59" i="3" s="1"/>
  <c r="B56" i="3"/>
  <c r="B314" i="3"/>
  <c r="E60" i="3"/>
  <c r="B266" i="3"/>
  <c r="AF60" i="3" l="1"/>
  <c r="AR60" i="3" s="1"/>
  <c r="AL266" i="3"/>
  <c r="B315" i="3"/>
  <c r="E61" i="3"/>
  <c r="B57" i="3"/>
  <c r="B267" i="3"/>
  <c r="AF61" i="3" l="1"/>
  <c r="AR61" i="3" s="1"/>
  <c r="AL57" i="3"/>
  <c r="AL315" i="3"/>
  <c r="B58" i="3"/>
  <c r="E62" i="3"/>
  <c r="B268" i="3"/>
  <c r="B269" i="3" s="1"/>
  <c r="B316" i="3"/>
  <c r="E63" i="3"/>
  <c r="E64" i="3"/>
  <c r="AF63" i="3" l="1"/>
  <c r="AR63" i="3" s="1"/>
  <c r="AF62" i="3"/>
  <c r="AR62" i="3" s="1"/>
  <c r="AL268" i="3"/>
  <c r="AD64" i="3"/>
  <c r="AN64" i="3" s="1"/>
  <c r="B270" i="3"/>
  <c r="B317" i="3"/>
  <c r="B271" i="3"/>
  <c r="B59" i="3"/>
  <c r="E65" i="3"/>
  <c r="AL270" i="3" l="1"/>
  <c r="AK64" i="3"/>
  <c r="AF65" i="3"/>
  <c r="AR65" i="3" s="1"/>
  <c r="AR64" i="3"/>
  <c r="E66" i="3"/>
  <c r="B272" i="3"/>
  <c r="B318" i="3"/>
  <c r="B60" i="3"/>
  <c r="AF66" i="3" l="1"/>
  <c r="AR66" i="3" s="1"/>
  <c r="AL272" i="3"/>
  <c r="E67" i="3"/>
  <c r="E68" i="3"/>
  <c r="B273" i="3"/>
  <c r="B61" i="3"/>
  <c r="AF67" i="3" l="1"/>
  <c r="AR67" i="3" s="1"/>
  <c r="AF68" i="3"/>
  <c r="AR68" i="3" s="1"/>
  <c r="E69" i="3"/>
  <c r="E70" i="3"/>
  <c r="E71" i="3"/>
  <c r="B62" i="3"/>
  <c r="B274" i="3"/>
  <c r="AF69" i="3" l="1"/>
  <c r="AR69" i="3" s="1"/>
  <c r="AL274" i="3"/>
  <c r="AD70" i="3"/>
  <c r="AR70" i="3" s="1"/>
  <c r="AF71" i="3"/>
  <c r="AR71" i="3" s="1"/>
  <c r="B275" i="3"/>
  <c r="B63" i="3"/>
  <c r="E72" i="3"/>
  <c r="E73" i="3" s="1"/>
  <c r="B276" i="3"/>
  <c r="B277" i="3" s="1"/>
  <c r="AF72" i="3" l="1"/>
  <c r="AR72" i="3" s="1"/>
  <c r="AN70" i="3"/>
  <c r="AK70" i="3"/>
  <c r="AL276" i="3"/>
  <c r="AF73" i="3"/>
  <c r="AR73" i="3" s="1"/>
  <c r="B278" i="3"/>
  <c r="E74" i="3"/>
  <c r="B64" i="3"/>
  <c r="AF74" i="3" l="1"/>
  <c r="AR74" i="3" s="1"/>
  <c r="AL64" i="3"/>
  <c r="AL278" i="3"/>
  <c r="E75" i="3"/>
  <c r="E76" i="3"/>
  <c r="B279" i="3"/>
  <c r="B65" i="3"/>
  <c r="AF75" i="3" l="1"/>
  <c r="AR75" i="3" s="1"/>
  <c r="AF76" i="3"/>
  <c r="AR76" i="3" s="1"/>
  <c r="B66" i="3"/>
  <c r="B280" i="3"/>
  <c r="E77" i="3"/>
  <c r="B67" i="3"/>
  <c r="B281" i="3"/>
  <c r="AL280" i="3" l="1"/>
  <c r="AF77" i="3"/>
  <c r="AR77" i="3" s="1"/>
  <c r="E78" i="3"/>
  <c r="B282" i="3"/>
  <c r="B68" i="3"/>
  <c r="AL282" i="3" l="1"/>
  <c r="AF78" i="3"/>
  <c r="AR78" i="3" s="1"/>
  <c r="B69" i="3"/>
  <c r="B70" i="3"/>
  <c r="E79" i="3"/>
  <c r="B283" i="3"/>
  <c r="AL70" i="3" l="1"/>
  <c r="AF79" i="3"/>
  <c r="AR79" i="3" s="1"/>
  <c r="B284" i="3"/>
  <c r="B71" i="3"/>
  <c r="B72" i="3" s="1"/>
  <c r="E80" i="3"/>
  <c r="B285" i="3"/>
  <c r="AL284" i="3" l="1"/>
  <c r="AD80" i="3"/>
  <c r="AK80" i="3" s="1"/>
  <c r="E81" i="3"/>
  <c r="B73" i="3"/>
  <c r="B286" i="3"/>
  <c r="E82" i="3"/>
  <c r="AF81" i="3" l="1"/>
  <c r="AR81" i="3" s="1"/>
  <c r="AR80" i="3"/>
  <c r="AN80" i="3"/>
  <c r="AF82" i="3"/>
  <c r="AR82" i="3" s="1"/>
  <c r="E83" i="3"/>
  <c r="B287" i="3"/>
  <c r="B288" i="3"/>
  <c r="B74" i="3"/>
  <c r="AL287" i="3" l="1"/>
  <c r="AD83" i="3"/>
  <c r="AK83" i="3" s="1"/>
  <c r="E84" i="3"/>
  <c r="B75" i="3"/>
  <c r="B289" i="3"/>
  <c r="AN83" i="3" l="1"/>
  <c r="AR83" i="3"/>
  <c r="AF84" i="3"/>
  <c r="AR84" i="3" s="1"/>
  <c r="B290" i="3"/>
  <c r="B291" i="3"/>
  <c r="E85" i="3"/>
  <c r="B76" i="3"/>
  <c r="B77" i="3" s="1"/>
  <c r="AL290" i="3" l="1"/>
  <c r="AD85" i="3"/>
  <c r="AK85" i="3" s="1"/>
  <c r="B292" i="3"/>
  <c r="E86" i="3"/>
  <c r="B78" i="3"/>
  <c r="AF86" i="3" l="1"/>
  <c r="AR86" i="3" s="1"/>
  <c r="AN85" i="3"/>
  <c r="AR85" i="3"/>
  <c r="E87" i="3"/>
  <c r="B79" i="3"/>
  <c r="B293" i="3"/>
  <c r="B294" i="3" s="1"/>
  <c r="AL293" i="3" l="1"/>
  <c r="AD87" i="3"/>
  <c r="AN87" i="3" s="1"/>
  <c r="E88" i="3"/>
  <c r="B295" i="3"/>
  <c r="B80" i="3"/>
  <c r="AF88" i="3" l="1"/>
  <c r="AR88" i="3" s="1"/>
  <c r="AK87" i="3"/>
  <c r="AR87" i="3"/>
  <c r="AL80" i="3"/>
  <c r="E89" i="3"/>
  <c r="E90" i="3" s="1"/>
  <c r="B296" i="3"/>
  <c r="B81" i="3"/>
  <c r="AD89" i="3" l="1"/>
  <c r="AK89" i="3" s="1"/>
  <c r="AL296" i="3"/>
  <c r="AF90" i="3"/>
  <c r="AR90" i="3" s="1"/>
  <c r="B297" i="3"/>
  <c r="E91" i="3"/>
  <c r="B82" i="3"/>
  <c r="AR89" i="3" l="1"/>
  <c r="AN89" i="3"/>
  <c r="AD91" i="3"/>
  <c r="AR91" i="3" s="1"/>
  <c r="E92" i="3"/>
  <c r="B83" i="3"/>
  <c r="E93" i="3"/>
  <c r="B298" i="3"/>
  <c r="AF92" i="3" l="1"/>
  <c r="AR92" i="3" s="1"/>
  <c r="AN91" i="3"/>
  <c r="AK91" i="3"/>
  <c r="AD93" i="3"/>
  <c r="AN93" i="3" s="1"/>
  <c r="AL83" i="3"/>
  <c r="B299" i="3"/>
  <c r="B84" i="3"/>
  <c r="E94" i="3"/>
  <c r="AL299" i="3" l="1"/>
  <c r="AF94" i="3"/>
  <c r="AR94" i="3" s="1"/>
  <c r="AK93" i="3"/>
  <c r="AR93" i="3"/>
  <c r="B300" i="3"/>
  <c r="B85" i="3"/>
  <c r="B301" i="3"/>
  <c r="E95" i="3"/>
  <c r="AL301" i="3" l="1"/>
  <c r="AD95" i="3"/>
  <c r="AK95" i="3" s="1"/>
  <c r="AL85" i="3"/>
  <c r="E96" i="3"/>
  <c r="E97" i="3"/>
  <c r="B86" i="3"/>
  <c r="B302" i="3"/>
  <c r="AF96" i="3" l="1"/>
  <c r="AR96" i="3" s="1"/>
  <c r="AN95" i="3"/>
  <c r="AR95" i="3"/>
  <c r="AD97" i="3"/>
  <c r="AR97" i="3" s="1"/>
  <c r="C56" i="5"/>
  <c r="D57" i="5"/>
  <c r="C57" i="5"/>
  <c r="D56" i="5"/>
  <c r="B87" i="3"/>
  <c r="B88" i="3"/>
  <c r="B89" i="3"/>
  <c r="E98" i="3"/>
  <c r="B303" i="3"/>
  <c r="AL87" i="3" l="1"/>
  <c r="AF98" i="3"/>
  <c r="AR98" i="3" s="1"/>
  <c r="AL303" i="3"/>
  <c r="AK97" i="3"/>
  <c r="AN97" i="3"/>
  <c r="AL89" i="3"/>
  <c r="E57" i="5"/>
  <c r="I57" i="5" s="1"/>
  <c r="E56" i="5"/>
  <c r="E99" i="3"/>
  <c r="B304" i="3"/>
  <c r="B305" i="3"/>
  <c r="E100" i="3"/>
  <c r="B90" i="3"/>
  <c r="AD99" i="3" l="1"/>
  <c r="AR99" i="3" s="1"/>
  <c r="AL305" i="3"/>
  <c r="AF100" i="3"/>
  <c r="AR100" i="3" s="1"/>
  <c r="T57" i="5"/>
  <c r="U57" i="5" s="1"/>
  <c r="V57" i="5" s="1"/>
  <c r="M57" i="5"/>
  <c r="H57" i="5"/>
  <c r="J57" i="5"/>
  <c r="G57" i="5"/>
  <c r="K57" i="5"/>
  <c r="L57" i="5"/>
  <c r="M56" i="5"/>
  <c r="L56" i="5"/>
  <c r="K56" i="5"/>
  <c r="H56" i="5"/>
  <c r="T56" i="5"/>
  <c r="U56" i="5" s="1"/>
  <c r="V56" i="5" s="1"/>
  <c r="I56" i="5"/>
  <c r="G56" i="5"/>
  <c r="J56" i="5"/>
  <c r="E101" i="3"/>
  <c r="B91" i="3"/>
  <c r="B306" i="3"/>
  <c r="AK99" i="3" l="1"/>
  <c r="AN99" i="3"/>
  <c r="AL91" i="3"/>
  <c r="AD101" i="3"/>
  <c r="AR101" i="3" s="1"/>
  <c r="N57" i="5"/>
  <c r="O57" i="5" s="1"/>
  <c r="N56" i="5"/>
  <c r="O56" i="5" s="1"/>
  <c r="E102" i="3"/>
  <c r="B92" i="3"/>
  <c r="E103" i="3"/>
  <c r="AF102" i="3" l="1"/>
  <c r="AR102" i="3" s="1"/>
  <c r="AK101" i="3"/>
  <c r="AN101" i="3"/>
  <c r="AD103" i="3"/>
  <c r="AR103" i="3" s="1"/>
  <c r="B93" i="3"/>
  <c r="E104" i="3"/>
  <c r="B94" i="3"/>
  <c r="B95" i="3"/>
  <c r="B96" i="3" s="1"/>
  <c r="AL93" i="3" l="1"/>
  <c r="AL95" i="3"/>
  <c r="AF104" i="3"/>
  <c r="AR104" i="3" s="1"/>
  <c r="AK103" i="3"/>
  <c r="AN103" i="3"/>
  <c r="E105" i="3"/>
  <c r="B97" i="3"/>
  <c r="AD105" i="3" l="1"/>
  <c r="AN105" i="3" s="1"/>
  <c r="AL97" i="3"/>
  <c r="B98" i="3"/>
  <c r="E106" i="3"/>
  <c r="AF106" i="3" l="1"/>
  <c r="AR106" i="3" s="1"/>
  <c r="AR105" i="3"/>
  <c r="AK105" i="3"/>
  <c r="B99" i="3"/>
  <c r="E107" i="3"/>
  <c r="E108" i="3" s="1"/>
  <c r="E109" i="3"/>
  <c r="AD107" i="3" l="1"/>
  <c r="AR107" i="3" s="1"/>
  <c r="AF108" i="3"/>
  <c r="AR108" i="3" s="1"/>
  <c r="AL99" i="3"/>
  <c r="AD109" i="3"/>
  <c r="AR109" i="3" s="1"/>
  <c r="B100" i="3"/>
  <c r="E110" i="3"/>
  <c r="B101" i="3"/>
  <c r="AK107" i="3" l="1"/>
  <c r="AN107" i="3"/>
  <c r="AL101" i="3"/>
  <c r="AF110" i="3"/>
  <c r="AR110" i="3" s="1"/>
  <c r="AN109" i="3"/>
  <c r="AK109" i="3"/>
  <c r="B102" i="3"/>
  <c r="B103" i="3"/>
  <c r="E111" i="3"/>
  <c r="E112" i="3" s="1"/>
  <c r="AD111" i="3" l="1"/>
  <c r="AK111" i="3" s="1"/>
  <c r="AL103" i="3"/>
  <c r="AF112" i="3"/>
  <c r="AR112" i="3" s="1"/>
  <c r="E113" i="3"/>
  <c r="B104" i="3"/>
  <c r="B105" i="3"/>
  <c r="AN111" i="3" l="1"/>
  <c r="AR111" i="3"/>
  <c r="AD113" i="3"/>
  <c r="AK113" i="3" s="1"/>
  <c r="AL105" i="3"/>
  <c r="B106" i="3"/>
  <c r="E114" i="3"/>
  <c r="AF114" i="3" l="1"/>
  <c r="AR114" i="3" s="1"/>
  <c r="AR113" i="3"/>
  <c r="AN113" i="3"/>
  <c r="B107" i="3"/>
  <c r="E115" i="3"/>
  <c r="E116" i="3"/>
  <c r="AD115" i="3" l="1"/>
  <c r="AR115" i="3" s="1"/>
  <c r="AL107" i="3"/>
  <c r="AF116" i="3"/>
  <c r="AR116" i="3" s="1"/>
  <c r="B108" i="3"/>
  <c r="E117" i="3"/>
  <c r="E118" i="3" s="1"/>
  <c r="AN115" i="3" l="1"/>
  <c r="AK115" i="3"/>
  <c r="AD117" i="3"/>
  <c r="AR117" i="3" s="1"/>
  <c r="AF118" i="3"/>
  <c r="AR118" i="3" s="1"/>
  <c r="B109" i="3"/>
  <c r="E119" i="3"/>
  <c r="AL109" i="3" l="1"/>
  <c r="AN117" i="3"/>
  <c r="AK117" i="3"/>
  <c r="AD119" i="3"/>
  <c r="AR119" i="3" s="1"/>
  <c r="B110" i="3"/>
  <c r="E120" i="3"/>
  <c r="AF120" i="3" l="1"/>
  <c r="AR120" i="3" s="1"/>
  <c r="AN119" i="3"/>
  <c r="AK119" i="3"/>
  <c r="B111" i="3"/>
  <c r="B112" i="3" s="1"/>
  <c r="E121" i="3"/>
  <c r="E122" i="3" s="1"/>
  <c r="AD121" i="3" l="1"/>
  <c r="AR121" i="3" s="1"/>
  <c r="AL111" i="3"/>
  <c r="AF122" i="3"/>
  <c r="AR122" i="3" s="1"/>
  <c r="B113" i="3"/>
  <c r="E123" i="3"/>
  <c r="B114" i="3"/>
  <c r="AK121" i="3" l="1"/>
  <c r="AN121" i="3"/>
  <c r="AL113" i="3"/>
  <c r="AD123" i="3"/>
  <c r="AK123" i="3" s="1"/>
  <c r="G10" i="4"/>
  <c r="BG10" i="4" s="1"/>
  <c r="G30" i="4"/>
  <c r="BG30" i="4" s="1"/>
  <c r="G20" i="4"/>
  <c r="BG20" i="4" s="1"/>
  <c r="G31" i="4"/>
  <c r="BG31" i="4" s="1"/>
  <c r="G15" i="4"/>
  <c r="BG15" i="4" s="1"/>
  <c r="G28" i="4"/>
  <c r="BG28" i="4" s="1"/>
  <c r="G33" i="4"/>
  <c r="BG33" i="4" s="1"/>
  <c r="G21" i="4"/>
  <c r="BG21" i="4" s="1"/>
  <c r="G34" i="4"/>
  <c r="BG34" i="4" s="1"/>
  <c r="G17" i="4"/>
  <c r="BG17" i="4" s="1"/>
  <c r="G27" i="4"/>
  <c r="BG27" i="4" s="1"/>
  <c r="G7" i="4"/>
  <c r="BG7" i="4" s="1"/>
  <c r="G6" i="4"/>
  <c r="BG6" i="4" s="1"/>
  <c r="G37" i="4"/>
  <c r="BG37" i="4" s="1"/>
  <c r="G11" i="4"/>
  <c r="BG11" i="4" s="1"/>
  <c r="G36" i="4"/>
  <c r="BG36" i="4" s="1"/>
  <c r="G13" i="4"/>
  <c r="BG13" i="4" s="1"/>
  <c r="G25" i="4"/>
  <c r="BG25" i="4" s="1"/>
  <c r="G16" i="4"/>
  <c r="BG16" i="4" s="1"/>
  <c r="G19" i="4"/>
  <c r="BG19" i="4" s="1"/>
  <c r="G23" i="4"/>
  <c r="BG23" i="4" s="1"/>
  <c r="G8" i="4"/>
  <c r="BG8" i="4" s="1"/>
  <c r="G32" i="4"/>
  <c r="BG32" i="4" s="1"/>
  <c r="G12" i="4"/>
  <c r="BG12" i="4" s="1"/>
  <c r="G35" i="4"/>
  <c r="BG35" i="4" s="1"/>
  <c r="G26" i="4"/>
  <c r="BG26" i="4" s="1"/>
  <c r="G14" i="4"/>
  <c r="BG14" i="4" s="1"/>
  <c r="G18" i="4"/>
  <c r="BG18" i="4" s="1"/>
  <c r="G29" i="4"/>
  <c r="BG29" i="4" s="1"/>
  <c r="G9" i="4"/>
  <c r="BG9" i="4" s="1"/>
  <c r="G22" i="4"/>
  <c r="BG22" i="4" s="1"/>
  <c r="G24" i="4"/>
  <c r="BG24" i="4" s="1"/>
  <c r="B115" i="3"/>
  <c r="B116" i="3"/>
  <c r="B117" i="3"/>
  <c r="E124" i="3"/>
  <c r="E125" i="3"/>
  <c r="AF124" i="3" l="1"/>
  <c r="AR124" i="3" s="1"/>
  <c r="AL115" i="3"/>
  <c r="AN123" i="3"/>
  <c r="AR123" i="3"/>
  <c r="AL117" i="3"/>
  <c r="AD125" i="3"/>
  <c r="AN125" i="3" s="1"/>
  <c r="X27" i="4"/>
  <c r="X22" i="4"/>
  <c r="X13" i="4"/>
  <c r="X24" i="4"/>
  <c r="X32" i="4"/>
  <c r="X16" i="4"/>
  <c r="X11" i="4"/>
  <c r="X10" i="4"/>
  <c r="X6" i="4"/>
  <c r="X30" i="4"/>
  <c r="X17" i="4"/>
  <c r="X14" i="4"/>
  <c r="X19" i="4"/>
  <c r="X33" i="4"/>
  <c r="X7" i="4"/>
  <c r="X26" i="4"/>
  <c r="X18" i="4"/>
  <c r="X8" i="4"/>
  <c r="X20" i="4"/>
  <c r="X31" i="4"/>
  <c r="X9" i="4"/>
  <c r="X21" i="4"/>
  <c r="X12" i="4"/>
  <c r="X23" i="4"/>
  <c r="X34" i="4"/>
  <c r="X25" i="4"/>
  <c r="X15" i="4"/>
  <c r="X29" i="4"/>
  <c r="X28" i="4"/>
  <c r="E126" i="3"/>
  <c r="B118" i="3"/>
  <c r="AF126" i="3" l="1"/>
  <c r="AR126" i="3" s="1"/>
  <c r="G38" i="4"/>
  <c r="BG38" i="4" s="1"/>
  <c r="AK125" i="3"/>
  <c r="AR125" i="3"/>
  <c r="V5" i="4" a="1"/>
  <c r="V5" i="4" s="1"/>
  <c r="P5" i="4" a="1"/>
  <c r="P5" i="4" s="1"/>
  <c r="J5" i="4" a="1"/>
  <c r="J5" i="4" s="1"/>
  <c r="AO5" i="4" s="1"/>
  <c r="T5" i="4" a="1"/>
  <c r="T5" i="4" s="1"/>
  <c r="L5" i="4" a="1"/>
  <c r="L5" i="4" s="1"/>
  <c r="W5" i="4" a="1"/>
  <c r="W5" i="4" s="1"/>
  <c r="N5" i="4" a="1"/>
  <c r="N5" i="4" s="1"/>
  <c r="Q5" i="4" a="1"/>
  <c r="Q5" i="4" s="1"/>
  <c r="K5" i="4" a="1"/>
  <c r="K5" i="4" s="1"/>
  <c r="U5" i="4" a="1"/>
  <c r="U5" i="4" s="1"/>
  <c r="O5" i="4" a="1"/>
  <c r="O5" i="4" s="1"/>
  <c r="M5" i="4" a="1"/>
  <c r="M5" i="4" s="1"/>
  <c r="R5" i="4" a="1"/>
  <c r="R5" i="4" s="1"/>
  <c r="S5" i="4" a="1"/>
  <c r="S5" i="4" s="1"/>
  <c r="P12" i="4" a="1"/>
  <c r="P12" i="4" s="1"/>
  <c r="V9" i="4" a="1"/>
  <c r="V9" i="4" s="1"/>
  <c r="T9" i="4" a="1"/>
  <c r="T9" i="4" s="1"/>
  <c r="M9" i="4" a="1"/>
  <c r="M9" i="4" s="1"/>
  <c r="P11" i="4" a="1"/>
  <c r="P11" i="4" s="1"/>
  <c r="O9" i="4" a="1"/>
  <c r="O9" i="4" s="1"/>
  <c r="U13" i="4" a="1"/>
  <c r="U13" i="4" s="1"/>
  <c r="K6" i="4" a="1"/>
  <c r="K6" i="4" s="1"/>
  <c r="L7" i="4" a="1"/>
  <c r="L7" i="4" s="1"/>
  <c r="H8" i="4" a="1"/>
  <c r="H8" i="4" s="1"/>
  <c r="R24" i="4" a="1"/>
  <c r="R24" i="4" s="1"/>
  <c r="J13" i="4" a="1"/>
  <c r="J13" i="4" s="1"/>
  <c r="V18" i="4" a="1"/>
  <c r="V18" i="4" s="1"/>
  <c r="V22" i="4" a="1"/>
  <c r="V22" i="4" s="1"/>
  <c r="W15" i="4" a="1"/>
  <c r="W15" i="4" s="1"/>
  <c r="R29" i="4" a="1"/>
  <c r="R29" i="4" s="1"/>
  <c r="S37" i="4" a="1"/>
  <c r="S37" i="4" s="1"/>
  <c r="W28" i="4" a="1"/>
  <c r="W28" i="4" s="1"/>
  <c r="U19" i="4" a="1"/>
  <c r="U19" i="4" s="1"/>
  <c r="L34" i="4" a="1"/>
  <c r="L34" i="4" s="1"/>
  <c r="U36" i="4" a="1"/>
  <c r="U36" i="4" s="1"/>
  <c r="L32" i="4" a="1"/>
  <c r="L32" i="4" s="1"/>
  <c r="I18" i="4" a="1"/>
  <c r="I18" i="4" s="1"/>
  <c r="V23" i="4" a="1"/>
  <c r="V23" i="4" s="1"/>
  <c r="M29" i="4" a="1"/>
  <c r="M29" i="4" s="1"/>
  <c r="J14" i="4" a="1"/>
  <c r="J14" i="4" s="1"/>
  <c r="K17" i="4" a="1"/>
  <c r="K17" i="4" s="1"/>
  <c r="H19" i="4" a="1"/>
  <c r="H19" i="4" s="1"/>
  <c r="R25" i="4" a="1"/>
  <c r="R25" i="4" s="1"/>
  <c r="U6" i="4" a="1"/>
  <c r="U6" i="4" s="1"/>
  <c r="K7" i="4" a="1"/>
  <c r="K7" i="4" s="1"/>
  <c r="O11" i="4" a="1"/>
  <c r="O11" i="4" s="1"/>
  <c r="Q8" i="4" a="1"/>
  <c r="Q8" i="4" s="1"/>
  <c r="S6" i="4" a="1"/>
  <c r="S6" i="4" s="1"/>
  <c r="S12" i="4" a="1"/>
  <c r="S12" i="4" s="1"/>
  <c r="W11" i="4" a="1"/>
  <c r="W11" i="4" s="1"/>
  <c r="K11" i="4" a="1"/>
  <c r="K11" i="4" s="1"/>
  <c r="L6" i="4" a="1"/>
  <c r="L6" i="4" s="1"/>
  <c r="M6" i="4" a="1"/>
  <c r="M6" i="4" s="1"/>
  <c r="I8" i="4" a="1"/>
  <c r="I8" i="4" s="1"/>
  <c r="N36" i="4" a="1"/>
  <c r="N36" i="4" s="1"/>
  <c r="K25" i="4" a="1"/>
  <c r="K25" i="4" s="1"/>
  <c r="H32" i="4" a="1"/>
  <c r="H32" i="4" s="1"/>
  <c r="K22" i="4" a="1"/>
  <c r="K22" i="4" s="1"/>
  <c r="H37" i="4" a="1"/>
  <c r="H37" i="4" s="1"/>
  <c r="V30" i="4" a="1"/>
  <c r="V30" i="4" s="1"/>
  <c r="W20" i="4" a="1"/>
  <c r="W20" i="4" s="1"/>
  <c r="W29" i="4" a="1"/>
  <c r="W29" i="4" s="1"/>
  <c r="V20" i="4" a="1"/>
  <c r="V20" i="4" s="1"/>
  <c r="H15" i="4" a="1"/>
  <c r="H15" i="4" s="1"/>
  <c r="J37" i="4" a="1"/>
  <c r="J37" i="4" s="1"/>
  <c r="N25" i="4" a="1"/>
  <c r="N25" i="4" s="1"/>
  <c r="H36" i="4" a="1"/>
  <c r="H36" i="4" s="1"/>
  <c r="U9" i="4" a="1"/>
  <c r="U9" i="4" s="1"/>
  <c r="J6" i="4" a="1"/>
  <c r="J6" i="4" s="1"/>
  <c r="R6" i="4" a="1"/>
  <c r="R6" i="4" s="1"/>
  <c r="L13" i="4" a="1"/>
  <c r="L13" i="4" s="1"/>
  <c r="T8" i="4" a="1"/>
  <c r="T8" i="4" s="1"/>
  <c r="U11" i="4" a="1"/>
  <c r="U11" i="4" s="1"/>
  <c r="N7" i="4" a="1"/>
  <c r="N7" i="4" s="1"/>
  <c r="N11" i="4" a="1"/>
  <c r="N11" i="4" s="1"/>
  <c r="U8" i="4" a="1"/>
  <c r="U8" i="4" s="1"/>
  <c r="J8" i="4" a="1"/>
  <c r="J8" i="4" s="1"/>
  <c r="R10" i="4" a="1"/>
  <c r="R10" i="4" s="1"/>
  <c r="T17" i="4" a="1"/>
  <c r="T17" i="4" s="1"/>
  <c r="L31" i="4" a="1"/>
  <c r="L31" i="4" s="1"/>
  <c r="H26" i="4" a="1"/>
  <c r="H26" i="4" s="1"/>
  <c r="L30" i="4" a="1"/>
  <c r="L30" i="4" s="1"/>
  <c r="Q31" i="4" a="1"/>
  <c r="Q31" i="4" s="1"/>
  <c r="P16" i="4" a="1"/>
  <c r="P16" i="4" s="1"/>
  <c r="M37" i="4" a="1"/>
  <c r="M37" i="4" s="1"/>
  <c r="I37" i="4" a="1"/>
  <c r="I37" i="4" s="1"/>
  <c r="J31" i="4" a="1"/>
  <c r="J31" i="4" s="1"/>
  <c r="P25" i="4" a="1"/>
  <c r="P25" i="4" s="1"/>
  <c r="J26" i="4" a="1"/>
  <c r="J26" i="4" s="1"/>
  <c r="I13" i="4" a="1"/>
  <c r="I13" i="4" s="1"/>
  <c r="R35" i="4" a="1"/>
  <c r="R35" i="4" s="1"/>
  <c r="I33" i="4" a="1"/>
  <c r="I33" i="4" s="1"/>
  <c r="H23" i="4" a="1"/>
  <c r="H23" i="4" s="1"/>
  <c r="W14" i="4" a="1"/>
  <c r="W14" i="4" s="1"/>
  <c r="W27" i="4" a="1"/>
  <c r="W27" i="4" s="1"/>
  <c r="R36" i="4" a="1"/>
  <c r="R36" i="4" s="1"/>
  <c r="N10" i="4" a="1"/>
  <c r="N10" i="4" s="1"/>
  <c r="I10" i="4" a="1"/>
  <c r="I10" i="4" s="1"/>
  <c r="N12" i="4" a="1"/>
  <c r="N12" i="4" s="1"/>
  <c r="V8" i="4" a="1"/>
  <c r="V8" i="4" s="1"/>
  <c r="R13" i="4" a="1"/>
  <c r="R13" i="4" s="1"/>
  <c r="N9" i="4" a="1"/>
  <c r="N9" i="4" s="1"/>
  <c r="Q13" i="4" a="1"/>
  <c r="Q13" i="4" s="1"/>
  <c r="R11" i="4" a="1"/>
  <c r="R11" i="4" s="1"/>
  <c r="M12" i="4" a="1"/>
  <c r="M12" i="4" s="1"/>
  <c r="H12" i="4" a="1"/>
  <c r="H12" i="4" s="1"/>
  <c r="T7" i="4" a="1"/>
  <c r="T7" i="4" s="1"/>
  <c r="U27" i="4" a="1"/>
  <c r="U27" i="4" s="1"/>
  <c r="O33" i="4" a="1"/>
  <c r="O33" i="4" s="1"/>
  <c r="R30" i="4" a="1"/>
  <c r="R30" i="4" s="1"/>
  <c r="H17" i="4" a="1"/>
  <c r="H17" i="4" s="1"/>
  <c r="J30" i="4" a="1"/>
  <c r="J30" i="4" s="1"/>
  <c r="V29" i="4" a="1"/>
  <c r="V29" i="4" s="1"/>
  <c r="U29" i="4" a="1"/>
  <c r="U29" i="4" s="1"/>
  <c r="M20" i="4" a="1"/>
  <c r="M20" i="4" s="1"/>
  <c r="K30" i="4" a="1"/>
  <c r="K30" i="4" s="1"/>
  <c r="O32" i="4" a="1"/>
  <c r="O32" i="4" s="1"/>
  <c r="W35" i="4" a="1"/>
  <c r="W35" i="4" s="1"/>
  <c r="J32" i="4" a="1"/>
  <c r="J32" i="4" s="1"/>
  <c r="R23" i="4" a="1"/>
  <c r="R23" i="4" s="1"/>
  <c r="W33" i="4" a="1"/>
  <c r="W33" i="4" s="1"/>
  <c r="K33" i="4" a="1"/>
  <c r="K33" i="4" s="1"/>
  <c r="V35" i="4" a="1"/>
  <c r="V35" i="4" s="1"/>
  <c r="K9" i="4" a="1"/>
  <c r="K9" i="4" s="1"/>
  <c r="K8" i="4" a="1"/>
  <c r="K8" i="4" s="1"/>
  <c r="I9" i="4" a="1"/>
  <c r="I9" i="4" s="1"/>
  <c r="W7" i="4" a="1"/>
  <c r="W7" i="4" s="1"/>
  <c r="Q9" i="4" a="1"/>
  <c r="Q9" i="4" s="1"/>
  <c r="J7" i="4" a="1"/>
  <c r="J7" i="4" s="1"/>
  <c r="S11" i="4" a="1"/>
  <c r="S11" i="4" s="1"/>
  <c r="I11" i="4" a="1"/>
  <c r="I11" i="4" s="1"/>
  <c r="Q11" i="4" a="1"/>
  <c r="Q11" i="4" s="1"/>
  <c r="K13" i="4" a="1"/>
  <c r="K13" i="4" s="1"/>
  <c r="O6" i="4" a="1"/>
  <c r="O6" i="4" s="1"/>
  <c r="T19" i="4" a="1"/>
  <c r="T19" i="4" s="1"/>
  <c r="V16" i="4" a="1"/>
  <c r="V16" i="4" s="1"/>
  <c r="T35" i="4" a="1"/>
  <c r="T35" i="4" s="1"/>
  <c r="I21" i="4" a="1"/>
  <c r="I21" i="4" s="1"/>
  <c r="N31" i="4" a="1"/>
  <c r="N31" i="4" s="1"/>
  <c r="N37" i="4" a="1"/>
  <c r="N37" i="4" s="1"/>
  <c r="O20" i="4" a="1"/>
  <c r="O20" i="4" s="1"/>
  <c r="L18" i="4" a="1"/>
  <c r="L18" i="4" s="1"/>
  <c r="V34" i="4" a="1"/>
  <c r="V34" i="4" s="1"/>
  <c r="R17" i="4" a="1"/>
  <c r="R17" i="4" s="1"/>
  <c r="U14" i="4" a="1"/>
  <c r="U14" i="4" s="1"/>
  <c r="S24" i="4" a="1"/>
  <c r="S24" i="4" s="1"/>
  <c r="W10" i="4" a="1"/>
  <c r="W10" i="4" s="1"/>
  <c r="Q10" i="4" a="1"/>
  <c r="Q10" i="4" s="1"/>
  <c r="N6" i="4" a="1"/>
  <c r="N6" i="4" s="1"/>
  <c r="T10" i="4" a="1"/>
  <c r="T10" i="4" s="1"/>
  <c r="K10" i="4" a="1"/>
  <c r="K10" i="4" s="1"/>
  <c r="L12" i="4" a="1"/>
  <c r="L12" i="4" s="1"/>
  <c r="N13" i="4" a="1"/>
  <c r="N13" i="4" s="1"/>
  <c r="U10" i="4" a="1"/>
  <c r="U10" i="4" s="1"/>
  <c r="L9" i="4" a="1"/>
  <c r="L9" i="4" s="1"/>
  <c r="V7" i="4" a="1"/>
  <c r="V7" i="4" s="1"/>
  <c r="H11" i="4" a="1"/>
  <c r="H11" i="4" s="1"/>
  <c r="T27" i="4" a="1"/>
  <c r="T27" i="4" s="1"/>
  <c r="I17" i="4" a="1"/>
  <c r="I17" i="4" s="1"/>
  <c r="T24" i="4" a="1"/>
  <c r="T24" i="4" s="1"/>
  <c r="Q26" i="4" a="1"/>
  <c r="Q26" i="4" s="1"/>
  <c r="W25" i="4" a="1"/>
  <c r="W25" i="4" s="1"/>
  <c r="P23" i="4" a="1"/>
  <c r="P23" i="4" s="1"/>
  <c r="U21" i="4" a="1"/>
  <c r="U21" i="4" s="1"/>
  <c r="P31" i="4" a="1"/>
  <c r="P31" i="4" s="1"/>
  <c r="N29" i="4" a="1"/>
  <c r="N29" i="4" s="1"/>
  <c r="V26" i="4" a="1"/>
  <c r="V26" i="4" s="1"/>
  <c r="I35" i="4" a="1"/>
  <c r="I35" i="4" s="1"/>
  <c r="Q32" i="4" a="1"/>
  <c r="Q32" i="4" s="1"/>
  <c r="S21" i="4" a="1"/>
  <c r="S21" i="4" s="1"/>
  <c r="M33" i="4" a="1"/>
  <c r="M33" i="4" s="1"/>
  <c r="H31" i="4" a="1"/>
  <c r="H31" i="4" s="1"/>
  <c r="O35" i="4" a="1"/>
  <c r="O35" i="4" s="1"/>
  <c r="V19" i="4" a="1"/>
  <c r="V19" i="4" s="1"/>
  <c r="S35" i="4" a="1"/>
  <c r="S35" i="4" s="1"/>
  <c r="T23" i="4" a="1"/>
  <c r="T23" i="4" s="1"/>
  <c r="P7" i="4" a="1"/>
  <c r="P7" i="4" s="1"/>
  <c r="S13" i="4" a="1"/>
  <c r="S13" i="4" s="1"/>
  <c r="S8" i="4" a="1"/>
  <c r="S8" i="4" s="1"/>
  <c r="P8" i="4" a="1"/>
  <c r="P8" i="4" s="1"/>
  <c r="M11" i="4" a="1"/>
  <c r="M11" i="4" s="1"/>
  <c r="I7" i="4" a="1"/>
  <c r="I7" i="4" s="1"/>
  <c r="Q6" i="4" a="1"/>
  <c r="Q6" i="4" s="1"/>
  <c r="S10" i="4" a="1"/>
  <c r="S10" i="4" s="1"/>
  <c r="V13" i="4" a="1"/>
  <c r="V13" i="4" s="1"/>
  <c r="U12" i="4" a="1"/>
  <c r="U12" i="4" s="1"/>
  <c r="V31" i="4" a="1"/>
  <c r="V31" i="4" s="1"/>
  <c r="V36" i="4" a="1"/>
  <c r="V36" i="4" s="1"/>
  <c r="T29" i="4" a="1"/>
  <c r="T29" i="4" s="1"/>
  <c r="I20" i="4" a="1"/>
  <c r="I20" i="4" s="1"/>
  <c r="P36" i="4" a="1"/>
  <c r="P36" i="4" s="1"/>
  <c r="L19" i="4" a="1"/>
  <c r="L19" i="4" s="1"/>
  <c r="L21" i="4" a="1"/>
  <c r="L21" i="4" s="1"/>
  <c r="S23" i="4" a="1"/>
  <c r="S23" i="4" s="1"/>
  <c r="Q28" i="4" a="1"/>
  <c r="Q28" i="4" s="1"/>
  <c r="S20" i="4" a="1"/>
  <c r="S20" i="4" s="1"/>
  <c r="I16" i="4" a="1"/>
  <c r="I16" i="4" s="1"/>
  <c r="V24" i="4" a="1"/>
  <c r="V24" i="4" s="1"/>
  <c r="N16" i="4" a="1"/>
  <c r="N16" i="4" s="1"/>
  <c r="L16" i="4" a="1"/>
  <c r="L16" i="4" s="1"/>
  <c r="O7" i="4" a="1"/>
  <c r="O7" i="4" s="1"/>
  <c r="L8" i="4" a="1"/>
  <c r="L8" i="4" s="1"/>
  <c r="Q7" i="4" a="1"/>
  <c r="Q7" i="4" s="1"/>
  <c r="M13" i="4" a="1"/>
  <c r="M13" i="4" s="1"/>
  <c r="I6" i="4" a="1"/>
  <c r="I6" i="4" s="1"/>
  <c r="H7" i="4" a="1"/>
  <c r="H7" i="4" s="1"/>
  <c r="R9" i="4" a="1"/>
  <c r="R9" i="4" s="1"/>
  <c r="H6" i="4" a="1"/>
  <c r="H6" i="4" s="1"/>
  <c r="P13" i="4" a="1"/>
  <c r="P13" i="4" s="1"/>
  <c r="W12" i="4" a="1"/>
  <c r="W12" i="4" s="1"/>
  <c r="P21" i="4" a="1"/>
  <c r="P21" i="4" s="1"/>
  <c r="S29" i="4" a="1"/>
  <c r="S29" i="4" s="1"/>
  <c r="M28" i="4" a="1"/>
  <c r="M28" i="4" s="1"/>
  <c r="V15" i="4" a="1"/>
  <c r="V15" i="4" s="1"/>
  <c r="V21" i="4" a="1"/>
  <c r="V21" i="4" s="1"/>
  <c r="S30" i="4" a="1"/>
  <c r="S30" i="4" s="1"/>
  <c r="P17" i="4" a="1"/>
  <c r="P17" i="4" s="1"/>
  <c r="U30" i="4" a="1"/>
  <c r="U30" i="4" s="1"/>
  <c r="M17" i="4" a="1"/>
  <c r="M17" i="4" s="1"/>
  <c r="U25" i="4" a="1"/>
  <c r="U25" i="4" s="1"/>
  <c r="O34" i="4" a="1"/>
  <c r="O34" i="4" s="1"/>
  <c r="P30" i="4" a="1"/>
  <c r="P30" i="4" s="1"/>
  <c r="H27" i="4" a="1"/>
  <c r="H27" i="4" s="1"/>
  <c r="M24" i="4" a="1"/>
  <c r="M24" i="4" s="1"/>
  <c r="W17" i="4" a="1"/>
  <c r="W17" i="4" s="1"/>
  <c r="O14" i="4" a="1"/>
  <c r="O14" i="4" s="1"/>
  <c r="O31" i="4" a="1"/>
  <c r="O31" i="4" s="1"/>
  <c r="J34" i="4" a="1"/>
  <c r="J34" i="4" s="1"/>
  <c r="J28" i="4" a="1"/>
  <c r="J28" i="4" s="1"/>
  <c r="I12" i="4" a="1"/>
  <c r="I12" i="4" s="1"/>
  <c r="S9" i="4" a="1"/>
  <c r="S9" i="4" s="1"/>
  <c r="O13" i="4" a="1"/>
  <c r="O13" i="4" s="1"/>
  <c r="H10" i="4" a="1"/>
  <c r="H10" i="4" s="1"/>
  <c r="W8" i="4" a="1"/>
  <c r="W8" i="4" s="1"/>
  <c r="P10" i="4" a="1"/>
  <c r="P10" i="4" s="1"/>
  <c r="Q12" i="4" a="1"/>
  <c r="Q12" i="4" s="1"/>
  <c r="T6" i="4" a="1"/>
  <c r="T6" i="4" s="1"/>
  <c r="U7" i="4" a="1"/>
  <c r="U7" i="4" s="1"/>
  <c r="O10" i="4" a="1"/>
  <c r="O10" i="4" s="1"/>
  <c r="P19" i="4" a="1"/>
  <c r="P19" i="4" s="1"/>
  <c r="S33" i="4" a="1"/>
  <c r="S33" i="4" s="1"/>
  <c r="K38" i="4" a="1"/>
  <c r="K38" i="4" s="1"/>
  <c r="T32" i="4" a="1"/>
  <c r="T32" i="4" s="1"/>
  <c r="I23" i="4" a="1"/>
  <c r="I23" i="4" s="1"/>
  <c r="J22" i="4" a="1"/>
  <c r="J22" i="4" s="1"/>
  <c r="T18" i="4" a="1"/>
  <c r="T18" i="4" s="1"/>
  <c r="V27" i="4" a="1"/>
  <c r="V27" i="4" s="1"/>
  <c r="U34" i="4" a="1"/>
  <c r="U34" i="4" s="1"/>
  <c r="I29" i="4" a="1"/>
  <c r="I29" i="4" s="1"/>
  <c r="Q30" i="4" a="1"/>
  <c r="Q30" i="4" s="1"/>
  <c r="J19" i="4" a="1"/>
  <c r="J19" i="4" s="1"/>
  <c r="M31" i="4" a="1"/>
  <c r="M31" i="4" s="1"/>
  <c r="W37" i="4" a="1"/>
  <c r="W37" i="4" s="1"/>
  <c r="O19" i="4" a="1"/>
  <c r="O19" i="4" s="1"/>
  <c r="R12" i="4" a="1"/>
  <c r="R12" i="4" s="1"/>
  <c r="O12" i="4" a="1"/>
  <c r="O12" i="4" s="1"/>
  <c r="J10" i="4" a="1"/>
  <c r="J10" i="4" s="1"/>
  <c r="J11" i="4" a="1"/>
  <c r="J11" i="4" s="1"/>
  <c r="L10" i="4" a="1"/>
  <c r="L10" i="4" s="1"/>
  <c r="S7" i="4" a="1"/>
  <c r="S7" i="4" s="1"/>
  <c r="J12" i="4" a="1"/>
  <c r="J12" i="4" s="1"/>
  <c r="R8" i="4" a="1"/>
  <c r="R8" i="4" s="1"/>
  <c r="O8" i="4" a="1"/>
  <c r="O8" i="4" s="1"/>
  <c r="V6" i="4" a="1"/>
  <c r="V6" i="4" s="1"/>
  <c r="K16" i="4" a="1"/>
  <c r="K16" i="4" s="1"/>
  <c r="W22" i="4" a="1"/>
  <c r="W22" i="4" s="1"/>
  <c r="S14" i="4" a="1"/>
  <c r="S14" i="4" s="1"/>
  <c r="J25" i="4" a="1"/>
  <c r="J25" i="4" s="1"/>
  <c r="K14" i="4" a="1"/>
  <c r="K14" i="4" s="1"/>
  <c r="K37" i="4" a="1"/>
  <c r="K37" i="4" s="1"/>
  <c r="R26" i="4" a="1"/>
  <c r="R26" i="4" s="1"/>
  <c r="P22" i="4" a="1"/>
  <c r="P22" i="4" s="1"/>
  <c r="Q35" i="4" a="1"/>
  <c r="Q35" i="4" s="1"/>
  <c r="T34" i="4" a="1"/>
  <c r="T34" i="4" s="1"/>
  <c r="N34" i="4" a="1"/>
  <c r="N34" i="4" s="1"/>
  <c r="O24" i="4" a="1"/>
  <c r="O24" i="4" s="1"/>
  <c r="T14" i="4" a="1"/>
  <c r="T14" i="4" s="1"/>
  <c r="S19" i="4" a="1"/>
  <c r="S19" i="4" s="1"/>
  <c r="V33" i="4" a="1"/>
  <c r="V33" i="4" s="1"/>
  <c r="J27" i="4" a="1"/>
  <c r="J27" i="4" s="1"/>
  <c r="K20" i="4" a="1"/>
  <c r="K20" i="4" s="1"/>
  <c r="T31" i="4" a="1"/>
  <c r="T31" i="4" s="1"/>
  <c r="T12" i="4" a="1"/>
  <c r="T12" i="4" s="1"/>
  <c r="V10" i="4" a="1"/>
  <c r="V10" i="4" s="1"/>
  <c r="M10" i="4" a="1"/>
  <c r="M10" i="4" s="1"/>
  <c r="P9" i="4" a="1"/>
  <c r="P9" i="4" s="1"/>
  <c r="V12" i="4" a="1"/>
  <c r="V12" i="4" s="1"/>
  <c r="T13" i="4" a="1"/>
  <c r="T13" i="4" s="1"/>
  <c r="M7" i="4" a="1"/>
  <c r="M7" i="4" s="1"/>
  <c r="K12" i="4" a="1"/>
  <c r="K12" i="4" s="1"/>
  <c r="N8" i="4" a="1"/>
  <c r="N8" i="4" s="1"/>
  <c r="W6" i="4" a="1"/>
  <c r="W6" i="4" s="1"/>
  <c r="W16" i="4" a="1"/>
  <c r="W16" i="4" s="1"/>
  <c r="P24" i="4" a="1"/>
  <c r="P24" i="4" s="1"/>
  <c r="H13" i="4" a="1"/>
  <c r="H13" i="4" s="1"/>
  <c r="I36" i="4" a="1"/>
  <c r="I36" i="4" s="1"/>
  <c r="I31" i="4" a="1"/>
  <c r="I31" i="4" s="1"/>
  <c r="K23" i="4" a="1"/>
  <c r="K23" i="4" s="1"/>
  <c r="W30" i="4" a="1"/>
  <c r="W30" i="4" s="1"/>
  <c r="L36" i="4" a="1"/>
  <c r="L36" i="4" s="1"/>
  <c r="W36" i="4" a="1"/>
  <c r="W36" i="4" s="1"/>
  <c r="N21" i="4" a="1"/>
  <c r="N21" i="4" s="1"/>
  <c r="M21" i="4" a="1"/>
  <c r="M21" i="4" s="1"/>
  <c r="W23" i="4" a="1"/>
  <c r="W23" i="4" s="1"/>
  <c r="O29" i="4" a="1"/>
  <c r="O29" i="4" s="1"/>
  <c r="N14" i="4" a="1"/>
  <c r="N14" i="4" s="1"/>
  <c r="L28" i="4" a="1"/>
  <c r="L28" i="4" s="1"/>
  <c r="H33" i="4" a="1"/>
  <c r="H33" i="4" s="1"/>
  <c r="U37" i="4" a="1"/>
  <c r="U37" i="4" s="1"/>
  <c r="P28" i="4" a="1"/>
  <c r="P28" i="4" s="1"/>
  <c r="R7" i="4" a="1"/>
  <c r="R7" i="4" s="1"/>
  <c r="L11" i="4" a="1"/>
  <c r="L11" i="4" s="1"/>
  <c r="P6" i="4" a="1"/>
  <c r="P6" i="4" s="1"/>
  <c r="H9" i="4" a="1"/>
  <c r="H9" i="4" s="1"/>
  <c r="T11" i="4" a="1"/>
  <c r="T11" i="4" s="1"/>
  <c r="V11" i="4" a="1"/>
  <c r="V11" i="4" s="1"/>
  <c r="W13" i="4" a="1"/>
  <c r="W13" i="4" s="1"/>
  <c r="M8" i="4" a="1"/>
  <c r="M8" i="4" s="1"/>
  <c r="J9" i="4" a="1"/>
  <c r="J9" i="4" s="1"/>
  <c r="W9" i="4" a="1"/>
  <c r="W9" i="4" s="1"/>
  <c r="N28" i="4" a="1"/>
  <c r="N28" i="4" s="1"/>
  <c r="J36" i="4" a="1"/>
  <c r="J36" i="4" s="1"/>
  <c r="P34" i="4" a="1"/>
  <c r="P34" i="4" s="1"/>
  <c r="W31" i="4" a="1"/>
  <c r="W31" i="4" s="1"/>
  <c r="L37" i="4" a="1"/>
  <c r="L37" i="4" s="1"/>
  <c r="U22" i="4" a="1"/>
  <c r="U22" i="4" s="1"/>
  <c r="W19" i="4" a="1"/>
  <c r="W19" i="4" s="1"/>
  <c r="R37" i="4" a="1"/>
  <c r="R37" i="4" s="1"/>
  <c r="S25" i="4" a="1"/>
  <c r="S25" i="4" s="1"/>
  <c r="O16" i="4" a="1"/>
  <c r="O16" i="4" s="1"/>
  <c r="O21" i="4" a="1"/>
  <c r="O21" i="4" s="1"/>
  <c r="T28" i="4" a="1"/>
  <c r="T28" i="4" s="1"/>
  <c r="N30" i="4" a="1"/>
  <c r="N30" i="4" s="1"/>
  <c r="P32" i="4" a="1"/>
  <c r="P32" i="4" s="1"/>
  <c r="K21" i="4" a="1"/>
  <c r="K21" i="4" s="1"/>
  <c r="R22" i="4" a="1"/>
  <c r="R22" i="4" s="1"/>
  <c r="S22" i="4" a="1"/>
  <c r="S22" i="4" s="1"/>
  <c r="I19" i="4" a="1"/>
  <c r="I19" i="4" s="1"/>
  <c r="N33" i="4" a="1"/>
  <c r="N33" i="4" s="1"/>
  <c r="V32" i="4" a="1"/>
  <c r="V32" i="4" s="1"/>
  <c r="I32" i="4" a="1"/>
  <c r="I32" i="4" s="1"/>
  <c r="Q25" i="4" a="1"/>
  <c r="Q25" i="4" s="1"/>
  <c r="Q37" i="4" a="1"/>
  <c r="Q37" i="4" s="1"/>
  <c r="J24" i="4" a="1"/>
  <c r="J24" i="4" s="1"/>
  <c r="T22" i="4" a="1"/>
  <c r="T22" i="4" s="1"/>
  <c r="Q34" i="4" a="1"/>
  <c r="Q34" i="4" s="1"/>
  <c r="P15" i="4" a="1"/>
  <c r="P15" i="4" s="1"/>
  <c r="N22" i="4" a="1"/>
  <c r="N22" i="4" s="1"/>
  <c r="L23" i="4" a="1"/>
  <c r="L23" i="4" s="1"/>
  <c r="H16" i="4" a="1"/>
  <c r="H16" i="4" s="1"/>
  <c r="Q15" i="4" a="1"/>
  <c r="Q15" i="4" s="1"/>
  <c r="J20" i="4" a="1"/>
  <c r="J20" i="4" s="1"/>
  <c r="W34" i="4" a="1"/>
  <c r="W34" i="4" s="1"/>
  <c r="I34" i="4" a="1"/>
  <c r="I34" i="4" s="1"/>
  <c r="O18" i="4" a="1"/>
  <c r="O18" i="4" s="1"/>
  <c r="T30" i="4" a="1"/>
  <c r="T30" i="4" s="1"/>
  <c r="K35" i="4" a="1"/>
  <c r="K35" i="4" s="1"/>
  <c r="M35" i="4" a="1"/>
  <c r="M35" i="4" s="1"/>
  <c r="S36" i="4" a="1"/>
  <c r="S36" i="4" s="1"/>
  <c r="Q22" i="4" a="1"/>
  <c r="Q22" i="4" s="1"/>
  <c r="M18" i="4" a="1"/>
  <c r="M18" i="4" s="1"/>
  <c r="Q33" i="4" a="1"/>
  <c r="Q33" i="4" s="1"/>
  <c r="U16" i="4" a="1"/>
  <c r="U16" i="4" s="1"/>
  <c r="K19" i="4" a="1"/>
  <c r="K19" i="4" s="1"/>
  <c r="M15" i="4" a="1"/>
  <c r="M15" i="4" s="1"/>
  <c r="U18" i="4" a="1"/>
  <c r="U18" i="4" s="1"/>
  <c r="S34" i="4" a="1"/>
  <c r="S34" i="4" s="1"/>
  <c r="T37" i="4" a="1"/>
  <c r="T37" i="4" s="1"/>
  <c r="I25" i="4" a="1"/>
  <c r="I25" i="4" s="1"/>
  <c r="K15" i="4" a="1"/>
  <c r="K15" i="4" s="1"/>
  <c r="H28" i="4" a="1"/>
  <c r="H28" i="4" s="1"/>
  <c r="U26" i="4" a="1"/>
  <c r="U26" i="4" s="1"/>
  <c r="U28" i="4" a="1"/>
  <c r="U28" i="4" s="1"/>
  <c r="N20" i="4" a="1"/>
  <c r="N20" i="4" s="1"/>
  <c r="U15" i="4" a="1"/>
  <c r="U15" i="4" s="1"/>
  <c r="J33" i="4" a="1"/>
  <c r="J33" i="4" s="1"/>
  <c r="L35" i="4" a="1"/>
  <c r="L35" i="4" s="1"/>
  <c r="T25" i="4" a="1"/>
  <c r="T25" i="4" s="1"/>
  <c r="P29" i="4" a="1"/>
  <c r="P29" i="4" s="1"/>
  <c r="N32" i="4" a="1"/>
  <c r="N32" i="4" s="1"/>
  <c r="Q23" i="4" a="1"/>
  <c r="Q23" i="4" s="1"/>
  <c r="H24" i="4" a="1"/>
  <c r="H24" i="4" s="1"/>
  <c r="V25" i="4" a="1"/>
  <c r="V25" i="4" s="1"/>
  <c r="L27" i="4" a="1"/>
  <c r="L27" i="4" s="1"/>
  <c r="I28" i="4" a="1"/>
  <c r="I28" i="4" s="1"/>
  <c r="T36" i="4" a="1"/>
  <c r="T36" i="4" s="1"/>
  <c r="J35" i="4" a="1"/>
  <c r="J35" i="4" s="1"/>
  <c r="W24" i="4" a="1"/>
  <c r="W24" i="4" s="1"/>
  <c r="O30" i="4" a="1"/>
  <c r="O30" i="4" s="1"/>
  <c r="O25" i="4" a="1"/>
  <c r="O25" i="4" s="1"/>
  <c r="T20" i="4" a="1"/>
  <c r="T20" i="4" s="1"/>
  <c r="Q29" i="4" a="1"/>
  <c r="Q29" i="4" s="1"/>
  <c r="N35" i="4" a="1"/>
  <c r="N35" i="4" s="1"/>
  <c r="S31" i="4" a="1"/>
  <c r="S31" i="4" s="1"/>
  <c r="V37" i="4" a="1"/>
  <c r="V37" i="4" s="1"/>
  <c r="S16" i="4" a="1"/>
  <c r="S16" i="4" s="1"/>
  <c r="U23" i="4" a="1"/>
  <c r="U23" i="4" s="1"/>
  <c r="S26" i="4" a="1"/>
  <c r="S26" i="4" s="1"/>
  <c r="W18" i="4" a="1"/>
  <c r="W18" i="4" s="1"/>
  <c r="V28" i="4" a="1"/>
  <c r="V28" i="4" s="1"/>
  <c r="R20" i="4" a="1"/>
  <c r="R20" i="4" s="1"/>
  <c r="J16" i="4" a="1"/>
  <c r="J16" i="4" s="1"/>
  <c r="N27" i="4" a="1"/>
  <c r="N27" i="4" s="1"/>
  <c r="R21" i="4" a="1"/>
  <c r="R21" i="4" s="1"/>
  <c r="R34" i="4" a="1"/>
  <c r="R34" i="4" s="1"/>
  <c r="O37" i="4" a="1"/>
  <c r="O37" i="4" s="1"/>
  <c r="V14" i="4" a="1"/>
  <c r="V14" i="4" s="1"/>
  <c r="U32" i="4" a="1"/>
  <c r="U32" i="4" s="1"/>
  <c r="L20" i="4" a="1"/>
  <c r="L20" i="4" s="1"/>
  <c r="H22" i="4" a="1"/>
  <c r="H22" i="4" s="1"/>
  <c r="O17" i="4" a="1"/>
  <c r="O17" i="4" s="1"/>
  <c r="L15" i="4" a="1"/>
  <c r="L15" i="4" s="1"/>
  <c r="R33" i="4" a="1"/>
  <c r="R33" i="4" s="1"/>
  <c r="U33" i="4" a="1"/>
  <c r="U33" i="4" s="1"/>
  <c r="M30" i="4" a="1"/>
  <c r="M30" i="4" s="1"/>
  <c r="S15" i="4" a="1"/>
  <c r="S15" i="4" s="1"/>
  <c r="S27" i="4" a="1"/>
  <c r="S27" i="4" s="1"/>
  <c r="R27" i="4" a="1"/>
  <c r="R27" i="4" s="1"/>
  <c r="U20" i="4" a="1"/>
  <c r="U20" i="4" s="1"/>
  <c r="K27" i="4" a="1"/>
  <c r="K27" i="4" s="1"/>
  <c r="M34" i="4" a="1"/>
  <c r="M34" i="4" s="1"/>
  <c r="P26" i="4" a="1"/>
  <c r="P26" i="4" s="1"/>
  <c r="R32" i="4" a="1"/>
  <c r="R32" i="4" s="1"/>
  <c r="H25" i="4" a="1"/>
  <c r="H25" i="4" s="1"/>
  <c r="Q19" i="4" a="1"/>
  <c r="Q19" i="4" s="1"/>
  <c r="J15" i="4" a="1"/>
  <c r="J15" i="4" s="1"/>
  <c r="J23" i="4" a="1"/>
  <c r="J23" i="4" s="1"/>
  <c r="N26" i="4" a="1"/>
  <c r="N26" i="4" s="1"/>
  <c r="K18" i="4" a="1"/>
  <c r="K18" i="4" s="1"/>
  <c r="H34" i="4" a="1"/>
  <c r="H34" i="4" s="1"/>
  <c r="P18" i="4" a="1"/>
  <c r="P18" i="4" s="1"/>
  <c r="I14" i="4" a="1"/>
  <c r="I14" i="4" s="1"/>
  <c r="S32" i="4" a="1"/>
  <c r="S32" i="4" s="1"/>
  <c r="K28" i="4" a="1"/>
  <c r="K28" i="4" s="1"/>
  <c r="J18" i="4" a="1"/>
  <c r="J18" i="4" s="1"/>
  <c r="N19" i="4" a="1"/>
  <c r="N19" i="4" s="1"/>
  <c r="M25" i="4" a="1"/>
  <c r="M25" i="4" s="1"/>
  <c r="U35" i="4" a="1"/>
  <c r="U35" i="4" s="1"/>
  <c r="U31" i="4" a="1"/>
  <c r="U31" i="4" s="1"/>
  <c r="T15" i="4" a="1"/>
  <c r="T15" i="4" s="1"/>
  <c r="S28" i="4" a="1"/>
  <c r="S28" i="4" s="1"/>
  <c r="M19" i="4" a="1"/>
  <c r="M19" i="4" s="1"/>
  <c r="O22" i="4" a="1"/>
  <c r="O22" i="4" s="1"/>
  <c r="Q14" i="4" a="1"/>
  <c r="Q14" i="4" s="1"/>
  <c r="L26" i="4" a="1"/>
  <c r="L26" i="4" s="1"/>
  <c r="Q16" i="4" a="1"/>
  <c r="Q16" i="4" s="1"/>
  <c r="W32" i="4" a="1"/>
  <c r="W32" i="4" s="1"/>
  <c r="J21" i="4" a="1"/>
  <c r="J21" i="4" s="1"/>
  <c r="J17" i="4" a="1"/>
  <c r="J17" i="4" s="1"/>
  <c r="M23" i="4" a="1"/>
  <c r="M23" i="4" s="1"/>
  <c r="H38" i="4" a="1"/>
  <c r="H38" i="4" s="1"/>
  <c r="K29" i="4" a="1"/>
  <c r="K29" i="4" s="1"/>
  <c r="L25" i="4" a="1"/>
  <c r="L25" i="4" s="1"/>
  <c r="I26" i="4" a="1"/>
  <c r="I26" i="4" s="1"/>
  <c r="R19" i="4" a="1"/>
  <c r="R19" i="4" s="1"/>
  <c r="H18" i="4" a="1"/>
  <c r="H18" i="4" s="1"/>
  <c r="L33" i="4" a="1"/>
  <c r="L33" i="4" s="1"/>
  <c r="N24" i="4" a="1"/>
  <c r="N24" i="4" s="1"/>
  <c r="I15" i="4" a="1"/>
  <c r="I15" i="4" s="1"/>
  <c r="U17" i="4" a="1"/>
  <c r="U17" i="4" s="1"/>
  <c r="R15" i="4" a="1"/>
  <c r="R15" i="4" s="1"/>
  <c r="J29" i="4" a="1"/>
  <c r="J29" i="4" s="1"/>
  <c r="M16" i="4" a="1"/>
  <c r="M16" i="4" s="1"/>
  <c r="L14" i="4" a="1"/>
  <c r="L14" i="4" s="1"/>
  <c r="I38" i="4" a="1"/>
  <c r="I38" i="4" s="1"/>
  <c r="H29" i="4" a="1"/>
  <c r="H29" i="4" s="1"/>
  <c r="K36" i="4" a="1"/>
  <c r="K36" i="4" s="1"/>
  <c r="N23" i="4" a="1"/>
  <c r="N23" i="4" s="1"/>
  <c r="O28" i="4" a="1"/>
  <c r="O28" i="4" s="1"/>
  <c r="K32" i="4" a="1"/>
  <c r="K32" i="4" s="1"/>
  <c r="N18" i="4" a="1"/>
  <c r="N18" i="4" s="1"/>
  <c r="R18" i="4" a="1"/>
  <c r="R18" i="4" s="1"/>
  <c r="P33" i="4" a="1"/>
  <c r="P33" i="4" s="1"/>
  <c r="M36" i="4" a="1"/>
  <c r="M36" i="4" s="1"/>
  <c r="Q27" i="4" a="1"/>
  <c r="Q27" i="4" s="1"/>
  <c r="I24" i="4" a="1"/>
  <c r="I24" i="4" s="1"/>
  <c r="M14" i="4" a="1"/>
  <c r="M14" i="4" s="1"/>
  <c r="K34" i="4" a="1"/>
  <c r="K34" i="4" s="1"/>
  <c r="P14" i="4" a="1"/>
  <c r="P14" i="4" s="1"/>
  <c r="O26" i="4" a="1"/>
  <c r="O26" i="4" s="1"/>
  <c r="I30" i="4" a="1"/>
  <c r="I30" i="4" s="1"/>
  <c r="H30" i="4" a="1"/>
  <c r="H30" i="4" s="1"/>
  <c r="I27" i="4" a="1"/>
  <c r="I27" i="4" s="1"/>
  <c r="Q18" i="4" a="1"/>
  <c r="Q18" i="4" s="1"/>
  <c r="Q36" i="4" a="1"/>
  <c r="Q36" i="4" s="1"/>
  <c r="T26" i="4" a="1"/>
  <c r="T26" i="4" s="1"/>
  <c r="N15" i="4" a="1"/>
  <c r="N15" i="4" s="1"/>
  <c r="H20" i="4" a="1"/>
  <c r="H20" i="4" s="1"/>
  <c r="Q21" i="4" a="1"/>
  <c r="Q21" i="4" s="1"/>
  <c r="W26" i="4" a="1"/>
  <c r="W26" i="4" s="1"/>
  <c r="M26" i="4" a="1"/>
  <c r="M26" i="4" s="1"/>
  <c r="R31" i="4" a="1"/>
  <c r="R31" i="4" s="1"/>
  <c r="V17" i="4" a="1"/>
  <c r="V17" i="4" s="1"/>
  <c r="K24" i="4" a="1"/>
  <c r="K24" i="4" s="1"/>
  <c r="T33" i="4" a="1"/>
  <c r="T33" i="4" s="1"/>
  <c r="T21" i="4" a="1"/>
  <c r="T21" i="4" s="1"/>
  <c r="K31" i="4" a="1"/>
  <c r="K31" i="4" s="1"/>
  <c r="L38" i="4" a="1"/>
  <c r="L38" i="4" s="1"/>
  <c r="L29" i="4" a="1"/>
  <c r="L29" i="4" s="1"/>
  <c r="R14" i="4" a="1"/>
  <c r="R14" i="4" s="1"/>
  <c r="O23" i="4" a="1"/>
  <c r="O23" i="4" s="1"/>
  <c r="T16" i="4" a="1"/>
  <c r="T16" i="4" s="1"/>
  <c r="H14" i="4" a="1"/>
  <c r="H14" i="4" s="1"/>
  <c r="W21" i="4" a="1"/>
  <c r="W21" i="4" s="1"/>
  <c r="I22" i="4" a="1"/>
  <c r="I22" i="4" s="1"/>
  <c r="L24" i="4" a="1"/>
  <c r="L24" i="4" s="1"/>
  <c r="Q24" i="4" a="1"/>
  <c r="Q24" i="4" s="1"/>
  <c r="U24" i="4" a="1"/>
  <c r="U24" i="4" s="1"/>
  <c r="M27" i="4" a="1"/>
  <c r="M27" i="4" s="1"/>
  <c r="Q20" i="4" a="1"/>
  <c r="Q20" i="4" s="1"/>
  <c r="O27" i="4" a="1"/>
  <c r="O27" i="4" s="1"/>
  <c r="R28" i="4" a="1"/>
  <c r="R28" i="4" s="1"/>
  <c r="L17" i="4" a="1"/>
  <c r="L17" i="4" s="1"/>
  <c r="J38" i="4" a="1"/>
  <c r="J38" i="4" s="1"/>
  <c r="R16" i="4" a="1"/>
  <c r="R16" i="4" s="1"/>
  <c r="H21" i="4" a="1"/>
  <c r="H21" i="4" s="1"/>
  <c r="P37" i="4" a="1"/>
  <c r="P37" i="4" s="1"/>
  <c r="S17" i="4" a="1"/>
  <c r="S17" i="4" s="1"/>
  <c r="P35" i="4" a="1"/>
  <c r="P35" i="4" s="1"/>
  <c r="N17" i="4" a="1"/>
  <c r="N17" i="4" s="1"/>
  <c r="L22" i="4" a="1"/>
  <c r="L22" i="4" s="1"/>
  <c r="O36" i="4" a="1"/>
  <c r="O36" i="4" s="1"/>
  <c r="M22" i="4" a="1"/>
  <c r="M22" i="4" s="1"/>
  <c r="H35" i="4" a="1"/>
  <c r="H35" i="4" s="1"/>
  <c r="P20" i="4" a="1"/>
  <c r="P20" i="4" s="1"/>
  <c r="S18" i="4" a="1"/>
  <c r="S18" i="4" s="1"/>
  <c r="M32" i="4" a="1"/>
  <c r="M32" i="4" s="1"/>
  <c r="K26" i="4" a="1"/>
  <c r="K26" i="4" s="1"/>
  <c r="O15" i="4" a="1"/>
  <c r="O15" i="4" s="1"/>
  <c r="P27" i="4" a="1"/>
  <c r="P27" i="4" s="1"/>
  <c r="Q17" i="4" a="1"/>
  <c r="Q17" i="4" s="1"/>
  <c r="E127" i="3"/>
  <c r="B119" i="3"/>
  <c r="X35" i="4" l="1"/>
  <c r="AL119" i="3"/>
  <c r="AF127" i="3"/>
  <c r="AN32" i="4"/>
  <c r="AO32" i="4" s="1"/>
  <c r="AP32" i="4" s="1"/>
  <c r="AQ32" i="4" s="1"/>
  <c r="AR32" i="4" s="1"/>
  <c r="AS32" i="4" s="1"/>
  <c r="AT32" i="4" s="1"/>
  <c r="AU32" i="4" s="1"/>
  <c r="AV32" i="4" s="1"/>
  <c r="AW32" i="4" s="1"/>
  <c r="AX32" i="4" s="1"/>
  <c r="AY32" i="4" s="1"/>
  <c r="AZ32" i="4" s="1"/>
  <c r="BA32" i="4" s="1"/>
  <c r="BB32" i="4" s="1"/>
  <c r="AN19" i="4"/>
  <c r="AO19" i="4" s="1"/>
  <c r="AP19" i="4" s="1"/>
  <c r="AQ19" i="4" s="1"/>
  <c r="AR19" i="4" s="1"/>
  <c r="AS19" i="4" s="1"/>
  <c r="AT19" i="4" s="1"/>
  <c r="AU19" i="4" s="1"/>
  <c r="AV19" i="4" s="1"/>
  <c r="AW19" i="4" s="1"/>
  <c r="AX19" i="4" s="1"/>
  <c r="AY19" i="4" s="1"/>
  <c r="AZ19" i="4" s="1"/>
  <c r="BA19" i="4" s="1"/>
  <c r="BB19" i="4" s="1"/>
  <c r="AN26" i="4"/>
  <c r="AO26" i="4" s="1"/>
  <c r="AP26" i="4" s="1"/>
  <c r="AQ26" i="4" s="1"/>
  <c r="AR26" i="4" s="1"/>
  <c r="AS26" i="4" s="1"/>
  <c r="AT26" i="4" s="1"/>
  <c r="AU26" i="4" s="1"/>
  <c r="AV26" i="4" s="1"/>
  <c r="AW26" i="4" s="1"/>
  <c r="AX26" i="4" s="1"/>
  <c r="AY26" i="4" s="1"/>
  <c r="AZ26" i="4" s="1"/>
  <c r="BA26" i="4" s="1"/>
  <c r="BB26" i="4" s="1"/>
  <c r="AN8" i="4"/>
  <c r="AO8" i="4" s="1"/>
  <c r="AP8" i="4" s="1"/>
  <c r="AQ8" i="4" s="1"/>
  <c r="AR8" i="4" s="1"/>
  <c r="AS8" i="4" s="1"/>
  <c r="AT8" i="4" s="1"/>
  <c r="AU8" i="4" s="1"/>
  <c r="AV8" i="4" s="1"/>
  <c r="AW8" i="4" s="1"/>
  <c r="AX8" i="4" s="1"/>
  <c r="AY8" i="4" s="1"/>
  <c r="AZ8" i="4" s="1"/>
  <c r="BA8" i="4" s="1"/>
  <c r="BB8" i="4" s="1"/>
  <c r="AN36" i="4"/>
  <c r="AO36" i="4" s="1"/>
  <c r="AP36" i="4" s="1"/>
  <c r="AQ36" i="4" s="1"/>
  <c r="AR36" i="4" s="1"/>
  <c r="AS36" i="4" s="1"/>
  <c r="AT36" i="4" s="1"/>
  <c r="AU36" i="4" s="1"/>
  <c r="AV36" i="4" s="1"/>
  <c r="AW36" i="4" s="1"/>
  <c r="AX36" i="4" s="1"/>
  <c r="AY36" i="4" s="1"/>
  <c r="AZ36" i="4" s="1"/>
  <c r="BA36" i="4" s="1"/>
  <c r="BB36" i="4" s="1"/>
  <c r="AN15" i="4"/>
  <c r="AO15" i="4" s="1"/>
  <c r="AP15" i="4" s="1"/>
  <c r="AQ15" i="4" s="1"/>
  <c r="AR15" i="4" s="1"/>
  <c r="AS15" i="4" s="1"/>
  <c r="AT15" i="4" s="1"/>
  <c r="AU15" i="4" s="1"/>
  <c r="AV15" i="4" s="1"/>
  <c r="AW15" i="4" s="1"/>
  <c r="AX15" i="4" s="1"/>
  <c r="AY15" i="4" s="1"/>
  <c r="AZ15" i="4" s="1"/>
  <c r="BA15" i="4" s="1"/>
  <c r="BB15" i="4" s="1"/>
  <c r="AN27" i="4"/>
  <c r="AO27" i="4" s="1"/>
  <c r="AP27" i="4" s="1"/>
  <c r="AQ27" i="4" s="1"/>
  <c r="AR27" i="4" s="1"/>
  <c r="AS27" i="4" s="1"/>
  <c r="AT27" i="4" s="1"/>
  <c r="AU27" i="4" s="1"/>
  <c r="AV27" i="4" s="1"/>
  <c r="AW27" i="4" s="1"/>
  <c r="AX27" i="4" s="1"/>
  <c r="AY27" i="4" s="1"/>
  <c r="AZ27" i="4" s="1"/>
  <c r="BA27" i="4" s="1"/>
  <c r="BB27" i="4" s="1"/>
  <c r="AN37" i="4"/>
  <c r="AO37" i="4" s="1"/>
  <c r="AP37" i="4" s="1"/>
  <c r="AQ37" i="4" s="1"/>
  <c r="AR37" i="4" s="1"/>
  <c r="AS37" i="4" s="1"/>
  <c r="AT37" i="4" s="1"/>
  <c r="AU37" i="4" s="1"/>
  <c r="AV37" i="4" s="1"/>
  <c r="AW37" i="4" s="1"/>
  <c r="AX37" i="4" s="1"/>
  <c r="AY37" i="4" s="1"/>
  <c r="AZ37" i="4" s="1"/>
  <c r="BA37" i="4" s="1"/>
  <c r="BB37" i="4" s="1"/>
  <c r="AN31" i="4"/>
  <c r="AO31" i="4" s="1"/>
  <c r="AP31" i="4" s="1"/>
  <c r="AQ31" i="4" s="1"/>
  <c r="AR31" i="4" s="1"/>
  <c r="AS31" i="4" s="1"/>
  <c r="AT31" i="4" s="1"/>
  <c r="AU31" i="4" s="1"/>
  <c r="AV31" i="4" s="1"/>
  <c r="AW31" i="4" s="1"/>
  <c r="AX31" i="4" s="1"/>
  <c r="AY31" i="4" s="1"/>
  <c r="AZ31" i="4" s="1"/>
  <c r="BA31" i="4" s="1"/>
  <c r="BB31" i="4" s="1"/>
  <c r="AN22" i="4"/>
  <c r="AO22" i="4" s="1"/>
  <c r="AP22" i="4" s="1"/>
  <c r="AQ22" i="4" s="1"/>
  <c r="AR22" i="4" s="1"/>
  <c r="AS22" i="4" s="1"/>
  <c r="AT22" i="4" s="1"/>
  <c r="AU22" i="4" s="1"/>
  <c r="AV22" i="4" s="1"/>
  <c r="AW22" i="4" s="1"/>
  <c r="AX22" i="4" s="1"/>
  <c r="AY22" i="4" s="1"/>
  <c r="AZ22" i="4" s="1"/>
  <c r="BA22" i="4" s="1"/>
  <c r="BB22" i="4" s="1"/>
  <c r="AN17" i="4"/>
  <c r="AO17" i="4" s="1"/>
  <c r="AP17" i="4" s="1"/>
  <c r="AQ17" i="4" s="1"/>
  <c r="AR17" i="4" s="1"/>
  <c r="AS17" i="4" s="1"/>
  <c r="AT17" i="4" s="1"/>
  <c r="AU17" i="4" s="1"/>
  <c r="AV17" i="4" s="1"/>
  <c r="AW17" i="4" s="1"/>
  <c r="AX17" i="4" s="1"/>
  <c r="AY17" i="4" s="1"/>
  <c r="AZ17" i="4" s="1"/>
  <c r="BA17" i="4" s="1"/>
  <c r="BB17" i="4" s="1"/>
  <c r="AN23" i="4"/>
  <c r="AO23" i="4" s="1"/>
  <c r="AP23" i="4" s="1"/>
  <c r="AQ23" i="4" s="1"/>
  <c r="AR23" i="4" s="1"/>
  <c r="AS23" i="4" s="1"/>
  <c r="AT23" i="4" s="1"/>
  <c r="AU23" i="4" s="1"/>
  <c r="AV23" i="4" s="1"/>
  <c r="AW23" i="4" s="1"/>
  <c r="AX23" i="4" s="1"/>
  <c r="AY23" i="4" s="1"/>
  <c r="AZ23" i="4" s="1"/>
  <c r="BA23" i="4" s="1"/>
  <c r="BB23" i="4" s="1"/>
  <c r="AN12" i="4"/>
  <c r="AO12" i="4" s="1"/>
  <c r="AP12" i="4" s="1"/>
  <c r="AQ12" i="4" s="1"/>
  <c r="AR12" i="4" s="1"/>
  <c r="AS12" i="4" s="1"/>
  <c r="AT12" i="4" s="1"/>
  <c r="AU12" i="4" s="1"/>
  <c r="AV12" i="4" s="1"/>
  <c r="AW12" i="4" s="1"/>
  <c r="AX12" i="4" s="1"/>
  <c r="AY12" i="4" s="1"/>
  <c r="AZ12" i="4" s="1"/>
  <c r="BA12" i="4" s="1"/>
  <c r="BB12" i="4" s="1"/>
  <c r="AN24" i="4"/>
  <c r="AO24" i="4" s="1"/>
  <c r="AP24" i="4" s="1"/>
  <c r="AQ24" i="4" s="1"/>
  <c r="AR24" i="4" s="1"/>
  <c r="AS24" i="4" s="1"/>
  <c r="AT24" i="4" s="1"/>
  <c r="AU24" i="4" s="1"/>
  <c r="AV24" i="4" s="1"/>
  <c r="AW24" i="4" s="1"/>
  <c r="AX24" i="4" s="1"/>
  <c r="AY24" i="4" s="1"/>
  <c r="AZ24" i="4" s="1"/>
  <c r="BA24" i="4" s="1"/>
  <c r="BB24" i="4" s="1"/>
  <c r="AN6" i="4"/>
  <c r="AO6" i="4" s="1"/>
  <c r="AP6" i="4" s="1"/>
  <c r="AQ6" i="4" s="1"/>
  <c r="AR6" i="4" s="1"/>
  <c r="AS6" i="4" s="1"/>
  <c r="AT6" i="4" s="1"/>
  <c r="AU6" i="4" s="1"/>
  <c r="AV6" i="4" s="1"/>
  <c r="AW6" i="4" s="1"/>
  <c r="AX6" i="4" s="1"/>
  <c r="AY6" i="4" s="1"/>
  <c r="AZ6" i="4" s="1"/>
  <c r="BA6" i="4" s="1"/>
  <c r="BB6" i="4" s="1"/>
  <c r="AN28" i="4"/>
  <c r="AO28" i="4" s="1"/>
  <c r="AP28" i="4" s="1"/>
  <c r="AQ28" i="4" s="1"/>
  <c r="AR28" i="4" s="1"/>
  <c r="AS28" i="4" s="1"/>
  <c r="AT28" i="4" s="1"/>
  <c r="AU28" i="4" s="1"/>
  <c r="AV28" i="4" s="1"/>
  <c r="AW28" i="4" s="1"/>
  <c r="AX28" i="4" s="1"/>
  <c r="AY28" i="4" s="1"/>
  <c r="AZ28" i="4" s="1"/>
  <c r="BA28" i="4" s="1"/>
  <c r="BB28" i="4" s="1"/>
  <c r="AN38" i="4"/>
  <c r="AO38" i="4" s="1"/>
  <c r="AP38" i="4" s="1"/>
  <c r="AQ38" i="4" s="1"/>
  <c r="AP5" i="4"/>
  <c r="AQ5" i="4" s="1"/>
  <c r="AR5" i="4" s="1"/>
  <c r="AS5" i="4" s="1"/>
  <c r="AT5" i="4" s="1"/>
  <c r="AU5" i="4" s="1"/>
  <c r="AV5" i="4" s="1"/>
  <c r="AW5" i="4" s="1"/>
  <c r="AX5" i="4" s="1"/>
  <c r="AY5" i="4" s="1"/>
  <c r="AZ5" i="4" s="1"/>
  <c r="BA5" i="4" s="1"/>
  <c r="BB5" i="4" s="1"/>
  <c r="AN14" i="4"/>
  <c r="AO14" i="4" s="1"/>
  <c r="AP14" i="4" s="1"/>
  <c r="AQ14" i="4" s="1"/>
  <c r="AR14" i="4" s="1"/>
  <c r="AS14" i="4" s="1"/>
  <c r="AT14" i="4" s="1"/>
  <c r="AU14" i="4" s="1"/>
  <c r="AV14" i="4" s="1"/>
  <c r="AW14" i="4" s="1"/>
  <c r="AX14" i="4" s="1"/>
  <c r="AY14" i="4" s="1"/>
  <c r="AZ14" i="4" s="1"/>
  <c r="BA14" i="4" s="1"/>
  <c r="BB14" i="4" s="1"/>
  <c r="AN11" i="4"/>
  <c r="AO11" i="4" s="1"/>
  <c r="AP11" i="4" s="1"/>
  <c r="AQ11" i="4" s="1"/>
  <c r="AR11" i="4" s="1"/>
  <c r="AS11" i="4" s="1"/>
  <c r="AT11" i="4" s="1"/>
  <c r="AU11" i="4" s="1"/>
  <c r="AV11" i="4" s="1"/>
  <c r="AW11" i="4" s="1"/>
  <c r="AX11" i="4" s="1"/>
  <c r="AY11" i="4" s="1"/>
  <c r="AZ11" i="4" s="1"/>
  <c r="BA11" i="4" s="1"/>
  <c r="BB11" i="4" s="1"/>
  <c r="AN18" i="4"/>
  <c r="AO18" i="4" s="1"/>
  <c r="AP18" i="4" s="1"/>
  <c r="AQ18" i="4" s="1"/>
  <c r="AR18" i="4" s="1"/>
  <c r="AS18" i="4" s="1"/>
  <c r="AT18" i="4" s="1"/>
  <c r="AU18" i="4" s="1"/>
  <c r="AV18" i="4" s="1"/>
  <c r="AW18" i="4" s="1"/>
  <c r="AX18" i="4" s="1"/>
  <c r="AY18" i="4" s="1"/>
  <c r="AZ18" i="4" s="1"/>
  <c r="BA18" i="4" s="1"/>
  <c r="BB18" i="4" s="1"/>
  <c r="AN21" i="4"/>
  <c r="AO21" i="4" s="1"/>
  <c r="AP21" i="4" s="1"/>
  <c r="AQ21" i="4" s="1"/>
  <c r="AR21" i="4" s="1"/>
  <c r="AS21" i="4" s="1"/>
  <c r="AT21" i="4" s="1"/>
  <c r="AU21" i="4" s="1"/>
  <c r="AV21" i="4" s="1"/>
  <c r="AW21" i="4" s="1"/>
  <c r="AX21" i="4" s="1"/>
  <c r="AY21" i="4" s="1"/>
  <c r="AZ21" i="4" s="1"/>
  <c r="BA21" i="4" s="1"/>
  <c r="BB21" i="4" s="1"/>
  <c r="AN35" i="4"/>
  <c r="AO35" i="4" s="1"/>
  <c r="AP35" i="4" s="1"/>
  <c r="AQ35" i="4" s="1"/>
  <c r="AR35" i="4" s="1"/>
  <c r="AS35" i="4" s="1"/>
  <c r="AT35" i="4" s="1"/>
  <c r="AU35" i="4" s="1"/>
  <c r="AV35" i="4" s="1"/>
  <c r="AW35" i="4" s="1"/>
  <c r="AX35" i="4" s="1"/>
  <c r="AY35" i="4" s="1"/>
  <c r="AZ35" i="4" s="1"/>
  <c r="BA35" i="4" s="1"/>
  <c r="BB35" i="4" s="1"/>
  <c r="AN13" i="4"/>
  <c r="AO13" i="4" s="1"/>
  <c r="AP13" i="4" s="1"/>
  <c r="AQ13" i="4" s="1"/>
  <c r="AR13" i="4" s="1"/>
  <c r="AS13" i="4" s="1"/>
  <c r="AT13" i="4" s="1"/>
  <c r="AU13" i="4" s="1"/>
  <c r="AV13" i="4" s="1"/>
  <c r="AW13" i="4" s="1"/>
  <c r="AX13" i="4" s="1"/>
  <c r="AY13" i="4" s="1"/>
  <c r="AZ13" i="4" s="1"/>
  <c r="BA13" i="4" s="1"/>
  <c r="BB13" i="4" s="1"/>
  <c r="AN25" i="4"/>
  <c r="AO25" i="4" s="1"/>
  <c r="AP25" i="4" s="1"/>
  <c r="AQ25" i="4" s="1"/>
  <c r="AR25" i="4" s="1"/>
  <c r="AS25" i="4" s="1"/>
  <c r="AT25" i="4" s="1"/>
  <c r="AU25" i="4" s="1"/>
  <c r="AV25" i="4" s="1"/>
  <c r="AW25" i="4" s="1"/>
  <c r="AX25" i="4" s="1"/>
  <c r="AY25" i="4" s="1"/>
  <c r="AZ25" i="4" s="1"/>
  <c r="BA25" i="4" s="1"/>
  <c r="BB25" i="4" s="1"/>
  <c r="AN34" i="4"/>
  <c r="AO34" i="4" s="1"/>
  <c r="AP34" i="4" s="1"/>
  <c r="AQ34" i="4" s="1"/>
  <c r="AR34" i="4" s="1"/>
  <c r="AS34" i="4" s="1"/>
  <c r="AT34" i="4" s="1"/>
  <c r="AU34" i="4" s="1"/>
  <c r="AV34" i="4" s="1"/>
  <c r="AW34" i="4" s="1"/>
  <c r="AX34" i="4" s="1"/>
  <c r="AY34" i="4" s="1"/>
  <c r="AZ34" i="4" s="1"/>
  <c r="BA34" i="4" s="1"/>
  <c r="BB34" i="4" s="1"/>
  <c r="AN29" i="4"/>
  <c r="AO29" i="4" s="1"/>
  <c r="AP29" i="4" s="1"/>
  <c r="AQ29" i="4" s="1"/>
  <c r="AR29" i="4" s="1"/>
  <c r="AS29" i="4" s="1"/>
  <c r="AT29" i="4" s="1"/>
  <c r="AU29" i="4" s="1"/>
  <c r="AV29" i="4" s="1"/>
  <c r="AW29" i="4" s="1"/>
  <c r="AX29" i="4" s="1"/>
  <c r="AY29" i="4" s="1"/>
  <c r="AZ29" i="4" s="1"/>
  <c r="BA29" i="4" s="1"/>
  <c r="BB29" i="4" s="1"/>
  <c r="AN20" i="4"/>
  <c r="AO20" i="4" s="1"/>
  <c r="AP20" i="4" s="1"/>
  <c r="AQ20" i="4" s="1"/>
  <c r="AR20" i="4" s="1"/>
  <c r="AS20" i="4" s="1"/>
  <c r="AT20" i="4" s="1"/>
  <c r="AU20" i="4" s="1"/>
  <c r="AV20" i="4" s="1"/>
  <c r="AW20" i="4" s="1"/>
  <c r="AX20" i="4" s="1"/>
  <c r="AY20" i="4" s="1"/>
  <c r="AZ20" i="4" s="1"/>
  <c r="BA20" i="4" s="1"/>
  <c r="BB20" i="4" s="1"/>
  <c r="AN9" i="4"/>
  <c r="AO9" i="4" s="1"/>
  <c r="AP9" i="4" s="1"/>
  <c r="AQ9" i="4" s="1"/>
  <c r="AR9" i="4" s="1"/>
  <c r="AS9" i="4" s="1"/>
  <c r="AT9" i="4" s="1"/>
  <c r="AU9" i="4" s="1"/>
  <c r="AV9" i="4" s="1"/>
  <c r="AW9" i="4" s="1"/>
  <c r="AX9" i="4" s="1"/>
  <c r="AY9" i="4" s="1"/>
  <c r="AZ9" i="4" s="1"/>
  <c r="BA9" i="4" s="1"/>
  <c r="BB9" i="4" s="1"/>
  <c r="AN30" i="4"/>
  <c r="AO30" i="4" s="1"/>
  <c r="AP30" i="4" s="1"/>
  <c r="AQ30" i="4" s="1"/>
  <c r="AR30" i="4" s="1"/>
  <c r="AS30" i="4" s="1"/>
  <c r="AT30" i="4" s="1"/>
  <c r="AU30" i="4" s="1"/>
  <c r="AV30" i="4" s="1"/>
  <c r="AW30" i="4" s="1"/>
  <c r="AX30" i="4" s="1"/>
  <c r="AY30" i="4" s="1"/>
  <c r="AZ30" i="4" s="1"/>
  <c r="BA30" i="4" s="1"/>
  <c r="BB30" i="4" s="1"/>
  <c r="AN16" i="4"/>
  <c r="AO16" i="4" s="1"/>
  <c r="AP16" i="4" s="1"/>
  <c r="AQ16" i="4" s="1"/>
  <c r="AR16" i="4" s="1"/>
  <c r="AS16" i="4" s="1"/>
  <c r="AT16" i="4" s="1"/>
  <c r="AU16" i="4" s="1"/>
  <c r="AV16" i="4" s="1"/>
  <c r="AW16" i="4" s="1"/>
  <c r="AX16" i="4" s="1"/>
  <c r="AY16" i="4" s="1"/>
  <c r="AZ16" i="4" s="1"/>
  <c r="BA16" i="4" s="1"/>
  <c r="BB16" i="4" s="1"/>
  <c r="AN33" i="4"/>
  <c r="AO33" i="4" s="1"/>
  <c r="AP33" i="4" s="1"/>
  <c r="AQ33" i="4" s="1"/>
  <c r="AR33" i="4" s="1"/>
  <c r="AS33" i="4" s="1"/>
  <c r="AT33" i="4" s="1"/>
  <c r="AU33" i="4" s="1"/>
  <c r="AV33" i="4" s="1"/>
  <c r="AW33" i="4" s="1"/>
  <c r="AX33" i="4" s="1"/>
  <c r="AY33" i="4" s="1"/>
  <c r="AZ33" i="4" s="1"/>
  <c r="BA33" i="4" s="1"/>
  <c r="BB33" i="4" s="1"/>
  <c r="AN7" i="4"/>
  <c r="AO7" i="4" s="1"/>
  <c r="AP7" i="4" s="1"/>
  <c r="AQ7" i="4" s="1"/>
  <c r="AR7" i="4" s="1"/>
  <c r="AS7" i="4" s="1"/>
  <c r="AT7" i="4" s="1"/>
  <c r="AU7" i="4" s="1"/>
  <c r="AV7" i="4" s="1"/>
  <c r="AW7" i="4" s="1"/>
  <c r="AX7" i="4" s="1"/>
  <c r="AY7" i="4" s="1"/>
  <c r="AZ7" i="4" s="1"/>
  <c r="BA7" i="4" s="1"/>
  <c r="BB7" i="4" s="1"/>
  <c r="AN10" i="4"/>
  <c r="AO10" i="4" s="1"/>
  <c r="AP10" i="4" s="1"/>
  <c r="AQ10" i="4" s="1"/>
  <c r="AR10" i="4" s="1"/>
  <c r="AS10" i="4" s="1"/>
  <c r="AT10" i="4" s="1"/>
  <c r="AU10" i="4" s="1"/>
  <c r="AV10" i="4" s="1"/>
  <c r="AW10" i="4" s="1"/>
  <c r="AX10" i="4" s="1"/>
  <c r="AY10" i="4" s="1"/>
  <c r="AZ10" i="4" s="1"/>
  <c r="BA10" i="4" s="1"/>
  <c r="BB10" i="4" s="1"/>
  <c r="E128" i="3"/>
  <c r="E129" i="3" s="1"/>
  <c r="B120" i="3"/>
  <c r="B121" i="3" s="1"/>
  <c r="AD128" i="3" l="1"/>
  <c r="G39" i="4" s="1"/>
  <c r="BG39" i="4" s="1"/>
  <c r="AL121" i="3"/>
  <c r="X36" i="4"/>
  <c r="AR127" i="3"/>
  <c r="U38" i="4" a="1"/>
  <c r="U38" i="4" s="1"/>
  <c r="O38" i="4" a="1"/>
  <c r="O38" i="4" s="1"/>
  <c r="M38" i="4" a="1"/>
  <c r="M38" i="4" s="1"/>
  <c r="AR38" i="4" s="1"/>
  <c r="S38" i="4" a="1"/>
  <c r="S38" i="4" s="1"/>
  <c r="R38" i="4" a="1"/>
  <c r="R38" i="4" s="1"/>
  <c r="P38" i="4" a="1"/>
  <c r="P38" i="4" s="1"/>
  <c r="Q38" i="4" a="1"/>
  <c r="Q38" i="4" s="1"/>
  <c r="N38" i="4" a="1"/>
  <c r="N38" i="4" s="1"/>
  <c r="W38" i="4" a="1"/>
  <c r="W38" i="4" s="1"/>
  <c r="T38" i="4" a="1"/>
  <c r="T38" i="4" s="1"/>
  <c r="V38" i="4" a="1"/>
  <c r="V38" i="4" s="1"/>
  <c r="AF129" i="3"/>
  <c r="M39" i="4" s="1" a="1"/>
  <c r="M39" i="4" s="1"/>
  <c r="AN128" i="3"/>
  <c r="AK128" i="3"/>
  <c r="AR128" i="3"/>
  <c r="B122" i="3"/>
  <c r="B123" i="3"/>
  <c r="E130" i="3"/>
  <c r="AF130" i="3" l="1"/>
  <c r="AR130" i="3" s="1"/>
  <c r="AS38" i="4"/>
  <c r="AT38" i="4" s="1"/>
  <c r="AU38" i="4" s="1"/>
  <c r="AV38" i="4" s="1"/>
  <c r="AW38" i="4" s="1"/>
  <c r="AX38" i="4" s="1"/>
  <c r="AY38" i="4" s="1"/>
  <c r="AZ38" i="4" s="1"/>
  <c r="BA38" i="4" s="1"/>
  <c r="BB38" i="4" s="1"/>
  <c r="K39" i="4" a="1"/>
  <c r="K39" i="4" s="1"/>
  <c r="AR129" i="3"/>
  <c r="N39" i="4" a="1"/>
  <c r="N39" i="4" s="1"/>
  <c r="J39" i="4" a="1"/>
  <c r="J39" i="4" s="1"/>
  <c r="L39" i="4" a="1"/>
  <c r="L39" i="4" s="1"/>
  <c r="O39" i="4" a="1"/>
  <c r="O39" i="4" s="1"/>
  <c r="H39" i="4" a="1"/>
  <c r="H39" i="4" s="1"/>
  <c r="I39" i="4" a="1"/>
  <c r="I39" i="4" s="1"/>
  <c r="P39" i="4" a="1"/>
  <c r="P39" i="4" s="1"/>
  <c r="AL123" i="3"/>
  <c r="X37" i="4"/>
  <c r="E131" i="3"/>
  <c r="B124" i="3"/>
  <c r="E132" i="3"/>
  <c r="E133" i="3"/>
  <c r="AD132" i="3" l="1"/>
  <c r="AN132" i="3" s="1"/>
  <c r="AF131" i="3"/>
  <c r="R39" i="4" s="1" a="1"/>
  <c r="R39" i="4" s="1"/>
  <c r="AN39" i="4"/>
  <c r="AO39" i="4" s="1"/>
  <c r="AP39" i="4" s="1"/>
  <c r="AQ39" i="4" s="1"/>
  <c r="AR39" i="4" s="1"/>
  <c r="AS39" i="4" s="1"/>
  <c r="AT39" i="4" s="1"/>
  <c r="AU39" i="4" s="1"/>
  <c r="S39" i="4" a="1"/>
  <c r="S39" i="4" s="1"/>
  <c r="T39" i="4" a="1"/>
  <c r="T39" i="4" s="1"/>
  <c r="W39" i="4" a="1"/>
  <c r="W39" i="4" s="1"/>
  <c r="AR131" i="3"/>
  <c r="AF133" i="3"/>
  <c r="AR133" i="3" s="1"/>
  <c r="G40" i="4"/>
  <c r="BG40" i="4" s="1"/>
  <c r="AR132" i="3"/>
  <c r="AK132" i="3"/>
  <c r="E134" i="3"/>
  <c r="B125" i="3"/>
  <c r="B126" i="3" s="1"/>
  <c r="U39" i="4" l="1" a="1"/>
  <c r="U39" i="4" s="1"/>
  <c r="V39" i="4" a="1"/>
  <c r="V39" i="4" s="1"/>
  <c r="Q39" i="4" a="1"/>
  <c r="Q39" i="4" s="1"/>
  <c r="AV39" i="4" s="1"/>
  <c r="AW39" i="4" s="1"/>
  <c r="AX39" i="4" s="1"/>
  <c r="AY39" i="4" s="1"/>
  <c r="AZ39" i="4" s="1"/>
  <c r="BA39" i="4" s="1"/>
  <c r="BB39" i="4" s="1"/>
  <c r="AL125" i="3"/>
  <c r="X38" i="4"/>
  <c r="AF134" i="3"/>
  <c r="AR134" i="3" s="1"/>
  <c r="H40" i="4" a="1"/>
  <c r="H40" i="4" s="1"/>
  <c r="B127" i="3"/>
  <c r="E135" i="3"/>
  <c r="AF135" i="3" l="1"/>
  <c r="AR135" i="3" s="1"/>
  <c r="L40" i="4" a="1"/>
  <c r="L40" i="4" s="1"/>
  <c r="M40" i="4" a="1"/>
  <c r="M40" i="4" s="1"/>
  <c r="O40" i="4" a="1"/>
  <c r="O40" i="4" s="1"/>
  <c r="J40" i="4" a="1"/>
  <c r="J40" i="4" s="1"/>
  <c r="I40" i="4" a="1"/>
  <c r="I40" i="4" s="1"/>
  <c r="AN40" i="4" s="1"/>
  <c r="N40" i="4" a="1"/>
  <c r="N40" i="4" s="1"/>
  <c r="K40" i="4" a="1"/>
  <c r="K40" i="4" s="1"/>
  <c r="E136" i="3"/>
  <c r="B128" i="3"/>
  <c r="AL128" i="3" l="1"/>
  <c r="X39" i="4"/>
  <c r="P40" i="4" a="1"/>
  <c r="P40" i="4" s="1"/>
  <c r="S40" i="4" a="1"/>
  <c r="S40" i="4" s="1"/>
  <c r="R40" i="4" a="1"/>
  <c r="R40" i="4" s="1"/>
  <c r="Q40" i="4" a="1"/>
  <c r="Q40" i="4" s="1"/>
  <c r="AF136" i="3"/>
  <c r="AR136" i="3" s="1"/>
  <c r="AO40" i="4"/>
  <c r="AP40" i="4" s="1"/>
  <c r="AQ40" i="4" s="1"/>
  <c r="AR40" i="4" s="1"/>
  <c r="AS40" i="4" s="1"/>
  <c r="AT40" i="4" s="1"/>
  <c r="E137" i="3"/>
  <c r="B129" i="3"/>
  <c r="B130" i="3"/>
  <c r="AD137" i="3" l="1"/>
  <c r="AR137" i="3" s="1"/>
  <c r="AU40" i="4"/>
  <c r="AV40" i="4" s="1"/>
  <c r="AW40" i="4" s="1"/>
  <c r="AX40" i="4" s="1"/>
  <c r="T40" i="4" a="1"/>
  <c r="T40" i="4" s="1"/>
  <c r="V40" i="4" a="1"/>
  <c r="V40" i="4" s="1"/>
  <c r="U40" i="4" a="1"/>
  <c r="U40" i="4" s="1"/>
  <c r="W40" i="4" a="1"/>
  <c r="W40" i="4" s="1"/>
  <c r="G41" i="4"/>
  <c r="BG41" i="4" s="1"/>
  <c r="E138" i="3"/>
  <c r="B131" i="3"/>
  <c r="AN137" i="3" l="1"/>
  <c r="AK137" i="3"/>
  <c r="AF138" i="3"/>
  <c r="AY40" i="4"/>
  <c r="AZ40" i="4" s="1"/>
  <c r="BA40" i="4" s="1"/>
  <c r="BB40" i="4" s="1"/>
  <c r="E139" i="3"/>
  <c r="E140" i="3"/>
  <c r="B132" i="3"/>
  <c r="AF139" i="3" l="1"/>
  <c r="AR139" i="3" s="1"/>
  <c r="AF140" i="3"/>
  <c r="X40" i="4"/>
  <c r="AL132" i="3"/>
  <c r="AR138" i="3"/>
  <c r="H41" i="4" a="1"/>
  <c r="H41" i="4" s="1"/>
  <c r="I41" i="4" a="1"/>
  <c r="I41" i="4" s="1"/>
  <c r="J41" i="4" a="1"/>
  <c r="J41" i="4" s="1"/>
  <c r="K41" i="4" a="1"/>
  <c r="K41" i="4" s="1"/>
  <c r="AR140" i="3"/>
  <c r="E141" i="3"/>
  <c r="B133" i="3"/>
  <c r="B134" i="3"/>
  <c r="B135" i="3" s="1"/>
  <c r="E142" i="3"/>
  <c r="S41" i="4" l="1" a="1"/>
  <c r="S41" i="4" s="1"/>
  <c r="R41" i="4" a="1"/>
  <c r="R41" i="4" s="1"/>
  <c r="Q41" i="4" a="1"/>
  <c r="Q41" i="4" s="1"/>
  <c r="N41" i="4" a="1"/>
  <c r="N41" i="4" s="1"/>
  <c r="L41" i="4" a="1"/>
  <c r="L41" i="4" s="1"/>
  <c r="AF141" i="3"/>
  <c r="T41" i="4" s="1" a="1"/>
  <c r="T41" i="4" s="1"/>
  <c r="M41" i="4" a="1"/>
  <c r="M41" i="4" s="1"/>
  <c r="P41" i="4" a="1"/>
  <c r="P41" i="4" s="1"/>
  <c r="O41" i="4" a="1"/>
  <c r="O41" i="4" s="1"/>
  <c r="AN41" i="4"/>
  <c r="AO41" i="4" s="1"/>
  <c r="AP41" i="4" s="1"/>
  <c r="AD142" i="3"/>
  <c r="AR142" i="3" s="1"/>
  <c r="U41" i="4" a="1"/>
  <c r="U41" i="4" s="1"/>
  <c r="W41" i="4" a="1"/>
  <c r="W41" i="4" s="1"/>
  <c r="V41" i="4" a="1"/>
  <c r="V41" i="4" s="1"/>
  <c r="G42" i="4"/>
  <c r="BG42" i="4" s="1"/>
  <c r="E143" i="3"/>
  <c r="B136" i="3"/>
  <c r="AQ41" i="4" l="1"/>
  <c r="AR41" i="4" s="1"/>
  <c r="AS41" i="4" s="1"/>
  <c r="AT41" i="4" s="1"/>
  <c r="AU41" i="4" s="1"/>
  <c r="AV41" i="4" s="1"/>
  <c r="AW41" i="4" s="1"/>
  <c r="AX41" i="4" s="1"/>
  <c r="AY41" i="4" s="1"/>
  <c r="AZ41" i="4" s="1"/>
  <c r="BA41" i="4" s="1"/>
  <c r="BB41" i="4" s="1"/>
  <c r="AR141" i="3"/>
  <c r="AN142" i="3"/>
  <c r="AF143" i="3"/>
  <c r="N42" i="4" s="1" a="1"/>
  <c r="N42" i="4" s="1"/>
  <c r="AK142" i="3"/>
  <c r="B137" i="3"/>
  <c r="B138" i="3" s="1"/>
  <c r="E144" i="3"/>
  <c r="E145" i="3" s="1"/>
  <c r="AL137" i="3" l="1"/>
  <c r="X41" i="4"/>
  <c r="AF144" i="3"/>
  <c r="L42" i="4" a="1"/>
  <c r="L42" i="4" s="1"/>
  <c r="O42" i="4" a="1"/>
  <c r="O42" i="4" s="1"/>
  <c r="K42" i="4" a="1"/>
  <c r="K42" i="4" s="1"/>
  <c r="H42" i="4" a="1"/>
  <c r="H42" i="4" s="1"/>
  <c r="S42" i="4" a="1"/>
  <c r="S42" i="4" s="1"/>
  <c r="M42" i="4" a="1"/>
  <c r="M42" i="4" s="1"/>
  <c r="J42" i="4" a="1"/>
  <c r="J42" i="4" s="1"/>
  <c r="I42" i="4" a="1"/>
  <c r="I42" i="4" s="1"/>
  <c r="AR143" i="3"/>
  <c r="AD145" i="3"/>
  <c r="AR145" i="3" s="1"/>
  <c r="P42" i="4" a="1"/>
  <c r="P42" i="4" s="1"/>
  <c r="W42" i="4" a="1"/>
  <c r="W42" i="4" s="1"/>
  <c r="T42" i="4" a="1"/>
  <c r="T42" i="4" s="1"/>
  <c r="U42" i="4" a="1"/>
  <c r="U42" i="4" s="1"/>
  <c r="Q42" i="4" a="1"/>
  <c r="Q42" i="4" s="1"/>
  <c r="V42" i="4" a="1"/>
  <c r="V42" i="4" s="1"/>
  <c r="AR144" i="3"/>
  <c r="R42" i="4" a="1"/>
  <c r="R42" i="4" s="1"/>
  <c r="E146" i="3"/>
  <c r="B139" i="3"/>
  <c r="G43" i="4" l="1"/>
  <c r="BG43" i="4" s="1"/>
  <c r="AN42" i="4"/>
  <c r="AO42" i="4" s="1"/>
  <c r="AP42" i="4" s="1"/>
  <c r="AQ42" i="4" s="1"/>
  <c r="AR42" i="4" s="1"/>
  <c r="AS42" i="4" s="1"/>
  <c r="AT42" i="4" s="1"/>
  <c r="AU42" i="4" s="1"/>
  <c r="AV42" i="4" s="1"/>
  <c r="AW42" i="4" s="1"/>
  <c r="AX42" i="4" s="1"/>
  <c r="AY42" i="4" s="1"/>
  <c r="AZ42" i="4" s="1"/>
  <c r="BA42" i="4" s="1"/>
  <c r="BB42" i="4" s="1"/>
  <c r="AF146" i="3"/>
  <c r="M43" i="4" s="1" a="1"/>
  <c r="M43" i="4" s="1"/>
  <c r="AK145" i="3"/>
  <c r="AN145" i="3"/>
  <c r="E147" i="3"/>
  <c r="B140" i="3"/>
  <c r="J43" i="4" l="1" a="1"/>
  <c r="J43" i="4" s="1"/>
  <c r="AF147" i="3"/>
  <c r="AR147" i="3" s="1"/>
  <c r="AR146" i="3"/>
  <c r="K43" i="4" a="1"/>
  <c r="K43" i="4" s="1"/>
  <c r="L43" i="4" a="1"/>
  <c r="L43" i="4" s="1"/>
  <c r="I43" i="4" a="1"/>
  <c r="I43" i="4" s="1"/>
  <c r="N43" i="4" a="1"/>
  <c r="N43" i="4" s="1"/>
  <c r="O43" i="4" a="1"/>
  <c r="O43" i="4" s="1"/>
  <c r="H43" i="4" a="1"/>
  <c r="H43" i="4" s="1"/>
  <c r="B141" i="3"/>
  <c r="E148" i="3"/>
  <c r="R43" i="4" l="1" a="1"/>
  <c r="R43" i="4" s="1"/>
  <c r="V43" i="4" a="1"/>
  <c r="V43" i="4" s="1"/>
  <c r="W43" i="4" a="1"/>
  <c r="W43" i="4" s="1"/>
  <c r="S43" i="4" a="1"/>
  <c r="S43" i="4" s="1"/>
  <c r="T43" i="4" a="1"/>
  <c r="T43" i="4" s="1"/>
  <c r="Q43" i="4" a="1"/>
  <c r="Q43" i="4" s="1"/>
  <c r="P43" i="4" a="1"/>
  <c r="P43" i="4" s="1"/>
  <c r="U43" i="4" a="1"/>
  <c r="U43" i="4" s="1"/>
  <c r="AD148" i="3"/>
  <c r="AN43" i="4"/>
  <c r="AO43" i="4" s="1"/>
  <c r="AP43" i="4" s="1"/>
  <c r="AQ43" i="4" s="1"/>
  <c r="AR43" i="4" s="1"/>
  <c r="AS43" i="4" s="1"/>
  <c r="AT43" i="4" s="1"/>
  <c r="B142" i="3"/>
  <c r="E149" i="3"/>
  <c r="E150" i="3"/>
  <c r="E151" i="3"/>
  <c r="X42" i="4" l="1"/>
  <c r="AL142" i="3"/>
  <c r="AF149" i="3"/>
  <c r="N44" i="4" s="1" a="1"/>
  <c r="N44" i="4" s="1"/>
  <c r="AU43" i="4"/>
  <c r="AV43" i="4" s="1"/>
  <c r="AW43" i="4" s="1"/>
  <c r="AX43" i="4" s="1"/>
  <c r="AY43" i="4" s="1"/>
  <c r="AZ43" i="4" s="1"/>
  <c r="BA43" i="4" s="1"/>
  <c r="BB43" i="4" s="1"/>
  <c r="AF151" i="3"/>
  <c r="AD150" i="3"/>
  <c r="G44" i="4"/>
  <c r="BG44" i="4" s="1"/>
  <c r="AR148" i="3"/>
  <c r="AN148" i="3"/>
  <c r="AK148" i="3"/>
  <c r="E152" i="3"/>
  <c r="B143" i="3"/>
  <c r="B144" i="3" s="1"/>
  <c r="V45" i="4" l="1" a="1"/>
  <c r="V45" i="4" s="1"/>
  <c r="I44" i="4" a="1"/>
  <c r="I44" i="4" s="1"/>
  <c r="R44" i="4" a="1"/>
  <c r="R44" i="4" s="1"/>
  <c r="W44" i="4" a="1"/>
  <c r="W44" i="4" s="1"/>
  <c r="H44" i="4" a="1"/>
  <c r="H44" i="4" s="1"/>
  <c r="M44" i="4" a="1"/>
  <c r="M44" i="4" s="1"/>
  <c r="AR149" i="3"/>
  <c r="O44" i="4" a="1"/>
  <c r="O44" i="4" s="1"/>
  <c r="V44" i="4" a="1"/>
  <c r="V44" i="4" s="1"/>
  <c r="Q44" i="4" a="1"/>
  <c r="Q44" i="4" s="1"/>
  <c r="J44" i="4" a="1"/>
  <c r="J44" i="4" s="1"/>
  <c r="K44" i="4" a="1"/>
  <c r="K44" i="4" s="1"/>
  <c r="U44" i="4" a="1"/>
  <c r="U44" i="4" s="1"/>
  <c r="P44" i="4" a="1"/>
  <c r="P44" i="4" s="1"/>
  <c r="L44" i="4" a="1"/>
  <c r="L44" i="4" s="1"/>
  <c r="S44" i="4" a="1"/>
  <c r="S44" i="4" s="1"/>
  <c r="T44" i="4" a="1"/>
  <c r="T44" i="4" s="1"/>
  <c r="AD152" i="3"/>
  <c r="AK152" i="3" s="1"/>
  <c r="S45" i="4" a="1"/>
  <c r="S45" i="4" s="1"/>
  <c r="U45" i="4" a="1"/>
  <c r="U45" i="4" s="1"/>
  <c r="M45" i="4" a="1"/>
  <c r="M45" i="4" s="1"/>
  <c r="O45" i="4" a="1"/>
  <c r="O45" i="4" s="1"/>
  <c r="P45" i="4" a="1"/>
  <c r="P45" i="4" s="1"/>
  <c r="T45" i="4" a="1"/>
  <c r="T45" i="4" s="1"/>
  <c r="R45" i="4" a="1"/>
  <c r="R45" i="4" s="1"/>
  <c r="L45" i="4" a="1"/>
  <c r="L45" i="4" s="1"/>
  <c r="N45" i="4" a="1"/>
  <c r="N45" i="4" s="1"/>
  <c r="I45" i="4" a="1"/>
  <c r="I45" i="4" s="1"/>
  <c r="H45" i="4" a="1"/>
  <c r="H45" i="4" s="1"/>
  <c r="Q45" i="4" a="1"/>
  <c r="Q45" i="4" s="1"/>
  <c r="J45" i="4" a="1"/>
  <c r="J45" i="4" s="1"/>
  <c r="W45" i="4" a="1"/>
  <c r="W45" i="4" s="1"/>
  <c r="AR151" i="3"/>
  <c r="K45" i="4" a="1"/>
  <c r="K45" i="4" s="1"/>
  <c r="G45" i="4"/>
  <c r="BG45" i="4" s="1"/>
  <c r="AK150" i="3"/>
  <c r="AR150" i="3"/>
  <c r="AN150" i="3"/>
  <c r="G46" i="4"/>
  <c r="BG46" i="4" s="1"/>
  <c r="AR152" i="3"/>
  <c r="AN152" i="3"/>
  <c r="E153" i="3"/>
  <c r="E154" i="3"/>
  <c r="B145" i="3"/>
  <c r="AN44" i="4" l="1"/>
  <c r="AO44" i="4" s="1"/>
  <c r="AP44" i="4" s="1"/>
  <c r="AQ44" i="4" s="1"/>
  <c r="AR44" i="4" s="1"/>
  <c r="AS44" i="4" s="1"/>
  <c r="AT44" i="4" s="1"/>
  <c r="AU44" i="4" s="1"/>
  <c r="AV44" i="4" s="1"/>
  <c r="AW44" i="4" s="1"/>
  <c r="AX44" i="4" s="1"/>
  <c r="AY44" i="4" s="1"/>
  <c r="AZ44" i="4" s="1"/>
  <c r="BA44" i="4" s="1"/>
  <c r="BB44" i="4" s="1"/>
  <c r="AF153" i="3"/>
  <c r="AR153" i="3" s="1"/>
  <c r="AD154" i="3"/>
  <c r="AR154" i="3" s="1"/>
  <c r="AL145" i="3"/>
  <c r="X43" i="4"/>
  <c r="AN45" i="4"/>
  <c r="AO45" i="4" s="1"/>
  <c r="AP45" i="4" s="1"/>
  <c r="AQ45" i="4" s="1"/>
  <c r="AR45" i="4" s="1"/>
  <c r="AS45" i="4" s="1"/>
  <c r="AT45" i="4" s="1"/>
  <c r="AU45" i="4" s="1"/>
  <c r="AV45" i="4" s="1"/>
  <c r="AW45" i="4" s="1"/>
  <c r="AX45" i="4" s="1"/>
  <c r="AY45" i="4" s="1"/>
  <c r="AZ45" i="4" s="1"/>
  <c r="BA45" i="4" s="1"/>
  <c r="BB45" i="4" s="1"/>
  <c r="E155" i="3"/>
  <c r="B146" i="3"/>
  <c r="AK154" i="3" l="1"/>
  <c r="AN154" i="3"/>
  <c r="AF155" i="3"/>
  <c r="AR155" i="3" s="1"/>
  <c r="E156" i="3"/>
  <c r="E157" i="3"/>
  <c r="B147" i="3"/>
  <c r="AD156" i="3" l="1"/>
  <c r="AK156" i="3" s="1"/>
  <c r="AF157" i="3"/>
  <c r="AR157" i="3" s="1"/>
  <c r="E158" i="3"/>
  <c r="B148" i="3"/>
  <c r="E159" i="3"/>
  <c r="AD158" i="3" l="1"/>
  <c r="AR158" i="3" s="1"/>
  <c r="AN156" i="3"/>
  <c r="AR156" i="3"/>
  <c r="AL148" i="3"/>
  <c r="X44" i="4"/>
  <c r="AF159" i="3"/>
  <c r="AR159" i="3" s="1"/>
  <c r="B149" i="3"/>
  <c r="E160" i="3"/>
  <c r="AN158" i="3" l="1"/>
  <c r="AK158" i="3"/>
  <c r="AD160" i="3"/>
  <c r="B150" i="3"/>
  <c r="B151" i="3" s="1"/>
  <c r="E161" i="3"/>
  <c r="AL150" i="3" l="1"/>
  <c r="X45" i="4"/>
  <c r="AF161" i="3"/>
  <c r="AR161" i="3" s="1"/>
  <c r="AN160" i="3"/>
  <c r="AR160" i="3"/>
  <c r="AK160" i="3"/>
  <c r="E162" i="3"/>
  <c r="B152" i="3"/>
  <c r="B153" i="3"/>
  <c r="AL152" i="3" l="1"/>
  <c r="X46" i="4"/>
  <c r="AD162" i="3"/>
  <c r="AN162" i="3" s="1"/>
  <c r="E163" i="3"/>
  <c r="B154" i="3"/>
  <c r="B155" i="3"/>
  <c r="X47" i="4" l="1"/>
  <c r="AL154" i="3"/>
  <c r="AF163" i="3"/>
  <c r="AR163" i="3" s="1"/>
  <c r="AK162" i="3"/>
  <c r="AR162" i="3"/>
  <c r="B156" i="3"/>
  <c r="E164" i="3"/>
  <c r="E165" i="3"/>
  <c r="X48" i="4" l="1"/>
  <c r="AL156" i="3"/>
  <c r="AD164" i="3"/>
  <c r="AR164" i="3" s="1"/>
  <c r="AF165" i="3"/>
  <c r="AR165" i="3" s="1"/>
  <c r="E166" i="3"/>
  <c r="B157" i="3"/>
  <c r="B158" i="3"/>
  <c r="E167" i="3"/>
  <c r="E168" i="3" s="1"/>
  <c r="AD166" i="3" l="1"/>
  <c r="AN166" i="3" s="1"/>
  <c r="AF167" i="3"/>
  <c r="AR167" i="3" s="1"/>
  <c r="AK164" i="3"/>
  <c r="AN164" i="3"/>
  <c r="AL158" i="3"/>
  <c r="X49" i="4"/>
  <c r="AD168" i="3"/>
  <c r="AR168" i="3" s="1"/>
  <c r="B159" i="3"/>
  <c r="B160" i="3" s="1"/>
  <c r="E169" i="3"/>
  <c r="AK166" i="3" l="1"/>
  <c r="AR166" i="3"/>
  <c r="AF169" i="3"/>
  <c r="AR169" i="3" s="1"/>
  <c r="AN168" i="3"/>
  <c r="AK168" i="3"/>
  <c r="X50" i="4"/>
  <c r="AL160" i="3"/>
  <c r="B161" i="3"/>
  <c r="E170" i="3"/>
  <c r="E171" i="3"/>
  <c r="AD170" i="3" l="1"/>
  <c r="AR170" i="3" s="1"/>
  <c r="AF171" i="3"/>
  <c r="AR171" i="3" s="1"/>
  <c r="E172" i="3"/>
  <c r="E173" i="3"/>
  <c r="B162" i="3"/>
  <c r="AK170" i="3" l="1"/>
  <c r="AN170" i="3"/>
  <c r="AD172" i="3"/>
  <c r="AK172" i="3" s="1"/>
  <c r="AL162" i="3"/>
  <c r="X51" i="4"/>
  <c r="AF173" i="3"/>
  <c r="AR173" i="3" s="1"/>
  <c r="E174" i="3"/>
  <c r="B163" i="3"/>
  <c r="E175" i="3"/>
  <c r="AN172" i="3" l="1"/>
  <c r="AR172" i="3"/>
  <c r="AD174" i="3"/>
  <c r="AR174" i="3" s="1"/>
  <c r="AF175" i="3"/>
  <c r="AR175" i="3" s="1"/>
  <c r="AN174" i="3"/>
  <c r="AK174" i="3"/>
  <c r="E176" i="3"/>
  <c r="B164" i="3"/>
  <c r="B165" i="3"/>
  <c r="X52" i="4" l="1"/>
  <c r="AL164" i="3"/>
  <c r="AD176" i="3"/>
  <c r="AR176" i="3" s="1"/>
  <c r="E177" i="3"/>
  <c r="B166" i="3"/>
  <c r="E178" i="3"/>
  <c r="B167" i="3"/>
  <c r="AF177" i="3" l="1"/>
  <c r="AR177" i="3" s="1"/>
  <c r="X53" i="4"/>
  <c r="AL166" i="3"/>
  <c r="AN176" i="3"/>
  <c r="AK176" i="3"/>
  <c r="AD178" i="3"/>
  <c r="AN178" i="3" s="1"/>
  <c r="B168" i="3"/>
  <c r="E179" i="3"/>
  <c r="AL168" i="3" l="1"/>
  <c r="X54" i="4"/>
  <c r="AF179" i="3"/>
  <c r="AR179" i="3" s="1"/>
  <c r="AR178" i="3"/>
  <c r="AK178" i="3"/>
  <c r="E180" i="3"/>
  <c r="B169" i="3"/>
  <c r="B170" i="3" s="1"/>
  <c r="X55" i="4" l="1"/>
  <c r="AL170" i="3"/>
  <c r="AD180" i="3"/>
  <c r="AR180" i="3" s="1"/>
  <c r="E181" i="3"/>
  <c r="E182" i="3"/>
  <c r="B171" i="3"/>
  <c r="B172" i="3"/>
  <c r="AF181" i="3" l="1"/>
  <c r="AR181" i="3" s="1"/>
  <c r="AN180" i="3"/>
  <c r="AK180" i="3"/>
  <c r="AL172" i="3"/>
  <c r="X56" i="4"/>
  <c r="AD182" i="3"/>
  <c r="AR182" i="3" s="1"/>
  <c r="B173" i="3"/>
  <c r="E183" i="3"/>
  <c r="E184" i="3" s="1"/>
  <c r="AF183" i="3" l="1"/>
  <c r="AR183" i="3" s="1"/>
  <c r="AN182" i="3"/>
  <c r="AK182" i="3"/>
  <c r="AD184" i="3"/>
  <c r="AR184" i="3" s="1"/>
  <c r="B174" i="3"/>
  <c r="E185" i="3"/>
  <c r="B175" i="3"/>
  <c r="AF185" i="3" l="1"/>
  <c r="AR185" i="3" s="1"/>
  <c r="AL174" i="3"/>
  <c r="X57" i="4"/>
  <c r="AN184" i="3"/>
  <c r="AK184" i="3"/>
  <c r="E186" i="3"/>
  <c r="E187" i="3"/>
  <c r="B176" i="3"/>
  <c r="B177" i="3" s="1"/>
  <c r="AD186" i="3" l="1"/>
  <c r="AN186" i="3" s="1"/>
  <c r="AL176" i="3"/>
  <c r="X58" i="4"/>
  <c r="AF187" i="3"/>
  <c r="AR187" i="3" s="1"/>
  <c r="AK186" i="3"/>
  <c r="AR186" i="3"/>
  <c r="E188" i="3"/>
  <c r="B178" i="3"/>
  <c r="B179" i="3"/>
  <c r="E189" i="3"/>
  <c r="AD188" i="3" l="1"/>
  <c r="AR188" i="3" s="1"/>
  <c r="AF189" i="3"/>
  <c r="AR189" i="3" s="1"/>
  <c r="X59" i="4"/>
  <c r="AL178" i="3"/>
  <c r="AN188" i="3"/>
  <c r="AK188" i="3"/>
  <c r="B180" i="3"/>
  <c r="E190" i="3"/>
  <c r="E191" i="3" s="1"/>
  <c r="AF191" i="3" l="1"/>
  <c r="AR191" i="3" s="1"/>
  <c r="AD190" i="3"/>
  <c r="AL180" i="3"/>
  <c r="E192" i="3"/>
  <c r="B181" i="3"/>
  <c r="B182" i="3"/>
  <c r="B183" i="3" s="1"/>
  <c r="E193" i="3"/>
  <c r="E194" i="3" s="1"/>
  <c r="AD192" i="3" l="1"/>
  <c r="AR192" i="3" s="1"/>
  <c r="AF193" i="3"/>
  <c r="AR193" i="3" s="1"/>
  <c r="AL182" i="3"/>
  <c r="AR190" i="3"/>
  <c r="AN190" i="3"/>
  <c r="AK190" i="3"/>
  <c r="AN192" i="3"/>
  <c r="AK192" i="3"/>
  <c r="AD194" i="3"/>
  <c r="AN194" i="3" s="1"/>
  <c r="E195" i="3"/>
  <c r="B184" i="3"/>
  <c r="B185" i="3" s="1"/>
  <c r="AL184" i="3" l="1"/>
  <c r="AF195" i="3"/>
  <c r="AR195" i="3" s="1"/>
  <c r="AR194" i="3"/>
  <c r="AK194" i="3"/>
  <c r="B186" i="3"/>
  <c r="E196" i="3"/>
  <c r="E197" i="3" s="1"/>
  <c r="AL186" i="3" l="1"/>
  <c r="AF197" i="3"/>
  <c r="AR197" i="3" s="1"/>
  <c r="AD196" i="3"/>
  <c r="AK196" i="3" s="1"/>
  <c r="B187" i="3"/>
  <c r="E198" i="3"/>
  <c r="E199" i="3"/>
  <c r="AD198" i="3" l="1"/>
  <c r="AR198" i="3" s="1"/>
  <c r="AN196" i="3"/>
  <c r="AR196" i="3"/>
  <c r="AF199" i="3"/>
  <c r="AR199" i="3" s="1"/>
  <c r="B188" i="3"/>
  <c r="E200" i="3"/>
  <c r="B189" i="3"/>
  <c r="AN198" i="3" l="1"/>
  <c r="AL188" i="3"/>
  <c r="AK198" i="3"/>
  <c r="AD200" i="3"/>
  <c r="AN200" i="3" s="1"/>
  <c r="B190" i="3"/>
  <c r="E201" i="3"/>
  <c r="B191" i="3"/>
  <c r="E202" i="3"/>
  <c r="AF201" i="3" l="1"/>
  <c r="AR201" i="3" s="1"/>
  <c r="AL190" i="3"/>
  <c r="AK200" i="3"/>
  <c r="AR200" i="3"/>
  <c r="AD202" i="3"/>
  <c r="B192" i="3"/>
  <c r="E203" i="3"/>
  <c r="AL192" i="3" l="1"/>
  <c r="AF203" i="3"/>
  <c r="AR202" i="3"/>
  <c r="AN202" i="3"/>
  <c r="AK202" i="3"/>
  <c r="B193" i="3"/>
  <c r="B194" i="3" s="1"/>
  <c r="E204" i="3"/>
  <c r="B195" i="3"/>
  <c r="AL194" i="3" l="1"/>
  <c r="AD204" i="3"/>
  <c r="AR203" i="3"/>
  <c r="B196" i="3"/>
  <c r="E205" i="3"/>
  <c r="B197" i="3"/>
  <c r="B198" i="3" s="1"/>
  <c r="B199" i="3"/>
  <c r="B200" i="3" s="1"/>
  <c r="AL200" i="3" l="1"/>
  <c r="AL198" i="3"/>
  <c r="AL196" i="3"/>
  <c r="AF205" i="3"/>
  <c r="AR205" i="3" s="1"/>
  <c r="AN204" i="3"/>
  <c r="AK204" i="3"/>
  <c r="AR204" i="3"/>
  <c r="B201" i="3"/>
  <c r="B202" i="3" s="1"/>
  <c r="B203" i="3"/>
  <c r="E206" i="3"/>
  <c r="AL202" i="3" l="1"/>
  <c r="AD206" i="3"/>
  <c r="AR206" i="3" s="1"/>
  <c r="B204" i="3"/>
  <c r="E207" i="3"/>
  <c r="B205" i="3"/>
  <c r="AL204" i="3" l="1"/>
  <c r="AF207" i="3"/>
  <c r="AR207" i="3" s="1"/>
  <c r="AK206" i="3"/>
  <c r="AN206" i="3"/>
  <c r="B206" i="3"/>
  <c r="B207" i="3"/>
  <c r="E208" i="3"/>
  <c r="AL206" i="3" l="1"/>
  <c r="AF208" i="3"/>
  <c r="AR208" i="3" s="1"/>
  <c r="B208" i="3"/>
  <c r="E209" i="3"/>
  <c r="E210" i="3"/>
  <c r="AD209" i="3" l="1"/>
  <c r="AK209" i="3" s="1"/>
  <c r="AF210" i="3"/>
  <c r="E211" i="3"/>
  <c r="AR209" i="3" l="1"/>
  <c r="AN209" i="3"/>
  <c r="AD211" i="3"/>
  <c r="AR210" i="3"/>
  <c r="E212" i="3"/>
  <c r="AF212" i="3" l="1"/>
  <c r="AR211" i="3"/>
  <c r="AK211" i="3"/>
  <c r="AN211" i="3"/>
  <c r="E213" i="3"/>
  <c r="AF213" i="3" l="1"/>
  <c r="AR212" i="3"/>
  <c r="E214" i="3"/>
  <c r="AF214" i="3" l="1"/>
  <c r="AR213" i="3"/>
  <c r="E215" i="3"/>
  <c r="AF215" i="3" l="1"/>
  <c r="AR214" i="3"/>
  <c r="E216" i="3"/>
  <c r="AF216" i="3" l="1"/>
  <c r="AR215" i="3"/>
  <c r="E217" i="3"/>
  <c r="AD217" i="3" l="1"/>
  <c r="AN217" i="3" s="1"/>
  <c r="AR216" i="3"/>
  <c r="E218" i="3"/>
  <c r="AF218" i="3" l="1"/>
  <c r="AR218" i="3" s="1"/>
  <c r="AR217" i="3"/>
  <c r="AK217" i="3"/>
  <c r="E219" i="3"/>
  <c r="AF219" i="3" l="1"/>
  <c r="AR219" i="3" s="1"/>
  <c r="E220" i="3"/>
  <c r="E221" i="3"/>
  <c r="AF220" i="3" l="1"/>
  <c r="AR220" i="3" s="1"/>
  <c r="AD221" i="3"/>
  <c r="E222" i="3"/>
  <c r="AF222" i="3" l="1"/>
  <c r="AN221" i="3"/>
  <c r="AR221" i="3"/>
  <c r="AK221" i="3"/>
  <c r="E223" i="3"/>
  <c r="AF223" i="3" l="1"/>
  <c r="AR223" i="3" s="1"/>
  <c r="AR222" i="3"/>
  <c r="E224" i="3"/>
  <c r="E225" i="3"/>
  <c r="AF224" i="3" l="1"/>
  <c r="AR224" i="3" s="1"/>
  <c r="AF225" i="3"/>
  <c r="AR225" i="3" s="1"/>
  <c r="E226" i="3"/>
  <c r="AF226" i="3" l="1"/>
  <c r="AR226" i="3" s="1"/>
  <c r="E227" i="3"/>
  <c r="AD227" i="3" l="1"/>
  <c r="E228" i="3"/>
  <c r="AF228" i="3" l="1"/>
  <c r="AR228" i="3" s="1"/>
  <c r="AN227" i="3"/>
  <c r="AK227" i="3"/>
  <c r="AR227" i="3"/>
  <c r="E229" i="3"/>
  <c r="AF229" i="3" l="1"/>
  <c r="AR229" i="3" s="1"/>
  <c r="E230" i="3"/>
  <c r="E231" i="3"/>
  <c r="AF230" i="3" l="1"/>
  <c r="AR230" i="3" s="1"/>
  <c r="AF231" i="3"/>
  <c r="AR231" i="3" s="1"/>
  <c r="E232" i="3"/>
  <c r="AF232" i="3" l="1"/>
  <c r="AR232" i="3" s="1"/>
  <c r="E233" i="3"/>
  <c r="E234" i="3"/>
  <c r="AF234" i="3" l="1"/>
  <c r="AR234" i="3" s="1"/>
  <c r="AF233" i="3"/>
  <c r="AR233" i="3" s="1"/>
  <c r="E235" i="3"/>
  <c r="AF235" i="3" l="1"/>
  <c r="AR235" i="3" s="1"/>
  <c r="E236" i="3"/>
  <c r="AD236" i="3" l="1"/>
  <c r="E237" i="3"/>
  <c r="AF237" i="3" l="1"/>
  <c r="AR237" i="3" s="1"/>
  <c r="AN236" i="3"/>
  <c r="AR236" i="3"/>
  <c r="AK236" i="3"/>
  <c r="E238" i="3"/>
  <c r="AF238" i="3" l="1"/>
  <c r="AR238" i="3" s="1"/>
  <c r="E239" i="3"/>
  <c r="AF239" i="3" l="1"/>
  <c r="AR239" i="3" s="1"/>
  <c r="E240" i="3"/>
  <c r="E241" i="3"/>
  <c r="AF240" i="3" l="1"/>
  <c r="AR240" i="3" s="1"/>
  <c r="AD241" i="3"/>
  <c r="AR241" i="3" s="1"/>
  <c r="E242" i="3"/>
  <c r="E243" i="3"/>
  <c r="AF242" i="3" l="1"/>
  <c r="AR242" i="3" s="1"/>
  <c r="AK241" i="3"/>
  <c r="AN241" i="3"/>
  <c r="AF243" i="3"/>
  <c r="AR243" i="3" s="1"/>
  <c r="E244" i="3"/>
  <c r="AD244" i="3" l="1"/>
  <c r="AR244" i="3" s="1"/>
  <c r="E245" i="3"/>
  <c r="E246" i="3"/>
  <c r="AF245" i="3" l="1"/>
  <c r="AR245" i="3" s="1"/>
  <c r="AF246" i="3"/>
  <c r="AR246" i="3" s="1"/>
  <c r="AN244" i="3"/>
  <c r="AK244" i="3"/>
  <c r="E247" i="3"/>
  <c r="AF247" i="3" l="1"/>
  <c r="AR247" i="3" s="1"/>
  <c r="E248" i="3"/>
  <c r="E249" i="3"/>
  <c r="AF248" i="3" l="1"/>
  <c r="AR248" i="3" s="1"/>
  <c r="AF249" i="3"/>
  <c r="E250" i="3"/>
  <c r="AF250" i="3" l="1"/>
  <c r="AR249" i="3"/>
  <c r="E251" i="3"/>
  <c r="AF251" i="3" l="1"/>
  <c r="AR250" i="3"/>
  <c r="E252" i="3"/>
  <c r="AD252" i="3" l="1"/>
  <c r="AR251" i="3"/>
  <c r="E253" i="3"/>
  <c r="AF253" i="3" l="1"/>
  <c r="AK252" i="3"/>
  <c r="AR252" i="3"/>
  <c r="AN252" i="3"/>
  <c r="E254" i="3"/>
  <c r="AF254" i="3" l="1"/>
  <c r="AR253" i="3"/>
  <c r="E255" i="3"/>
  <c r="AF255" i="3" l="1"/>
  <c r="AR254" i="3"/>
  <c r="E256" i="3"/>
  <c r="AF256" i="3" l="1"/>
  <c r="AR255" i="3"/>
  <c r="E257" i="3"/>
  <c r="AF257" i="3" l="1"/>
  <c r="AR256" i="3"/>
  <c r="E258" i="3"/>
  <c r="AF258" i="3" l="1"/>
  <c r="AR258" i="3" s="1"/>
  <c r="AR257" i="3"/>
  <c r="E259" i="3"/>
  <c r="E260" i="3"/>
  <c r="AF259" i="3" l="1"/>
  <c r="AR259" i="3" s="1"/>
  <c r="AD260" i="3"/>
  <c r="AN260" i="3" s="1"/>
  <c r="E261" i="3"/>
  <c r="AF261" i="3" l="1"/>
  <c r="AR261" i="3" s="1"/>
  <c r="AK260" i="3"/>
  <c r="AR260" i="3"/>
  <c r="E262" i="3"/>
  <c r="AD262" i="3" l="1"/>
  <c r="AR262" i="3" s="1"/>
  <c r="E263" i="3"/>
  <c r="E264" i="3"/>
  <c r="AF263" i="3" l="1"/>
  <c r="AR263" i="3" s="1"/>
  <c r="AN262" i="3"/>
  <c r="AK262" i="3"/>
  <c r="AD264" i="3"/>
  <c r="AR264" i="3" s="1"/>
  <c r="E265" i="3"/>
  <c r="AF265" i="3" l="1"/>
  <c r="AR265" i="3" s="1"/>
  <c r="AK264" i="3"/>
  <c r="AN264" i="3"/>
  <c r="E266" i="3"/>
  <c r="AD266" i="3" l="1"/>
  <c r="AN266" i="3" s="1"/>
  <c r="E267" i="3"/>
  <c r="E268" i="3"/>
  <c r="AF267" i="3" l="1"/>
  <c r="AR267" i="3" s="1"/>
  <c r="AK266" i="3"/>
  <c r="AR266" i="3"/>
  <c r="AD268" i="3"/>
  <c r="AR268" i="3" s="1"/>
  <c r="E269" i="3"/>
  <c r="AF269" i="3" l="1"/>
  <c r="AR269" i="3" s="1"/>
  <c r="AN268" i="3"/>
  <c r="AK268" i="3"/>
  <c r="E270" i="3"/>
  <c r="AD270" i="3" l="1"/>
  <c r="AR270" i="3" s="1"/>
  <c r="E271" i="3"/>
  <c r="E272" i="3"/>
  <c r="AF271" i="3" l="1"/>
  <c r="AR271" i="3" s="1"/>
  <c r="AK270" i="3"/>
  <c r="AN270" i="3"/>
  <c r="AD272" i="3"/>
  <c r="E273" i="3"/>
  <c r="AF273" i="3" l="1"/>
  <c r="AR272" i="3"/>
  <c r="AN272" i="3"/>
  <c r="AK272" i="3"/>
  <c r="E274" i="3"/>
  <c r="AD274" i="3" l="1"/>
  <c r="AR273" i="3"/>
  <c r="E275" i="3"/>
  <c r="AF275" i="3" l="1"/>
  <c r="AR274" i="3"/>
  <c r="AK274" i="3"/>
  <c r="AN274" i="3"/>
  <c r="E276" i="3"/>
  <c r="AD276" i="3" l="1"/>
  <c r="AR275" i="3"/>
  <c r="E277" i="3"/>
  <c r="AF277" i="3" l="1"/>
  <c r="AR276" i="3"/>
  <c r="AN276" i="3"/>
  <c r="AK276" i="3"/>
  <c r="E278" i="3"/>
  <c r="AD278" i="3" l="1"/>
  <c r="AR277" i="3"/>
  <c r="E279" i="3"/>
  <c r="AF279" i="3" l="1"/>
  <c r="AK278" i="3"/>
  <c r="AR278" i="3"/>
  <c r="AN278" i="3"/>
  <c r="E280" i="3"/>
  <c r="AD280" i="3" l="1"/>
  <c r="AR279" i="3"/>
  <c r="E281" i="3"/>
  <c r="AF281" i="3" l="1"/>
  <c r="AR280" i="3"/>
  <c r="AK280" i="3"/>
  <c r="AN280" i="3"/>
  <c r="E282" i="3"/>
  <c r="AD282" i="3" l="1"/>
  <c r="AR281" i="3"/>
  <c r="E283" i="3"/>
  <c r="AF283" i="3" l="1"/>
  <c r="AN282" i="3"/>
  <c r="AR282" i="3"/>
  <c r="AK282" i="3"/>
  <c r="E284" i="3"/>
  <c r="AD284" i="3" l="1"/>
  <c r="AR283" i="3"/>
  <c r="E285" i="3"/>
  <c r="AF285" i="3" l="1"/>
  <c r="AK284" i="3"/>
  <c r="AN284" i="3"/>
  <c r="AR284" i="3"/>
  <c r="E286" i="3"/>
  <c r="AF286" i="3" l="1"/>
  <c r="AR285" i="3"/>
  <c r="E287" i="3"/>
  <c r="AD287" i="3" l="1"/>
  <c r="AR286" i="3"/>
  <c r="E288" i="3"/>
  <c r="AF288" i="3" l="1"/>
  <c r="AK287" i="3"/>
  <c r="AN287" i="3"/>
  <c r="AR287" i="3"/>
  <c r="E289" i="3"/>
  <c r="AF289" i="3" l="1"/>
  <c r="AR288" i="3"/>
  <c r="E290" i="3"/>
  <c r="AD290" i="3" l="1"/>
  <c r="AR289" i="3"/>
  <c r="E291" i="3"/>
  <c r="AF291" i="3" l="1"/>
  <c r="AK290" i="3"/>
  <c r="AN290" i="3"/>
  <c r="AR290" i="3"/>
  <c r="E292" i="3"/>
  <c r="AF292" i="3" l="1"/>
  <c r="AR291" i="3"/>
  <c r="E293" i="3"/>
  <c r="AD293" i="3" l="1"/>
  <c r="AR292" i="3"/>
  <c r="E294" i="3"/>
  <c r="AF294" i="3" l="1"/>
  <c r="AK293" i="3"/>
  <c r="AN293" i="3"/>
  <c r="AR293" i="3"/>
  <c r="E295" i="3"/>
  <c r="AF295" i="3" l="1"/>
  <c r="AR294" i="3"/>
  <c r="E296" i="3"/>
  <c r="AD296" i="3" l="1"/>
  <c r="AR295" i="3"/>
  <c r="E297" i="3"/>
  <c r="AF297" i="3" l="1"/>
  <c r="AK296" i="3"/>
  <c r="AR296" i="3"/>
  <c r="AN296" i="3"/>
  <c r="E298" i="3"/>
  <c r="AF298" i="3" l="1"/>
  <c r="AR298" i="3" s="1"/>
  <c r="AR297" i="3"/>
  <c r="E299" i="3"/>
  <c r="E300" i="3"/>
  <c r="AD299" i="3" l="1"/>
  <c r="AK299" i="3" s="1"/>
  <c r="AF300" i="3"/>
  <c r="AR300" i="3" s="1"/>
  <c r="E301" i="3"/>
  <c r="AD301" i="3" l="1"/>
  <c r="AN301" i="3" s="1"/>
  <c r="AR299" i="3"/>
  <c r="AN299" i="3"/>
  <c r="E302" i="3"/>
  <c r="AR301" i="3" l="1"/>
  <c r="AF302" i="3"/>
  <c r="AR302" i="3" s="1"/>
  <c r="AK301" i="3"/>
  <c r="E303" i="3"/>
  <c r="AD303" i="3" l="1"/>
  <c r="E304" i="3"/>
  <c r="AF304" i="3" l="1"/>
  <c r="AR304" i="3" s="1"/>
  <c r="AR303" i="3"/>
  <c r="AK303" i="3"/>
  <c r="AN303" i="3"/>
  <c r="E305" i="3"/>
  <c r="AD305" i="3" l="1"/>
  <c r="E306" i="3"/>
  <c r="AF306" i="3" l="1"/>
  <c r="AR306" i="3" s="1"/>
  <c r="AK305" i="3"/>
  <c r="AR305" i="3"/>
  <c r="AN305" i="3"/>
  <c r="E307" i="3"/>
  <c r="AD307" i="3" l="1"/>
  <c r="AN307" i="3" s="1"/>
  <c r="E308" i="3"/>
  <c r="AF308" i="3" l="1"/>
  <c r="AR308" i="3" s="1"/>
  <c r="AR307" i="3"/>
  <c r="AK307" i="3"/>
  <c r="E309" i="3"/>
  <c r="AD309" i="3" l="1"/>
  <c r="AR309" i="3" s="1"/>
  <c r="E310" i="3"/>
  <c r="E311" i="3"/>
  <c r="E312" i="3" s="1"/>
  <c r="AF310" i="3" l="1"/>
  <c r="AR310" i="3" s="1"/>
  <c r="AK309" i="3"/>
  <c r="AN309" i="3"/>
  <c r="AF311" i="3"/>
  <c r="AR311" i="3" s="1"/>
  <c r="AD312" i="3"/>
  <c r="AN312" i="3" s="1"/>
  <c r="X97" i="4"/>
  <c r="X77" i="4"/>
  <c r="X75" i="4"/>
  <c r="X74" i="4"/>
  <c r="X96" i="4"/>
  <c r="X106" i="4"/>
  <c r="X90" i="4"/>
  <c r="X93" i="4"/>
  <c r="X91" i="4"/>
  <c r="X85" i="4"/>
  <c r="X104" i="4"/>
  <c r="X79" i="4"/>
  <c r="X94" i="4"/>
  <c r="X84" i="4"/>
  <c r="X80" i="4"/>
  <c r="X86" i="4"/>
  <c r="X81" i="4"/>
  <c r="X105" i="4"/>
  <c r="X88" i="4"/>
  <c r="X101" i="4"/>
  <c r="X83" i="4"/>
  <c r="X102" i="4"/>
  <c r="X82" i="4"/>
  <c r="X95" i="4"/>
  <c r="X76" i="4"/>
  <c r="X87" i="4"/>
  <c r="X99" i="4"/>
  <c r="X98" i="4"/>
  <c r="X100" i="4"/>
  <c r="X78" i="4"/>
  <c r="X89" i="4"/>
  <c r="X103" i="4"/>
  <c r="X92" i="4"/>
  <c r="X60" i="4"/>
  <c r="X61" i="4"/>
  <c r="X62" i="4"/>
  <c r="X63" i="4"/>
  <c r="X64" i="4"/>
  <c r="X65" i="4"/>
  <c r="X66" i="4"/>
  <c r="X67" i="4"/>
  <c r="X68" i="4"/>
  <c r="X69" i="4"/>
  <c r="X70" i="4"/>
  <c r="X71" i="4"/>
  <c r="X72" i="4"/>
  <c r="X73" i="4"/>
  <c r="G48" i="4"/>
  <c r="BG48" i="4" s="1"/>
  <c r="G83" i="4"/>
  <c r="BG83" i="4" s="1"/>
  <c r="G100" i="4"/>
  <c r="BG100" i="4" s="1"/>
  <c r="G66" i="4"/>
  <c r="BG66" i="4" s="1"/>
  <c r="G93" i="4"/>
  <c r="BG93" i="4" s="1"/>
  <c r="G75" i="4"/>
  <c r="BG75" i="4" s="1"/>
  <c r="G72" i="4"/>
  <c r="BG72" i="4" s="1"/>
  <c r="G74" i="4"/>
  <c r="BG74" i="4" s="1"/>
  <c r="G56" i="4"/>
  <c r="BG56" i="4" s="1"/>
  <c r="G95" i="4"/>
  <c r="BG95" i="4" s="1"/>
  <c r="G89" i="4"/>
  <c r="BG89" i="4" s="1"/>
  <c r="G92" i="4"/>
  <c r="BG92" i="4" s="1"/>
  <c r="G47" i="4"/>
  <c r="BG47" i="4" s="1"/>
  <c r="G78" i="4"/>
  <c r="BG78" i="4" s="1"/>
  <c r="G97" i="4"/>
  <c r="BG97" i="4" s="1"/>
  <c r="G67" i="4"/>
  <c r="BG67" i="4" s="1"/>
  <c r="G96" i="4"/>
  <c r="BG96" i="4" s="1"/>
  <c r="G77" i="4"/>
  <c r="BG77" i="4" s="1"/>
  <c r="G55" i="4"/>
  <c r="BG55" i="4" s="1"/>
  <c r="G80" i="4"/>
  <c r="BG80" i="4" s="1"/>
  <c r="G52" i="4"/>
  <c r="BG52" i="4" s="1"/>
  <c r="G54" i="4"/>
  <c r="BG54" i="4" s="1"/>
  <c r="G81" i="4"/>
  <c r="BG81" i="4" s="1"/>
  <c r="G101" i="4"/>
  <c r="BG101" i="4" s="1"/>
  <c r="G58" i="4"/>
  <c r="BG58" i="4" s="1"/>
  <c r="G86" i="4"/>
  <c r="BG86" i="4" s="1"/>
  <c r="G59" i="4"/>
  <c r="BG59" i="4" s="1"/>
  <c r="G82" i="4"/>
  <c r="BG82" i="4" s="1"/>
  <c r="G88" i="4"/>
  <c r="BG88" i="4" s="1"/>
  <c r="G50" i="4"/>
  <c r="BG50" i="4" s="1"/>
  <c r="G98" i="4"/>
  <c r="BG98" i="4" s="1"/>
  <c r="G73" i="4"/>
  <c r="BG73" i="4" s="1"/>
  <c r="G63" i="4"/>
  <c r="BG63" i="4" s="1"/>
  <c r="G65" i="4"/>
  <c r="BG65" i="4" s="1"/>
  <c r="G60" i="4"/>
  <c r="BG60" i="4" s="1"/>
  <c r="G70" i="4"/>
  <c r="BG70" i="4" s="1"/>
  <c r="G61" i="4"/>
  <c r="BG61" i="4" s="1"/>
  <c r="G84" i="4"/>
  <c r="BG84" i="4" s="1"/>
  <c r="G57" i="4"/>
  <c r="BG57" i="4" s="1"/>
  <c r="G64" i="4"/>
  <c r="BG64" i="4" s="1"/>
  <c r="G53" i="4"/>
  <c r="BG53" i="4" s="1"/>
  <c r="G79" i="4"/>
  <c r="BG79" i="4" s="1"/>
  <c r="G91" i="4"/>
  <c r="BG91" i="4" s="1"/>
  <c r="G94" i="4"/>
  <c r="BG94" i="4" s="1"/>
  <c r="G99" i="4"/>
  <c r="BG99" i="4" s="1"/>
  <c r="G85" i="4"/>
  <c r="BG85" i="4" s="1"/>
  <c r="G71" i="4"/>
  <c r="BG71" i="4" s="1"/>
  <c r="G51" i="4"/>
  <c r="BG51" i="4" s="1"/>
  <c r="G68" i="4"/>
  <c r="BG68" i="4" s="1"/>
  <c r="G62" i="4"/>
  <c r="BG62" i="4" s="1"/>
  <c r="G69" i="4"/>
  <c r="BG69" i="4" s="1"/>
  <c r="G76" i="4"/>
  <c r="BG76" i="4" s="1"/>
  <c r="G90" i="4"/>
  <c r="BG90" i="4" s="1"/>
  <c r="G49" i="4"/>
  <c r="BG49" i="4" s="1"/>
  <c r="G87" i="4"/>
  <c r="BG87" i="4" s="1"/>
  <c r="G103" i="4"/>
  <c r="BG103" i="4" s="1"/>
  <c r="G102" i="4"/>
  <c r="BG102" i="4" s="1"/>
  <c r="G105" i="4"/>
  <c r="BG105" i="4" s="1"/>
  <c r="G104" i="4"/>
  <c r="BG104" i="4" s="1"/>
  <c r="E313" i="3"/>
  <c r="E314" i="3" s="1"/>
  <c r="G106" i="4" l="1"/>
  <c r="BG106" i="4" s="1"/>
  <c r="AF313" i="3"/>
  <c r="AR313" i="3" s="1"/>
  <c r="AR312" i="3"/>
  <c r="AK312" i="3"/>
  <c r="AF314" i="3"/>
  <c r="AR314" i="3" s="1"/>
  <c r="H88" i="4" a="1"/>
  <c r="H88" i="4" s="1"/>
  <c r="L52" i="4" a="1"/>
  <c r="L52" i="4" s="1"/>
  <c r="V85" i="4" a="1"/>
  <c r="V85" i="4" s="1"/>
  <c r="R102" i="4" a="1"/>
  <c r="R102" i="4" s="1"/>
  <c r="P73" i="4" a="1"/>
  <c r="P73" i="4" s="1"/>
  <c r="W103" i="4" a="1"/>
  <c r="W103" i="4" s="1"/>
  <c r="R78" i="4" a="1"/>
  <c r="R78" i="4" s="1"/>
  <c r="U49" i="4" a="1"/>
  <c r="U49" i="4" s="1"/>
  <c r="S83" i="4" a="1"/>
  <c r="S83" i="4" s="1"/>
  <c r="I63" i="4" a="1"/>
  <c r="I63" i="4" s="1"/>
  <c r="V57" i="4" a="1"/>
  <c r="V57" i="4" s="1"/>
  <c r="I66" i="4" a="1"/>
  <c r="I66" i="4" s="1"/>
  <c r="V86" i="4" a="1"/>
  <c r="V86" i="4" s="1"/>
  <c r="V97" i="4" a="1"/>
  <c r="V97" i="4" s="1"/>
  <c r="U91" i="4" a="1"/>
  <c r="U91" i="4" s="1"/>
  <c r="R57" i="4" a="1"/>
  <c r="R57" i="4" s="1"/>
  <c r="H106" i="4" a="1"/>
  <c r="H106" i="4" s="1"/>
  <c r="J78" i="4" a="1"/>
  <c r="J78" i="4" s="1"/>
  <c r="V59" i="4" a="1"/>
  <c r="V59" i="4" s="1"/>
  <c r="Q58" i="4" a="1"/>
  <c r="Q58" i="4" s="1"/>
  <c r="U99" i="4" a="1"/>
  <c r="U99" i="4" s="1"/>
  <c r="U71" i="4" a="1"/>
  <c r="U71" i="4" s="1"/>
  <c r="S69" i="4" a="1"/>
  <c r="S69" i="4" s="1"/>
  <c r="T66" i="4" a="1"/>
  <c r="T66" i="4" s="1"/>
  <c r="U102" i="4" a="1"/>
  <c r="U102" i="4" s="1"/>
  <c r="I103" i="4" a="1"/>
  <c r="I103" i="4" s="1"/>
  <c r="M92" i="4" a="1"/>
  <c r="M92" i="4" s="1"/>
  <c r="T54" i="4" a="1"/>
  <c r="T54" i="4" s="1"/>
  <c r="Q60" i="4" a="1"/>
  <c r="Q60" i="4" s="1"/>
  <c r="I59" i="4" a="1"/>
  <c r="I59" i="4" s="1"/>
  <c r="W96" i="4" a="1"/>
  <c r="W96" i="4" s="1"/>
  <c r="R55" i="4" a="1"/>
  <c r="R55" i="4" s="1"/>
  <c r="R58" i="4" a="1"/>
  <c r="R58" i="4" s="1"/>
  <c r="O94" i="4" a="1"/>
  <c r="O94" i="4" s="1"/>
  <c r="N48" i="4" a="1"/>
  <c r="N48" i="4" s="1"/>
  <c r="K87" i="4" a="1"/>
  <c r="K87" i="4" s="1"/>
  <c r="I77" i="4" a="1"/>
  <c r="I77" i="4" s="1"/>
  <c r="I50" i="4" a="1"/>
  <c r="I50" i="4" s="1"/>
  <c r="P87" i="4" a="1"/>
  <c r="P87" i="4" s="1"/>
  <c r="U73" i="4" a="1"/>
  <c r="U73" i="4" s="1"/>
  <c r="J104" i="4" a="1"/>
  <c r="J104" i="4" s="1"/>
  <c r="N86" i="4" a="1"/>
  <c r="N86" i="4" s="1"/>
  <c r="Q50" i="4" a="1"/>
  <c r="Q50" i="4" s="1"/>
  <c r="N61" i="4" a="1"/>
  <c r="N61" i="4" s="1"/>
  <c r="J87" i="4" a="1"/>
  <c r="J87" i="4" s="1"/>
  <c r="O46" i="4" a="1"/>
  <c r="O46" i="4" s="1"/>
  <c r="R86" i="4" a="1"/>
  <c r="R86" i="4" s="1"/>
  <c r="S106" i="4" a="1"/>
  <c r="S106" i="4" s="1"/>
  <c r="U70" i="4" a="1"/>
  <c r="U70" i="4" s="1"/>
  <c r="S105" i="4" a="1"/>
  <c r="S105" i="4" s="1"/>
  <c r="Q53" i="4" a="1"/>
  <c r="Q53" i="4" s="1"/>
  <c r="T70" i="4" a="1"/>
  <c r="T70" i="4" s="1"/>
  <c r="I79" i="4" a="1"/>
  <c r="I79" i="4" s="1"/>
  <c r="L83" i="4" a="1"/>
  <c r="L83" i="4" s="1"/>
  <c r="O90" i="4" a="1"/>
  <c r="O90" i="4" s="1"/>
  <c r="R91" i="4" a="1"/>
  <c r="R91" i="4" s="1"/>
  <c r="J82" i="4" a="1"/>
  <c r="J82" i="4" s="1"/>
  <c r="V64" i="4" a="1"/>
  <c r="V64" i="4" s="1"/>
  <c r="W46" i="4" a="1"/>
  <c r="W46" i="4" s="1"/>
  <c r="P56" i="4" a="1"/>
  <c r="P56" i="4" s="1"/>
  <c r="O57" i="4" a="1"/>
  <c r="O57" i="4" s="1"/>
  <c r="Q105" i="4" a="1"/>
  <c r="Q105" i="4" s="1"/>
  <c r="V100" i="4" a="1"/>
  <c r="V100" i="4" s="1"/>
  <c r="N101" i="4" a="1"/>
  <c r="N101" i="4" s="1"/>
  <c r="L46" i="4" a="1"/>
  <c r="L46" i="4" s="1"/>
  <c r="I68" i="4" a="1"/>
  <c r="I68" i="4" s="1"/>
  <c r="K72" i="4" a="1"/>
  <c r="K72" i="4" s="1"/>
  <c r="W91" i="4" a="1"/>
  <c r="W91" i="4" s="1"/>
  <c r="V96" i="4" a="1"/>
  <c r="V96" i="4" s="1"/>
  <c r="O97" i="4" a="1"/>
  <c r="O97" i="4" s="1"/>
  <c r="T60" i="4" a="1"/>
  <c r="T60" i="4" s="1"/>
  <c r="I91" i="4" a="1"/>
  <c r="I91" i="4" s="1"/>
  <c r="L51" i="4" a="1"/>
  <c r="L51" i="4" s="1"/>
  <c r="V102" i="4" a="1"/>
  <c r="V102" i="4" s="1"/>
  <c r="S92" i="4" a="1"/>
  <c r="S92" i="4" s="1"/>
  <c r="I76" i="4" a="1"/>
  <c r="I76" i="4" s="1"/>
  <c r="R90" i="4" a="1"/>
  <c r="R90" i="4" s="1"/>
  <c r="K85" i="4" a="1"/>
  <c r="K85" i="4" s="1"/>
  <c r="I89" i="4" a="1"/>
  <c r="I89" i="4" s="1"/>
  <c r="R49" i="4" a="1"/>
  <c r="R49" i="4" s="1"/>
  <c r="Q62" i="4" a="1"/>
  <c r="Q62" i="4" s="1"/>
  <c r="N77" i="4" a="1"/>
  <c r="N77" i="4" s="1"/>
  <c r="W77" i="4" a="1"/>
  <c r="W77" i="4" s="1"/>
  <c r="S81" i="4" a="1"/>
  <c r="S81" i="4" s="1"/>
  <c r="R47" i="4" a="1"/>
  <c r="R47" i="4" s="1"/>
  <c r="W83" i="4" a="1"/>
  <c r="W83" i="4" s="1"/>
  <c r="R105" i="4" a="1"/>
  <c r="R105" i="4" s="1"/>
  <c r="L92" i="4" a="1"/>
  <c r="L92" i="4" s="1"/>
  <c r="Q56" i="4" a="1"/>
  <c r="Q56" i="4" s="1"/>
  <c r="L95" i="4" a="1"/>
  <c r="L95" i="4" s="1"/>
  <c r="K78" i="4" a="1"/>
  <c r="K78" i="4" s="1"/>
  <c r="M81" i="4" a="1"/>
  <c r="M81" i="4" s="1"/>
  <c r="P52" i="4" a="1"/>
  <c r="P52" i="4" s="1"/>
  <c r="S53" i="4" a="1"/>
  <c r="S53" i="4" s="1"/>
  <c r="T102" i="4" a="1"/>
  <c r="T102" i="4" s="1"/>
  <c r="N57" i="4" a="1"/>
  <c r="N57" i="4" s="1"/>
  <c r="S104" i="4" a="1"/>
  <c r="S104" i="4" s="1"/>
  <c r="O53" i="4" a="1"/>
  <c r="O53" i="4" s="1"/>
  <c r="L89" i="4" a="1"/>
  <c r="L89" i="4" s="1"/>
  <c r="V92" i="4" a="1"/>
  <c r="V92" i="4" s="1"/>
  <c r="T106" i="4" a="1"/>
  <c r="T106" i="4" s="1"/>
  <c r="T55" i="4" a="1"/>
  <c r="T55" i="4" s="1"/>
  <c r="L56" i="4" a="1"/>
  <c r="L56" i="4" s="1"/>
  <c r="P93" i="4" a="1"/>
  <c r="P93" i="4" s="1"/>
  <c r="T88" i="4" a="1"/>
  <c r="T88" i="4" s="1"/>
  <c r="K90" i="4" a="1"/>
  <c r="K90" i="4" s="1"/>
  <c r="R89" i="4" a="1"/>
  <c r="R89" i="4" s="1"/>
  <c r="M46" i="4" a="1"/>
  <c r="M46" i="4" s="1"/>
  <c r="J71" i="4" a="1"/>
  <c r="J71" i="4" s="1"/>
  <c r="O56" i="4" a="1"/>
  <c r="O56" i="4" s="1"/>
  <c r="M91" i="4" a="1"/>
  <c r="M91" i="4" s="1"/>
  <c r="W47" i="4" a="1"/>
  <c r="W47" i="4" s="1"/>
  <c r="R54" i="4" a="1"/>
  <c r="R54" i="4" s="1"/>
  <c r="M69" i="4" a="1"/>
  <c r="M69" i="4" s="1"/>
  <c r="P101" i="4" a="1"/>
  <c r="P101" i="4" s="1"/>
  <c r="Q66" i="4" a="1"/>
  <c r="Q66" i="4" s="1"/>
  <c r="Q47" i="4" a="1"/>
  <c r="Q47" i="4" s="1"/>
  <c r="M87" i="4" a="1"/>
  <c r="M87" i="4" s="1"/>
  <c r="S98" i="4" a="1"/>
  <c r="S98" i="4" s="1"/>
  <c r="V54" i="4" a="1"/>
  <c r="V54" i="4" s="1"/>
  <c r="T92" i="4" a="1"/>
  <c r="T92" i="4" s="1"/>
  <c r="P60" i="4" a="1"/>
  <c r="P60" i="4" s="1"/>
  <c r="T99" i="4" a="1"/>
  <c r="T99" i="4" s="1"/>
  <c r="M84" i="4" a="1"/>
  <c r="M84" i="4" s="1"/>
  <c r="L63" i="4" a="1"/>
  <c r="L63" i="4" s="1"/>
  <c r="J81" i="4" a="1"/>
  <c r="J81" i="4" s="1"/>
  <c r="O74" i="4" a="1"/>
  <c r="O74" i="4" s="1"/>
  <c r="M78" i="4" a="1"/>
  <c r="M78" i="4" s="1"/>
  <c r="I82" i="4" a="1"/>
  <c r="I82" i="4" s="1"/>
  <c r="U55" i="4" a="1"/>
  <c r="U55" i="4" s="1"/>
  <c r="K54" i="4" a="1"/>
  <c r="K54" i="4" s="1"/>
  <c r="Q82" i="4" a="1"/>
  <c r="Q82" i="4" s="1"/>
  <c r="H66" i="4" a="1"/>
  <c r="H66" i="4" s="1"/>
  <c r="H85" i="4" a="1"/>
  <c r="H85" i="4" s="1"/>
  <c r="N82" i="4" a="1"/>
  <c r="N82" i="4" s="1"/>
  <c r="M86" i="4" a="1"/>
  <c r="M86" i="4" s="1"/>
  <c r="Q73" i="4" a="1"/>
  <c r="Q73" i="4" s="1"/>
  <c r="J72" i="4" a="1"/>
  <c r="J72" i="4" s="1"/>
  <c r="K96" i="4" a="1"/>
  <c r="K96" i="4" s="1"/>
  <c r="P85" i="4" a="1"/>
  <c r="P85" i="4" s="1"/>
  <c r="U59" i="4" a="1"/>
  <c r="U59" i="4" s="1"/>
  <c r="S103" i="4" a="1"/>
  <c r="S103" i="4" s="1"/>
  <c r="K84" i="4" a="1"/>
  <c r="K84" i="4" s="1"/>
  <c r="N89" i="4" a="1"/>
  <c r="N89" i="4" s="1"/>
  <c r="K92" i="4" a="1"/>
  <c r="K92" i="4" s="1"/>
  <c r="T89" i="4" a="1"/>
  <c r="T89" i="4" s="1"/>
  <c r="K83" i="4" a="1"/>
  <c r="K83" i="4" s="1"/>
  <c r="H48" i="4" a="1"/>
  <c r="H48" i="4" s="1"/>
  <c r="O70" i="4" a="1"/>
  <c r="O70" i="4" s="1"/>
  <c r="U106" i="4" a="1"/>
  <c r="U106" i="4" s="1"/>
  <c r="J58" i="4" a="1"/>
  <c r="J58" i="4" s="1"/>
  <c r="L61" i="4" a="1"/>
  <c r="L61" i="4" s="1"/>
  <c r="S96" i="4" a="1"/>
  <c r="S96" i="4" s="1"/>
  <c r="O104" i="4" a="1"/>
  <c r="O104" i="4" s="1"/>
  <c r="W104" i="4" a="1"/>
  <c r="W104" i="4" s="1"/>
  <c r="R83" i="4" a="1"/>
  <c r="R83" i="4" s="1"/>
  <c r="K59" i="4" a="1"/>
  <c r="K59" i="4" s="1"/>
  <c r="Q87" i="4" a="1"/>
  <c r="Q87" i="4" s="1"/>
  <c r="H72" i="4" a="1"/>
  <c r="H72" i="4" s="1"/>
  <c r="W52" i="4" a="1"/>
  <c r="W52" i="4" s="1"/>
  <c r="I96" i="4" a="1"/>
  <c r="I96" i="4" s="1"/>
  <c r="R97" i="4" a="1"/>
  <c r="R97" i="4" s="1"/>
  <c r="V60" i="4" a="1"/>
  <c r="V60" i="4" s="1"/>
  <c r="M104" i="4" a="1"/>
  <c r="M104" i="4" s="1"/>
  <c r="P78" i="4" a="1"/>
  <c r="P78" i="4" s="1"/>
  <c r="O48" i="4" a="1"/>
  <c r="O48" i="4" s="1"/>
  <c r="T63" i="4" a="1"/>
  <c r="T63" i="4" s="1"/>
  <c r="I86" i="4" a="1"/>
  <c r="I86" i="4" s="1"/>
  <c r="J75" i="4" a="1"/>
  <c r="J75" i="4" s="1"/>
  <c r="T65" i="4" a="1"/>
  <c r="T65" i="4" s="1"/>
  <c r="S97" i="4" a="1"/>
  <c r="S97" i="4" s="1"/>
  <c r="R104" i="4" a="1"/>
  <c r="R104" i="4" s="1"/>
  <c r="K93" i="4" a="1"/>
  <c r="K93" i="4" s="1"/>
  <c r="K100" i="4" a="1"/>
  <c r="K100" i="4" s="1"/>
  <c r="L99" i="4" a="1"/>
  <c r="L99" i="4" s="1"/>
  <c r="O63" i="4" a="1"/>
  <c r="O63" i="4" s="1"/>
  <c r="L53" i="4" a="1"/>
  <c r="L53" i="4" s="1"/>
  <c r="K64" i="4" a="1"/>
  <c r="K64" i="4" s="1"/>
  <c r="H90" i="4" a="1"/>
  <c r="H90" i="4" s="1"/>
  <c r="Q61" i="4" a="1"/>
  <c r="Q61" i="4" s="1"/>
  <c r="P80" i="4" a="1"/>
  <c r="P80" i="4" s="1"/>
  <c r="V78" i="4" a="1"/>
  <c r="V78" i="4" s="1"/>
  <c r="T56" i="4" a="1"/>
  <c r="T56" i="4" s="1"/>
  <c r="P62" i="4" a="1"/>
  <c r="P62" i="4" s="1"/>
  <c r="H78" i="4" a="1"/>
  <c r="H78" i="4" s="1"/>
  <c r="V94" i="4" a="1"/>
  <c r="V94" i="4" s="1"/>
  <c r="W80" i="4" a="1"/>
  <c r="W80" i="4" s="1"/>
  <c r="J47" i="4" a="1"/>
  <c r="J47" i="4" s="1"/>
  <c r="Q91" i="4" a="1"/>
  <c r="Q91" i="4" s="1"/>
  <c r="P49" i="4" a="1"/>
  <c r="P49" i="4" s="1"/>
  <c r="O106" i="4" a="1"/>
  <c r="O106" i="4" s="1"/>
  <c r="J103" i="4" a="1"/>
  <c r="J103" i="4" s="1"/>
  <c r="N51" i="4" a="1"/>
  <c r="N51" i="4" s="1"/>
  <c r="M82" i="4" a="1"/>
  <c r="M82" i="4" s="1"/>
  <c r="W100" i="4" a="1"/>
  <c r="W100" i="4" s="1"/>
  <c r="U63" i="4" a="1"/>
  <c r="U63" i="4" s="1"/>
  <c r="V56" i="4" a="1"/>
  <c r="V56" i="4" s="1"/>
  <c r="N68" i="4" a="1"/>
  <c r="N68" i="4" s="1"/>
  <c r="V104" i="4" a="1"/>
  <c r="V104" i="4" s="1"/>
  <c r="R75" i="4" a="1"/>
  <c r="R75" i="4" s="1"/>
  <c r="R71" i="4" a="1"/>
  <c r="R71" i="4" s="1"/>
  <c r="Q69" i="4" a="1"/>
  <c r="Q69" i="4" s="1"/>
  <c r="V50" i="4" a="1"/>
  <c r="V50" i="4" s="1"/>
  <c r="L74" i="4" a="1"/>
  <c r="L74" i="4" s="1"/>
  <c r="P70" i="4" a="1"/>
  <c r="P70" i="4" s="1"/>
  <c r="U79" i="4" a="1"/>
  <c r="U79" i="4" s="1"/>
  <c r="H80" i="4" a="1"/>
  <c r="H80" i="4" s="1"/>
  <c r="L84" i="4" a="1"/>
  <c r="L84" i="4" s="1"/>
  <c r="H104" i="4" a="1"/>
  <c r="H104" i="4" s="1"/>
  <c r="H57" i="4" a="1"/>
  <c r="H57" i="4" s="1"/>
  <c r="Q55" i="4" a="1"/>
  <c r="Q55" i="4" s="1"/>
  <c r="Q67" i="4" a="1"/>
  <c r="Q67" i="4" s="1"/>
  <c r="P92" i="4" a="1"/>
  <c r="P92" i="4" s="1"/>
  <c r="L48" i="4" a="1"/>
  <c r="L48" i="4" s="1"/>
  <c r="N54" i="4" a="1"/>
  <c r="N54" i="4" s="1"/>
  <c r="T83" i="4" a="1"/>
  <c r="T83" i="4" s="1"/>
  <c r="T47" i="4" a="1"/>
  <c r="T47" i="4" s="1"/>
  <c r="Q104" i="4" a="1"/>
  <c r="Q104" i="4" s="1"/>
  <c r="M74" i="4" a="1"/>
  <c r="M74" i="4" s="1"/>
  <c r="V73" i="4" a="1"/>
  <c r="V73" i="4" s="1"/>
  <c r="Q64" i="4" a="1"/>
  <c r="Q64" i="4" s="1"/>
  <c r="R56" i="4" a="1"/>
  <c r="R56" i="4" s="1"/>
  <c r="J83" i="4" a="1"/>
  <c r="J83" i="4" s="1"/>
  <c r="I64" i="4" a="1"/>
  <c r="I64" i="4" s="1"/>
  <c r="O59" i="4" a="1"/>
  <c r="O59" i="4" s="1"/>
  <c r="L69" i="4" a="1"/>
  <c r="L69" i="4" s="1"/>
  <c r="Q98" i="4" a="1"/>
  <c r="Q98" i="4" s="1"/>
  <c r="P57" i="4" a="1"/>
  <c r="P57" i="4" s="1"/>
  <c r="R100" i="4" a="1"/>
  <c r="R100" i="4" s="1"/>
  <c r="R103" i="4" a="1"/>
  <c r="R103" i="4" s="1"/>
  <c r="W76" i="4" a="1"/>
  <c r="W76" i="4" s="1"/>
  <c r="O105" i="4" a="1"/>
  <c r="O105" i="4" s="1"/>
  <c r="P50" i="4" a="1"/>
  <c r="P50" i="4" s="1"/>
  <c r="M89" i="4" a="1"/>
  <c r="M89" i="4" s="1"/>
  <c r="P90" i="4" a="1"/>
  <c r="P90" i="4" s="1"/>
  <c r="N104" i="4" a="1"/>
  <c r="N104" i="4" s="1"/>
  <c r="S57" i="4" a="1"/>
  <c r="S57" i="4" s="1"/>
  <c r="I69" i="4" a="1"/>
  <c r="I69" i="4" s="1"/>
  <c r="H58" i="4" a="1"/>
  <c r="H58" i="4" s="1"/>
  <c r="W99" i="4" a="1"/>
  <c r="W99" i="4" s="1"/>
  <c r="I58" i="4" a="1"/>
  <c r="I58" i="4" s="1"/>
  <c r="K105" i="4" a="1"/>
  <c r="K105" i="4" s="1"/>
  <c r="Q101" i="4" a="1"/>
  <c r="Q101" i="4" s="1"/>
  <c r="R53" i="4" a="1"/>
  <c r="R53" i="4" s="1"/>
  <c r="K53" i="4" a="1"/>
  <c r="K53" i="4" s="1"/>
  <c r="P74" i="4" a="1"/>
  <c r="P74" i="4" s="1"/>
  <c r="H75" i="4" a="1"/>
  <c r="H75" i="4" s="1"/>
  <c r="Q94" i="4" a="1"/>
  <c r="Q94" i="4" s="1"/>
  <c r="S77" i="4" a="1"/>
  <c r="S77" i="4" s="1"/>
  <c r="I83" i="4" a="1"/>
  <c r="I83" i="4" s="1"/>
  <c r="K60" i="4" a="1"/>
  <c r="K60" i="4" s="1"/>
  <c r="P79" i="4" a="1"/>
  <c r="P79" i="4" s="1"/>
  <c r="J50" i="4" a="1"/>
  <c r="J50" i="4" s="1"/>
  <c r="U54" i="4" a="1"/>
  <c r="U54" i="4" s="1"/>
  <c r="O68" i="4" a="1"/>
  <c r="O68" i="4" s="1"/>
  <c r="W89" i="4" a="1"/>
  <c r="W89" i="4" s="1"/>
  <c r="W87" i="4" a="1"/>
  <c r="W87" i="4" s="1"/>
  <c r="H69" i="4" a="1"/>
  <c r="H69" i="4" s="1"/>
  <c r="S49" i="4" a="1"/>
  <c r="S49" i="4" s="1"/>
  <c r="M70" i="4" a="1"/>
  <c r="M70" i="4" s="1"/>
  <c r="U67" i="4" a="1"/>
  <c r="U67" i="4" s="1"/>
  <c r="W81" i="4" a="1"/>
  <c r="W81" i="4" s="1"/>
  <c r="W62" i="4" a="1"/>
  <c r="W62" i="4" s="1"/>
  <c r="Q76" i="4" a="1"/>
  <c r="Q76" i="4" s="1"/>
  <c r="M72" i="4" a="1"/>
  <c r="M72" i="4" s="1"/>
  <c r="J65" i="4" a="1"/>
  <c r="J65" i="4" s="1"/>
  <c r="I88" i="4" a="1"/>
  <c r="I88" i="4" s="1"/>
  <c r="M65" i="4" a="1"/>
  <c r="M65" i="4" s="1"/>
  <c r="M98" i="4" a="1"/>
  <c r="M98" i="4" s="1"/>
  <c r="L49" i="4" a="1"/>
  <c r="L49" i="4" s="1"/>
  <c r="O65" i="4" a="1"/>
  <c r="O65" i="4" s="1"/>
  <c r="T50" i="4" a="1"/>
  <c r="T50" i="4" s="1"/>
  <c r="S56" i="4" a="1"/>
  <c r="S56" i="4" s="1"/>
  <c r="U101" i="4" a="1"/>
  <c r="U101" i="4" s="1"/>
  <c r="Q96" i="4" a="1"/>
  <c r="Q96" i="4" s="1"/>
  <c r="N95" i="4" a="1"/>
  <c r="N95" i="4" s="1"/>
  <c r="S63" i="4" a="1"/>
  <c r="S63" i="4" s="1"/>
  <c r="V47" i="4" a="1"/>
  <c r="V47" i="4" s="1"/>
  <c r="V93" i="4" a="1"/>
  <c r="V93" i="4" s="1"/>
  <c r="M95" i="4" a="1"/>
  <c r="M95" i="4" s="1"/>
  <c r="W98" i="4" a="1"/>
  <c r="W98" i="4" s="1"/>
  <c r="J54" i="4" a="1"/>
  <c r="J54" i="4" s="1"/>
  <c r="W75" i="4" a="1"/>
  <c r="W75" i="4" s="1"/>
  <c r="I84" i="4" a="1"/>
  <c r="I84" i="4" s="1"/>
  <c r="W95" i="4" a="1"/>
  <c r="W95" i="4" s="1"/>
  <c r="N52" i="4" a="1"/>
  <c r="N52" i="4" s="1"/>
  <c r="O99" i="4" a="1"/>
  <c r="O99" i="4" s="1"/>
  <c r="O52" i="4" a="1"/>
  <c r="O52" i="4" s="1"/>
  <c r="U47" i="4" a="1"/>
  <c r="U47" i="4" s="1"/>
  <c r="V91" i="4" a="1"/>
  <c r="V91" i="4" s="1"/>
  <c r="J55" i="4" a="1"/>
  <c r="J55" i="4" s="1"/>
  <c r="T96" i="4" a="1"/>
  <c r="T96" i="4" s="1"/>
  <c r="L55" i="4" a="1"/>
  <c r="L55" i="4" s="1"/>
  <c r="L88" i="4" a="1"/>
  <c r="L88" i="4" s="1"/>
  <c r="H102" i="4" a="1"/>
  <c r="H102" i="4" s="1"/>
  <c r="L106" i="4" a="1"/>
  <c r="L106" i="4" s="1"/>
  <c r="O61" i="4" a="1"/>
  <c r="O61" i="4" s="1"/>
  <c r="M80" i="4" a="1"/>
  <c r="M80" i="4" s="1"/>
  <c r="W56" i="4" a="1"/>
  <c r="W56" i="4" s="1"/>
  <c r="L93" i="4" a="1"/>
  <c r="L93" i="4" s="1"/>
  <c r="L94" i="4" a="1"/>
  <c r="L94" i="4" s="1"/>
  <c r="W59" i="4" a="1"/>
  <c r="W59" i="4" s="1"/>
  <c r="N92" i="4" a="1"/>
  <c r="N92" i="4" s="1"/>
  <c r="H60" i="4" a="1"/>
  <c r="H60" i="4" s="1"/>
  <c r="S85" i="4" a="1"/>
  <c r="S85" i="4" s="1"/>
  <c r="V52" i="4" a="1"/>
  <c r="V52" i="4" s="1"/>
  <c r="V90" i="4" a="1"/>
  <c r="V90" i="4" s="1"/>
  <c r="O93" i="4" a="1"/>
  <c r="O93" i="4" s="1"/>
  <c r="R101" i="4" a="1"/>
  <c r="R101" i="4" s="1"/>
  <c r="W66" i="4" a="1"/>
  <c r="W66" i="4" s="1"/>
  <c r="U88" i="4" a="1"/>
  <c r="U88" i="4" s="1"/>
  <c r="Q75" i="4" a="1"/>
  <c r="Q75" i="4" s="1"/>
  <c r="P81" i="4" a="1"/>
  <c r="P81" i="4" s="1"/>
  <c r="I47" i="4" a="1"/>
  <c r="I47" i="4" s="1"/>
  <c r="V105" i="4" a="1"/>
  <c r="V105" i="4" s="1"/>
  <c r="N90" i="4" a="1"/>
  <c r="N90" i="4" s="1"/>
  <c r="W79" i="4" a="1"/>
  <c r="W79" i="4" s="1"/>
  <c r="T72" i="4" a="1"/>
  <c r="T72" i="4" s="1"/>
  <c r="I81" i="4" a="1"/>
  <c r="I81" i="4" s="1"/>
  <c r="V65" i="4" a="1"/>
  <c r="V65" i="4" s="1"/>
  <c r="H89" i="4" a="1"/>
  <c r="H89" i="4" s="1"/>
  <c r="V81" i="4" a="1"/>
  <c r="V81" i="4" s="1"/>
  <c r="R46" i="4" a="1"/>
  <c r="R46" i="4" s="1"/>
  <c r="I71" i="4" a="1"/>
  <c r="I71" i="4" s="1"/>
  <c r="I85" i="4" a="1"/>
  <c r="I85" i="4" s="1"/>
  <c r="O62" i="4" a="1"/>
  <c r="O62" i="4" s="1"/>
  <c r="I98" i="4" a="1"/>
  <c r="I98" i="4" s="1"/>
  <c r="I97" i="4" a="1"/>
  <c r="I97" i="4" s="1"/>
  <c r="S99" i="4" a="1"/>
  <c r="S99" i="4" s="1"/>
  <c r="M88" i="4" a="1"/>
  <c r="M88" i="4" s="1"/>
  <c r="O60" i="4" a="1"/>
  <c r="O60" i="4" s="1"/>
  <c r="U76" i="4" a="1"/>
  <c r="U76" i="4" s="1"/>
  <c r="V83" i="4" a="1"/>
  <c r="V83" i="4" s="1"/>
  <c r="J74" i="4" a="1"/>
  <c r="J74" i="4" s="1"/>
  <c r="M94" i="4" a="1"/>
  <c r="M94" i="4" s="1"/>
  <c r="I46" i="4" a="1"/>
  <c r="I46" i="4" s="1"/>
  <c r="H105" i="4" a="1"/>
  <c r="H105" i="4" s="1"/>
  <c r="J48" i="4" a="1"/>
  <c r="J48" i="4" s="1"/>
  <c r="L71" i="4" a="1"/>
  <c r="L71" i="4" s="1"/>
  <c r="H82" i="4" a="1"/>
  <c r="H82" i="4" s="1"/>
  <c r="Q93" i="4" a="1"/>
  <c r="Q93" i="4" s="1"/>
  <c r="H98" i="4" a="1"/>
  <c r="H98" i="4" s="1"/>
  <c r="J88" i="4" a="1"/>
  <c r="J88" i="4" s="1"/>
  <c r="N59" i="4" a="1"/>
  <c r="N59" i="4" s="1"/>
  <c r="J70" i="4" a="1"/>
  <c r="J70" i="4" s="1"/>
  <c r="K48" i="4" a="1"/>
  <c r="K48" i="4" s="1"/>
  <c r="W92" i="4" a="1"/>
  <c r="W92" i="4" s="1"/>
  <c r="K52" i="4" a="1"/>
  <c r="K52" i="4" s="1"/>
  <c r="N60" i="4" a="1"/>
  <c r="N60" i="4" s="1"/>
  <c r="V68" i="4" a="1"/>
  <c r="V68" i="4" s="1"/>
  <c r="K103" i="4" a="1"/>
  <c r="K103" i="4" s="1"/>
  <c r="V67" i="4" a="1"/>
  <c r="V67" i="4" s="1"/>
  <c r="P53" i="4" a="1"/>
  <c r="P53" i="4" s="1"/>
  <c r="H86" i="4" a="1"/>
  <c r="H86" i="4" s="1"/>
  <c r="P59" i="4" a="1"/>
  <c r="P59" i="4" s="1"/>
  <c r="P89" i="4" a="1"/>
  <c r="P89" i="4" s="1"/>
  <c r="J49" i="4" a="1"/>
  <c r="J49" i="4" s="1"/>
  <c r="P72" i="4" a="1"/>
  <c r="P72" i="4" s="1"/>
  <c r="N55" i="4" a="1"/>
  <c r="N55" i="4" s="1"/>
  <c r="R93" i="4" a="1"/>
  <c r="R93" i="4" s="1"/>
  <c r="W50" i="4" a="1"/>
  <c r="W50" i="4" s="1"/>
  <c r="V69" i="4" a="1"/>
  <c r="V69" i="4" s="1"/>
  <c r="O69" i="4" a="1"/>
  <c r="O69" i="4" s="1"/>
  <c r="K55" i="4" a="1"/>
  <c r="K55" i="4" s="1"/>
  <c r="N84" i="4" a="1"/>
  <c r="N84" i="4" s="1"/>
  <c r="H71" i="4" a="1"/>
  <c r="H71" i="4" s="1"/>
  <c r="O51" i="4" a="1"/>
  <c r="O51" i="4" s="1"/>
  <c r="W88" i="4" a="1"/>
  <c r="W88" i="4" s="1"/>
  <c r="H68" i="4" a="1"/>
  <c r="H68" i="4" s="1"/>
  <c r="K106" i="4" a="1"/>
  <c r="K106" i="4" s="1"/>
  <c r="V99" i="4" a="1"/>
  <c r="V99" i="4" s="1"/>
  <c r="V71" i="4" a="1"/>
  <c r="V71" i="4" s="1"/>
  <c r="P68" i="4" a="1"/>
  <c r="P68" i="4" s="1"/>
  <c r="R50" i="4" a="1"/>
  <c r="R50" i="4" s="1"/>
  <c r="O47" i="4" a="1"/>
  <c r="O47" i="4" s="1"/>
  <c r="K65" i="4" a="1"/>
  <c r="K65" i="4" s="1"/>
  <c r="M61" i="4" a="1"/>
  <c r="M61" i="4" s="1"/>
  <c r="U61" i="4" a="1"/>
  <c r="U61" i="4" s="1"/>
  <c r="N65" i="4" a="1"/>
  <c r="N65" i="4" s="1"/>
  <c r="H74" i="4" a="1"/>
  <c r="H74" i="4" s="1"/>
  <c r="M75" i="4" a="1"/>
  <c r="M75" i="4" s="1"/>
  <c r="M52" i="4" a="1"/>
  <c r="M52" i="4" s="1"/>
  <c r="T84" i="4" a="1"/>
  <c r="T84" i="4" s="1"/>
  <c r="S54" i="4" a="1"/>
  <c r="S54" i="4" s="1"/>
  <c r="T46" i="4" a="1"/>
  <c r="T46" i="4" s="1"/>
  <c r="R81" i="4" a="1"/>
  <c r="R81" i="4" s="1"/>
  <c r="P105" i="4" a="1"/>
  <c r="P105" i="4" s="1"/>
  <c r="S86" i="4" a="1"/>
  <c r="S86" i="4" s="1"/>
  <c r="K74" i="4" a="1"/>
  <c r="K74" i="4" s="1"/>
  <c r="U86" i="4" a="1"/>
  <c r="U86" i="4" s="1"/>
  <c r="R68" i="4" a="1"/>
  <c r="R68" i="4" s="1"/>
  <c r="K88" i="4" a="1"/>
  <c r="K88" i="4" s="1"/>
  <c r="I61" i="4" a="1"/>
  <c r="I61" i="4" s="1"/>
  <c r="P69" i="4" a="1"/>
  <c r="P69" i="4" s="1"/>
  <c r="P63" i="4" a="1"/>
  <c r="P63" i="4" s="1"/>
  <c r="S71" i="4" a="1"/>
  <c r="S71" i="4" s="1"/>
  <c r="I90" i="4" a="1"/>
  <c r="I90" i="4" s="1"/>
  <c r="S52" i="4" a="1"/>
  <c r="S52" i="4" s="1"/>
  <c r="I94" i="4" a="1"/>
  <c r="I94" i="4" s="1"/>
  <c r="J102" i="4" a="1"/>
  <c r="J102" i="4" s="1"/>
  <c r="P61" i="4" a="1"/>
  <c r="P61" i="4" s="1"/>
  <c r="J96" i="4" a="1"/>
  <c r="J96" i="4" s="1"/>
  <c r="P91" i="4" a="1"/>
  <c r="P91" i="4" s="1"/>
  <c r="I55" i="4" a="1"/>
  <c r="I55" i="4" s="1"/>
  <c r="U94" i="4" a="1"/>
  <c r="U94" i="4" s="1"/>
  <c r="L60" i="4" a="1"/>
  <c r="L60" i="4" s="1"/>
  <c r="N106" i="4" a="1"/>
  <c r="N106" i="4" s="1"/>
  <c r="U93" i="4" a="1"/>
  <c r="U93" i="4" s="1"/>
  <c r="P83" i="4" a="1"/>
  <c r="P83" i="4" s="1"/>
  <c r="P106" i="4" a="1"/>
  <c r="P106" i="4" s="1"/>
  <c r="M102" i="4" a="1"/>
  <c r="M102" i="4" s="1"/>
  <c r="R67" i="4" a="1"/>
  <c r="R67" i="4" s="1"/>
  <c r="P48" i="4" a="1"/>
  <c r="P48" i="4" s="1"/>
  <c r="Q83" i="4" a="1"/>
  <c r="Q83" i="4" s="1"/>
  <c r="W67" i="4" a="1"/>
  <c r="W67" i="4" s="1"/>
  <c r="U87" i="4" a="1"/>
  <c r="U87" i="4" s="1"/>
  <c r="O91" i="4" a="1"/>
  <c r="O91" i="4" s="1"/>
  <c r="I53" i="4" a="1"/>
  <c r="I53" i="4" s="1"/>
  <c r="M60" i="4" a="1"/>
  <c r="M60" i="4" s="1"/>
  <c r="H67" i="4" a="1"/>
  <c r="H67" i="4" s="1"/>
  <c r="O76" i="4" a="1"/>
  <c r="O76" i="4" s="1"/>
  <c r="K49" i="4" a="1"/>
  <c r="K49" i="4" s="1"/>
  <c r="N76" i="4" a="1"/>
  <c r="N76" i="4" s="1"/>
  <c r="U96" i="4" a="1"/>
  <c r="U96" i="4" s="1"/>
  <c r="S47" i="4" a="1"/>
  <c r="S47" i="4" s="1"/>
  <c r="T76" i="4" a="1"/>
  <c r="T76" i="4" s="1"/>
  <c r="H64" i="4" a="1"/>
  <c r="H64" i="4" s="1"/>
  <c r="R82" i="4" a="1"/>
  <c r="R82" i="4" s="1"/>
  <c r="K66" i="4" a="1"/>
  <c r="K66" i="4" s="1"/>
  <c r="I104" i="4" a="1"/>
  <c r="I104" i="4" s="1"/>
  <c r="I74" i="4" a="1"/>
  <c r="I74" i="4" s="1"/>
  <c r="M59" i="4" a="1"/>
  <c r="M59" i="4" s="1"/>
  <c r="O103" i="4" a="1"/>
  <c r="O103" i="4" s="1"/>
  <c r="O86" i="4" a="1"/>
  <c r="O86" i="4" s="1"/>
  <c r="J94" i="4" a="1"/>
  <c r="J94" i="4" s="1"/>
  <c r="V48" i="4" a="1"/>
  <c r="V48" i="4" s="1"/>
  <c r="T71" i="4" a="1"/>
  <c r="T71" i="4" s="1"/>
  <c r="S75" i="4" a="1"/>
  <c r="S75" i="4" s="1"/>
  <c r="S87" i="4" a="1"/>
  <c r="S87" i="4" s="1"/>
  <c r="I80" i="4" a="1"/>
  <c r="I80" i="4" s="1"/>
  <c r="N71" i="4" a="1"/>
  <c r="N71" i="4" s="1"/>
  <c r="R51" i="4" a="1"/>
  <c r="R51" i="4" s="1"/>
  <c r="N100" i="4" a="1"/>
  <c r="N100" i="4" s="1"/>
  <c r="J56" i="4" a="1"/>
  <c r="J56" i="4" s="1"/>
  <c r="S102" i="4" a="1"/>
  <c r="S102" i="4" s="1"/>
  <c r="I100" i="4" a="1"/>
  <c r="I100" i="4" s="1"/>
  <c r="T91" i="4" a="1"/>
  <c r="T91" i="4" s="1"/>
  <c r="L82" i="4" a="1"/>
  <c r="L82" i="4" s="1"/>
  <c r="N99" i="4" a="1"/>
  <c r="N99" i="4" s="1"/>
  <c r="Q103" i="4" a="1"/>
  <c r="Q103" i="4" s="1"/>
  <c r="N105" i="4" a="1"/>
  <c r="N105" i="4" s="1"/>
  <c r="V106" i="4" a="1"/>
  <c r="V106" i="4" s="1"/>
  <c r="W54" i="4" a="1"/>
  <c r="W54" i="4" s="1"/>
  <c r="S68" i="4" a="1"/>
  <c r="S68" i="4" s="1"/>
  <c r="U62" i="4" a="1"/>
  <c r="U62" i="4" s="1"/>
  <c r="K102" i="4" a="1"/>
  <c r="K102" i="4" s="1"/>
  <c r="U74" i="4" a="1"/>
  <c r="U74" i="4" s="1"/>
  <c r="M49" i="4" a="1"/>
  <c r="M49" i="4" s="1"/>
  <c r="I48" i="4" a="1"/>
  <c r="I48" i="4" s="1"/>
  <c r="O88" i="4" a="1"/>
  <c r="O88" i="4" s="1"/>
  <c r="Q99" i="4" a="1"/>
  <c r="Q99" i="4" s="1"/>
  <c r="V79" i="4" a="1"/>
  <c r="V79" i="4" s="1"/>
  <c r="U100" i="4" a="1"/>
  <c r="U100" i="4" s="1"/>
  <c r="W71" i="4" a="1"/>
  <c r="W71" i="4" s="1"/>
  <c r="J106" i="4" a="1"/>
  <c r="J106" i="4" s="1"/>
  <c r="V49" i="4" a="1"/>
  <c r="V49" i="4" s="1"/>
  <c r="R77" i="4" a="1"/>
  <c r="R77" i="4" s="1"/>
  <c r="S64" i="4" a="1"/>
  <c r="S64" i="4" s="1"/>
  <c r="O102" i="4" a="1"/>
  <c r="O102" i="4" s="1"/>
  <c r="H70" i="4" a="1"/>
  <c r="H70" i="4" s="1"/>
  <c r="L78" i="4" a="1"/>
  <c r="L78" i="4" s="1"/>
  <c r="S74" i="4" a="1"/>
  <c r="S74" i="4" s="1"/>
  <c r="U105" i="4" a="1"/>
  <c r="U105" i="4" s="1"/>
  <c r="U66" i="4" a="1"/>
  <c r="U66" i="4" s="1"/>
  <c r="L98" i="4" a="1"/>
  <c r="L98" i="4" s="1"/>
  <c r="I62" i="4" a="1"/>
  <c r="I62" i="4" s="1"/>
  <c r="M50" i="4" a="1"/>
  <c r="M50" i="4" s="1"/>
  <c r="R64" i="4" a="1"/>
  <c r="R64" i="4" s="1"/>
  <c r="H100" i="4" a="1"/>
  <c r="H100" i="4" s="1"/>
  <c r="S89" i="4" a="1"/>
  <c r="S89" i="4" s="1"/>
  <c r="Q95" i="4" a="1"/>
  <c r="Q95" i="4" s="1"/>
  <c r="S95" i="4" a="1"/>
  <c r="S95" i="4" s="1"/>
  <c r="W61" i="4" a="1"/>
  <c r="W61" i="4" s="1"/>
  <c r="Q57" i="4" a="1"/>
  <c r="Q57" i="4" s="1"/>
  <c r="I75" i="4" a="1"/>
  <c r="I75" i="4" s="1"/>
  <c r="T49" i="4" a="1"/>
  <c r="T49" i="4" s="1"/>
  <c r="Q100" i="4" a="1"/>
  <c r="Q100" i="4" s="1"/>
  <c r="K89" i="4" a="1"/>
  <c r="K89" i="4" s="1"/>
  <c r="I65" i="4" a="1"/>
  <c r="I65" i="4" s="1"/>
  <c r="R73" i="4" a="1"/>
  <c r="R73" i="4" s="1"/>
  <c r="L57" i="4" a="1"/>
  <c r="L57" i="4" s="1"/>
  <c r="H84" i="4" a="1"/>
  <c r="H84" i="4" s="1"/>
  <c r="K101" i="4" a="1"/>
  <c r="K101" i="4" s="1"/>
  <c r="P64" i="4" a="1"/>
  <c r="P64" i="4" s="1"/>
  <c r="L66" i="4" a="1"/>
  <c r="L66" i="4" s="1"/>
  <c r="P71" i="4" a="1"/>
  <c r="P71" i="4" s="1"/>
  <c r="T53" i="4" a="1"/>
  <c r="T53" i="4" s="1"/>
  <c r="T61" i="4" a="1"/>
  <c r="T61" i="4" s="1"/>
  <c r="Q71" i="4" a="1"/>
  <c r="Q71" i="4" s="1"/>
  <c r="N103" i="4" a="1"/>
  <c r="N103" i="4" s="1"/>
  <c r="W48" i="4" a="1"/>
  <c r="W48" i="4" s="1"/>
  <c r="L91" i="4" a="1"/>
  <c r="L91" i="4" s="1"/>
  <c r="U50" i="4" a="1"/>
  <c r="U50" i="4" s="1"/>
  <c r="M64" i="4" a="1"/>
  <c r="M64" i="4" s="1"/>
  <c r="L59" i="4" a="1"/>
  <c r="L59" i="4" s="1"/>
  <c r="L54" i="4" a="1"/>
  <c r="L54" i="4" s="1"/>
  <c r="P67" i="4" a="1"/>
  <c r="P67" i="4" s="1"/>
  <c r="T86" i="4" a="1"/>
  <c r="T86" i="4" s="1"/>
  <c r="H77" i="4" a="1"/>
  <c r="H77" i="4" s="1"/>
  <c r="H46" i="4" a="1"/>
  <c r="H46" i="4" s="1"/>
  <c r="T105" i="4" a="1"/>
  <c r="T105" i="4" s="1"/>
  <c r="L75" i="4" a="1"/>
  <c r="L75" i="4" s="1"/>
  <c r="T104" i="4" a="1"/>
  <c r="T104" i="4" s="1"/>
  <c r="V70" i="4" a="1"/>
  <c r="V70" i="4" s="1"/>
  <c r="R106" i="4" a="1"/>
  <c r="R106" i="4" s="1"/>
  <c r="Q84" i="4" a="1"/>
  <c r="Q84" i="4" s="1"/>
  <c r="P100" i="4" a="1"/>
  <c r="P100" i="4" s="1"/>
  <c r="R84" i="4" a="1"/>
  <c r="R84" i="4" s="1"/>
  <c r="K69" i="4" a="1"/>
  <c r="K69" i="4" s="1"/>
  <c r="J92" i="4" a="1"/>
  <c r="J92" i="4" s="1"/>
  <c r="U104" i="4" a="1"/>
  <c r="U104" i="4" s="1"/>
  <c r="W101" i="4" a="1"/>
  <c r="W101" i="4" s="1"/>
  <c r="L68" i="4" a="1"/>
  <c r="L68" i="4" s="1"/>
  <c r="J52" i="4" a="1"/>
  <c r="J52" i="4" s="1"/>
  <c r="H97" i="4" a="1"/>
  <c r="H97" i="4" s="1"/>
  <c r="R80" i="4" a="1"/>
  <c r="R80" i="4" s="1"/>
  <c r="H59" i="4" a="1"/>
  <c r="H59" i="4" s="1"/>
  <c r="O83" i="4" a="1"/>
  <c r="O83" i="4" s="1"/>
  <c r="W65" i="4" a="1"/>
  <c r="W65" i="4" s="1"/>
  <c r="M100" i="4" a="1"/>
  <c r="M100" i="4" s="1"/>
  <c r="T52" i="4" a="1"/>
  <c r="T52" i="4" s="1"/>
  <c r="M55" i="4" a="1"/>
  <c r="M55" i="4" s="1"/>
  <c r="K62" i="4" a="1"/>
  <c r="K62" i="4" s="1"/>
  <c r="U82" i="4" a="1"/>
  <c r="U82" i="4" s="1"/>
  <c r="W86" i="4" a="1"/>
  <c r="W86" i="4" s="1"/>
  <c r="W49" i="4" a="1"/>
  <c r="W49" i="4" s="1"/>
  <c r="W90" i="4" a="1"/>
  <c r="W90" i="4" s="1"/>
  <c r="S55" i="4" a="1"/>
  <c r="S55" i="4" s="1"/>
  <c r="O89" i="4" a="1"/>
  <c r="O89" i="4" s="1"/>
  <c r="S58" i="4" a="1"/>
  <c r="S58" i="4" s="1"/>
  <c r="W70" i="4" a="1"/>
  <c r="W70" i="4" s="1"/>
  <c r="V76" i="4" a="1"/>
  <c r="V76" i="4" s="1"/>
  <c r="L96" i="4" a="1"/>
  <c r="L96" i="4" s="1"/>
  <c r="Q68" i="4" a="1"/>
  <c r="Q68" i="4" s="1"/>
  <c r="L70" i="4" a="1"/>
  <c r="L70" i="4" s="1"/>
  <c r="M51" i="4" a="1"/>
  <c r="M51" i="4" s="1"/>
  <c r="H87" i="4" a="1"/>
  <c r="H87" i="4" s="1"/>
  <c r="S100" i="4" a="1"/>
  <c r="S100" i="4" s="1"/>
  <c r="L105" i="4" a="1"/>
  <c r="L105" i="4" s="1"/>
  <c r="I78" i="4" a="1"/>
  <c r="I78" i="4" s="1"/>
  <c r="W73" i="4" a="1"/>
  <c r="W73" i="4" s="1"/>
  <c r="J57" i="4" a="1"/>
  <c r="J57" i="4" s="1"/>
  <c r="N102" i="4" a="1"/>
  <c r="N102" i="4" s="1"/>
  <c r="Q92" i="4" a="1"/>
  <c r="Q92" i="4" s="1"/>
  <c r="U51" i="4" a="1"/>
  <c r="U51" i="4" s="1"/>
  <c r="M58" i="4" a="1"/>
  <c r="M58" i="4" s="1"/>
  <c r="H50" i="4" a="1"/>
  <c r="H50" i="4" s="1"/>
  <c r="M63" i="4" a="1"/>
  <c r="M63" i="4" s="1"/>
  <c r="U77" i="4" a="1"/>
  <c r="U77" i="4" s="1"/>
  <c r="K81" i="4" a="1"/>
  <c r="K81" i="4" s="1"/>
  <c r="H55" i="4" a="1"/>
  <c r="H55" i="4" s="1"/>
  <c r="T81" i="4" a="1"/>
  <c r="T81" i="4" s="1"/>
  <c r="O85" i="4" a="1"/>
  <c r="O85" i="4" s="1"/>
  <c r="N83" i="4" a="1"/>
  <c r="N83" i="4" s="1"/>
  <c r="J91" i="4" a="1"/>
  <c r="J91" i="4" s="1"/>
  <c r="K46" i="4" a="1"/>
  <c r="K46" i="4" s="1"/>
  <c r="J67" i="4" a="1"/>
  <c r="J67" i="4" s="1"/>
  <c r="K98" i="4" a="1"/>
  <c r="K98" i="4" s="1"/>
  <c r="K61" i="4" a="1"/>
  <c r="K61" i="4" s="1"/>
  <c r="K79" i="4" a="1"/>
  <c r="K79" i="4" s="1"/>
  <c r="I87" i="4" a="1"/>
  <c r="I87" i="4" s="1"/>
  <c r="M96" i="4" a="1"/>
  <c r="M96" i="4" s="1"/>
  <c r="K68" i="4" a="1"/>
  <c r="K68" i="4" s="1"/>
  <c r="U52" i="4" a="1"/>
  <c r="U52" i="4" s="1"/>
  <c r="H49" i="4" a="1"/>
  <c r="H49" i="4" s="1"/>
  <c r="J99" i="4" a="1"/>
  <c r="J99" i="4" s="1"/>
  <c r="S61" i="4" a="1"/>
  <c r="S61" i="4" s="1"/>
  <c r="R85" i="4" a="1"/>
  <c r="R85" i="4" s="1"/>
  <c r="M76" i="4" a="1"/>
  <c r="M76" i="4" s="1"/>
  <c r="I101" i="4" a="1"/>
  <c r="I101" i="4" s="1"/>
  <c r="P65" i="4" a="1"/>
  <c r="P65" i="4" s="1"/>
  <c r="M99" i="4" a="1"/>
  <c r="M99" i="4" s="1"/>
  <c r="N79" i="4" a="1"/>
  <c r="N79" i="4" s="1"/>
  <c r="T51" i="4" a="1"/>
  <c r="T51" i="4" s="1"/>
  <c r="U75" i="4" a="1"/>
  <c r="U75" i="4" s="1"/>
  <c r="P94" i="4" a="1"/>
  <c r="P94" i="4" s="1"/>
  <c r="L102" i="4" a="1"/>
  <c r="L102" i="4" s="1"/>
  <c r="H54" i="4" a="1"/>
  <c r="H54" i="4" s="1"/>
  <c r="U46" i="4" a="1"/>
  <c r="U46" i="4" s="1"/>
  <c r="O95" i="4" a="1"/>
  <c r="O95" i="4" s="1"/>
  <c r="L65" i="4" a="1"/>
  <c r="L65" i="4" s="1"/>
  <c r="M47" i="4" a="1"/>
  <c r="M47" i="4" s="1"/>
  <c r="W82" i="4" a="1"/>
  <c r="W82" i="4" s="1"/>
  <c r="S67" i="4" a="1"/>
  <c r="S67" i="4" s="1"/>
  <c r="V72" i="4" a="1"/>
  <c r="V72" i="4" s="1"/>
  <c r="V88" i="4" a="1"/>
  <c r="V88" i="4" s="1"/>
  <c r="R76" i="4" a="1"/>
  <c r="R76" i="4" s="1"/>
  <c r="Q85" i="4" a="1"/>
  <c r="Q85" i="4" s="1"/>
  <c r="V66" i="4" a="1"/>
  <c r="V66" i="4" s="1"/>
  <c r="Q89" i="4" a="1"/>
  <c r="Q89" i="4" s="1"/>
  <c r="S79" i="4" a="1"/>
  <c r="S79" i="4" s="1"/>
  <c r="V46" i="4" a="1"/>
  <c r="V46" i="4" s="1"/>
  <c r="W57" i="4" a="1"/>
  <c r="W57" i="4" s="1"/>
  <c r="T93" i="4" a="1"/>
  <c r="T93" i="4" s="1"/>
  <c r="H99" i="4" a="1"/>
  <c r="H99" i="4" s="1"/>
  <c r="S91" i="4" a="1"/>
  <c r="S91" i="4" s="1"/>
  <c r="O64" i="4" a="1"/>
  <c r="O64" i="4" s="1"/>
  <c r="K82" i="4" a="1"/>
  <c r="K82" i="4" s="1"/>
  <c r="M93" i="4" a="1"/>
  <c r="M93" i="4" s="1"/>
  <c r="T48" i="4" a="1"/>
  <c r="T48" i="4" s="1"/>
  <c r="N93" i="4" a="1"/>
  <c r="N93" i="4" s="1"/>
  <c r="T64" i="4" a="1"/>
  <c r="T64" i="4" s="1"/>
  <c r="R52" i="4" a="1"/>
  <c r="R52" i="4" s="1"/>
  <c r="U85" i="4" a="1"/>
  <c r="U85" i="4" s="1"/>
  <c r="K94" i="4" a="1"/>
  <c r="K94" i="4" s="1"/>
  <c r="U65" i="4" a="1"/>
  <c r="U65" i="4" s="1"/>
  <c r="Q90" i="4" a="1"/>
  <c r="Q90" i="4" s="1"/>
  <c r="Q48" i="4" a="1"/>
  <c r="Q48" i="4" s="1"/>
  <c r="I67" i="4" a="1"/>
  <c r="I67" i="4" s="1"/>
  <c r="M67" i="4" a="1"/>
  <c r="M67" i="4" s="1"/>
  <c r="M54" i="4" a="1"/>
  <c r="M54" i="4" s="1"/>
  <c r="U90" i="4" a="1"/>
  <c r="U90" i="4" s="1"/>
  <c r="L64" i="4" a="1"/>
  <c r="L64" i="4" s="1"/>
  <c r="M48" i="4" a="1"/>
  <c r="M48" i="4" s="1"/>
  <c r="V63" i="4" a="1"/>
  <c r="V63" i="4" s="1"/>
  <c r="O72" i="4" a="1"/>
  <c r="O72" i="4" s="1"/>
  <c r="V55" i="4" a="1"/>
  <c r="V55" i="4" s="1"/>
  <c r="U97" i="4" a="1"/>
  <c r="U97" i="4" s="1"/>
  <c r="T78" i="4" a="1"/>
  <c r="T78" i="4" s="1"/>
  <c r="N98" i="4" a="1"/>
  <c r="N98" i="4" s="1"/>
  <c r="I102" i="4" a="1"/>
  <c r="I102" i="4" s="1"/>
  <c r="K47" i="4" a="1"/>
  <c r="K47" i="4" s="1"/>
  <c r="O49" i="4" a="1"/>
  <c r="O49" i="4" s="1"/>
  <c r="K57" i="4" a="1"/>
  <c r="K57" i="4" s="1"/>
  <c r="W55" i="4" a="1"/>
  <c r="W55" i="4" s="1"/>
  <c r="T100" i="4" a="1"/>
  <c r="T100" i="4" s="1"/>
  <c r="I95" i="4" a="1"/>
  <c r="I95" i="4" s="1"/>
  <c r="M79" i="4" a="1"/>
  <c r="M79" i="4" s="1"/>
  <c r="V51" i="4" a="1"/>
  <c r="V51" i="4" s="1"/>
  <c r="O81" i="4" a="1"/>
  <c r="O81" i="4" s="1"/>
  <c r="P84" i="4" a="1"/>
  <c r="P84" i="4" s="1"/>
  <c r="T103" i="4" a="1"/>
  <c r="T103" i="4" s="1"/>
  <c r="W58" i="4" a="1"/>
  <c r="W58" i="4" s="1"/>
  <c r="S48" i="4" a="1"/>
  <c r="S48" i="4" s="1"/>
  <c r="J51" i="4" a="1"/>
  <c r="J51" i="4" s="1"/>
  <c r="V103" i="4" a="1"/>
  <c r="V103" i="4" s="1"/>
  <c r="P102" i="4" a="1"/>
  <c r="P102" i="4" s="1"/>
  <c r="O79" i="4" a="1"/>
  <c r="O79" i="4" s="1"/>
  <c r="I105" i="4" a="1"/>
  <c r="I105" i="4" s="1"/>
  <c r="H81" i="4" a="1"/>
  <c r="H81" i="4" s="1"/>
  <c r="H96" i="4" a="1"/>
  <c r="H96" i="4" s="1"/>
  <c r="W74" i="4" a="1"/>
  <c r="W74" i="4" s="1"/>
  <c r="R88" i="4" a="1"/>
  <c r="R88" i="4" s="1"/>
  <c r="T98" i="4" a="1"/>
  <c r="T98" i="4" s="1"/>
  <c r="M53" i="4" a="1"/>
  <c r="M53" i="4" s="1"/>
  <c r="O84" i="4" a="1"/>
  <c r="O84" i="4" s="1"/>
  <c r="S50" i="4" a="1"/>
  <c r="S50" i="4" s="1"/>
  <c r="U78" i="4" a="1"/>
  <c r="U78" i="4" s="1"/>
  <c r="N47" i="4" a="1"/>
  <c r="N47" i="4" s="1"/>
  <c r="S101" i="4" a="1"/>
  <c r="S101" i="4" s="1"/>
  <c r="Q80" i="4" a="1"/>
  <c r="Q80" i="4" s="1"/>
  <c r="W64" i="4" a="1"/>
  <c r="W64" i="4" s="1"/>
  <c r="J59" i="4" a="1"/>
  <c r="J59" i="4" s="1"/>
  <c r="L103" i="4" a="1"/>
  <c r="L103" i="4" s="1"/>
  <c r="J79" i="4" a="1"/>
  <c r="J79" i="4" s="1"/>
  <c r="P103" i="4" a="1"/>
  <c r="P103" i="4" s="1"/>
  <c r="P47" i="4" a="1"/>
  <c r="P47" i="4" s="1"/>
  <c r="H47" i="4" a="1"/>
  <c r="H47" i="4" s="1"/>
  <c r="K51" i="4" a="1"/>
  <c r="K51" i="4" s="1"/>
  <c r="V87" i="4" a="1"/>
  <c r="V87" i="4" s="1"/>
  <c r="N85" i="4" a="1"/>
  <c r="N85" i="4" s="1"/>
  <c r="L76" i="4" a="1"/>
  <c r="L76" i="4" s="1"/>
  <c r="M83" i="4" a="1"/>
  <c r="M83" i="4" s="1"/>
  <c r="P51" i="4" a="1"/>
  <c r="P51" i="4" s="1"/>
  <c r="P58" i="4" a="1"/>
  <c r="P58" i="4" s="1"/>
  <c r="L77" i="4" a="1"/>
  <c r="L77" i="4" s="1"/>
  <c r="P66" i="4" a="1"/>
  <c r="P66" i="4" s="1"/>
  <c r="O71" i="4" a="1"/>
  <c r="O71" i="4" s="1"/>
  <c r="N63" i="4" a="1"/>
  <c r="N63" i="4" s="1"/>
  <c r="O98" i="4" a="1"/>
  <c r="O98" i="4" s="1"/>
  <c r="H103" i="4" a="1"/>
  <c r="H103" i="4" s="1"/>
  <c r="V53" i="4" a="1"/>
  <c r="V53" i="4" s="1"/>
  <c r="N81" i="4" a="1"/>
  <c r="N81" i="4" s="1"/>
  <c r="L80" i="4" a="1"/>
  <c r="L80" i="4" s="1"/>
  <c r="U83" i="4" a="1"/>
  <c r="U83" i="4" s="1"/>
  <c r="H52" i="4" a="1"/>
  <c r="H52" i="4" s="1"/>
  <c r="U95" i="4" a="1"/>
  <c r="U95" i="4" s="1"/>
  <c r="J53" i="4" a="1"/>
  <c r="J53" i="4" s="1"/>
  <c r="I56" i="4" a="1"/>
  <c r="I56" i="4" s="1"/>
  <c r="Q74" i="4" a="1"/>
  <c r="Q74" i="4" s="1"/>
  <c r="N87" i="4" a="1"/>
  <c r="N87" i="4" s="1"/>
  <c r="O75" i="4" a="1"/>
  <c r="O75" i="4" s="1"/>
  <c r="K77" i="4" a="1"/>
  <c r="K77" i="4" s="1"/>
  <c r="T79" i="4" a="1"/>
  <c r="T79" i="4" s="1"/>
  <c r="O50" i="4" a="1"/>
  <c r="O50" i="4" s="1"/>
  <c r="V75" i="4" a="1"/>
  <c r="V75" i="4" s="1"/>
  <c r="T73" i="4" a="1"/>
  <c r="T73" i="4" s="1"/>
  <c r="L90" i="4" a="1"/>
  <c r="L90" i="4" s="1"/>
  <c r="S90" i="4" a="1"/>
  <c r="S90" i="4" s="1"/>
  <c r="L97" i="4" a="1"/>
  <c r="L97" i="4" s="1"/>
  <c r="I49" i="4" a="1"/>
  <c r="I49" i="4" s="1"/>
  <c r="V82" i="4" a="1"/>
  <c r="V82" i="4" s="1"/>
  <c r="U89" i="4" a="1"/>
  <c r="U89" i="4" s="1"/>
  <c r="P77" i="4" a="1"/>
  <c r="P77" i="4" s="1"/>
  <c r="J105" i="4" a="1"/>
  <c r="J105" i="4" s="1"/>
  <c r="N70" i="4" a="1"/>
  <c r="N70" i="4" s="1"/>
  <c r="M85" i="4" a="1"/>
  <c r="M85" i="4" s="1"/>
  <c r="T77" i="4" a="1"/>
  <c r="T77" i="4" s="1"/>
  <c r="U72" i="4" a="1"/>
  <c r="U72" i="4" s="1"/>
  <c r="T57" i="4" a="1"/>
  <c r="T57" i="4" s="1"/>
  <c r="O80" i="4" a="1"/>
  <c r="O80" i="4" s="1"/>
  <c r="T80" i="4" a="1"/>
  <c r="T80" i="4" s="1"/>
  <c r="Q46" i="4" a="1"/>
  <c r="Q46" i="4" s="1"/>
  <c r="Q86" i="4" a="1"/>
  <c r="Q86" i="4" s="1"/>
  <c r="S94" i="4" a="1"/>
  <c r="S94" i="4" s="1"/>
  <c r="O67" i="4" a="1"/>
  <c r="O67" i="4" s="1"/>
  <c r="H62" i="4" a="1"/>
  <c r="H62" i="4" s="1"/>
  <c r="N56" i="4" a="1"/>
  <c r="N56" i="4" s="1"/>
  <c r="L47" i="4" a="1"/>
  <c r="L47" i="4" s="1"/>
  <c r="H51" i="4" a="1"/>
  <c r="H51" i="4" s="1"/>
  <c r="L101" i="4" a="1"/>
  <c r="L101" i="4" s="1"/>
  <c r="J84" i="4" a="1"/>
  <c r="J84" i="4" s="1"/>
  <c r="P75" i="4" a="1"/>
  <c r="P75" i="4" s="1"/>
  <c r="U60" i="4" a="1"/>
  <c r="U60" i="4" s="1"/>
  <c r="J85" i="4" a="1"/>
  <c r="J85" i="4" s="1"/>
  <c r="O82" i="4" a="1"/>
  <c r="O82" i="4" s="1"/>
  <c r="S88" i="4" a="1"/>
  <c r="S88" i="4" s="1"/>
  <c r="U98" i="4" a="1"/>
  <c r="U98" i="4" s="1"/>
  <c r="K99" i="4" a="1"/>
  <c r="K99" i="4" s="1"/>
  <c r="W106" i="4" a="1"/>
  <c r="W106" i="4" s="1"/>
  <c r="N58" i="4" a="1"/>
  <c r="N58" i="4" s="1"/>
  <c r="I52" i="4" a="1"/>
  <c r="I52" i="4" s="1"/>
  <c r="K56" i="4" a="1"/>
  <c r="K56" i="4" s="1"/>
  <c r="M77" i="4" a="1"/>
  <c r="M77" i="4" s="1"/>
  <c r="I60" i="4" a="1"/>
  <c r="I60" i="4" s="1"/>
  <c r="K76" i="4" a="1"/>
  <c r="K76" i="4" s="1"/>
  <c r="S78" i="4" a="1"/>
  <c r="S78" i="4" s="1"/>
  <c r="Q77" i="4" a="1"/>
  <c r="Q77" i="4" s="1"/>
  <c r="R99" i="4" a="1"/>
  <c r="R99" i="4" s="1"/>
  <c r="Q79" i="4" a="1"/>
  <c r="Q79" i="4" s="1"/>
  <c r="N46" i="4" a="1"/>
  <c r="N46" i="4" s="1"/>
  <c r="N80" i="4" a="1"/>
  <c r="N80" i="4" s="1"/>
  <c r="H76" i="4" a="1"/>
  <c r="H76" i="4" s="1"/>
  <c r="T68" i="4" a="1"/>
  <c r="T68" i="4" s="1"/>
  <c r="K104" i="4" a="1"/>
  <c r="K104" i="4" s="1"/>
  <c r="S82" i="4" a="1"/>
  <c r="S82" i="4" s="1"/>
  <c r="Q81" i="4" a="1"/>
  <c r="Q81" i="4" s="1"/>
  <c r="T82" i="4" a="1"/>
  <c r="T82" i="4" s="1"/>
  <c r="O92" i="4" a="1"/>
  <c r="O92" i="4" s="1"/>
  <c r="H53" i="4" a="1"/>
  <c r="H53" i="4" s="1"/>
  <c r="Q65" i="4" a="1"/>
  <c r="Q65" i="4" s="1"/>
  <c r="Q97" i="4" a="1"/>
  <c r="Q97" i="4" s="1"/>
  <c r="W51" i="4" a="1"/>
  <c r="W51" i="4" s="1"/>
  <c r="O66" i="4" a="1"/>
  <c r="O66" i="4" s="1"/>
  <c r="S46" i="4" a="1"/>
  <c r="S46" i="4" s="1"/>
  <c r="N91" i="4" a="1"/>
  <c r="N91" i="4" s="1"/>
  <c r="U92" i="4" a="1"/>
  <c r="U92" i="4" s="1"/>
  <c r="P96" i="4" a="1"/>
  <c r="P96" i="4" s="1"/>
  <c r="R98" i="4" a="1"/>
  <c r="R98" i="4" s="1"/>
  <c r="P55" i="4" a="1"/>
  <c r="P55" i="4" s="1"/>
  <c r="N50" i="4" a="1"/>
  <c r="N50" i="4" s="1"/>
  <c r="J63" i="4" a="1"/>
  <c r="J63" i="4" s="1"/>
  <c r="N96" i="4" a="1"/>
  <c r="N96" i="4" s="1"/>
  <c r="K95" i="4" a="1"/>
  <c r="K95" i="4" s="1"/>
  <c r="M90" i="4" a="1"/>
  <c r="M90" i="4" s="1"/>
  <c r="J97" i="4" a="1"/>
  <c r="J97" i="4" s="1"/>
  <c r="H94" i="4" a="1"/>
  <c r="H94" i="4" s="1"/>
  <c r="N53" i="4" a="1"/>
  <c r="N53" i="4" s="1"/>
  <c r="H56" i="4" a="1"/>
  <c r="H56" i="4" s="1"/>
  <c r="Q102" i="4" a="1"/>
  <c r="Q102" i="4" s="1"/>
  <c r="U53" i="4" a="1"/>
  <c r="U53" i="4" s="1"/>
  <c r="M66" i="4" a="1"/>
  <c r="M66" i="4" s="1"/>
  <c r="T69" i="4" a="1"/>
  <c r="T69" i="4" s="1"/>
  <c r="T90" i="4" a="1"/>
  <c r="T90" i="4" s="1"/>
  <c r="M68" i="4" a="1"/>
  <c r="M68" i="4" s="1"/>
  <c r="K58" i="4" a="1"/>
  <c r="K58" i="4" s="1"/>
  <c r="L104" i="4" a="1"/>
  <c r="L104" i="4" s="1"/>
  <c r="L85" i="4" a="1"/>
  <c r="L85" i="4" s="1"/>
  <c r="K50" i="4" a="1"/>
  <c r="K50" i="4" s="1"/>
  <c r="M105" i="4" a="1"/>
  <c r="M105" i="4" s="1"/>
  <c r="P88" i="4" a="1"/>
  <c r="P88" i="4" s="1"/>
  <c r="R60" i="4" a="1"/>
  <c r="R60" i="4" s="1"/>
  <c r="T101" i="4" a="1"/>
  <c r="T101" i="4" s="1"/>
  <c r="T75" i="4" a="1"/>
  <c r="T75" i="4" s="1"/>
  <c r="K97" i="4" a="1"/>
  <c r="K97" i="4" s="1"/>
  <c r="K70" i="4" a="1"/>
  <c r="K70" i="4" s="1"/>
  <c r="M56" i="4" a="1"/>
  <c r="M56" i="4" s="1"/>
  <c r="J89" i="4" a="1"/>
  <c r="J89" i="4" s="1"/>
  <c r="P97" i="4" a="1"/>
  <c r="P97" i="4" s="1"/>
  <c r="V80" i="4" a="1"/>
  <c r="V80" i="4" s="1"/>
  <c r="T97" i="4" a="1"/>
  <c r="T97" i="4" s="1"/>
  <c r="M71" i="4" a="1"/>
  <c r="M71" i="4" s="1"/>
  <c r="N97" i="4" a="1"/>
  <c r="N97" i="4" s="1"/>
  <c r="H61" i="4" a="1"/>
  <c r="H61" i="4" s="1"/>
  <c r="Q63" i="4" a="1"/>
  <c r="Q63" i="4" s="1"/>
  <c r="T95" i="4" a="1"/>
  <c r="T95" i="4" s="1"/>
  <c r="S66" i="4" a="1"/>
  <c r="S66" i="4" s="1"/>
  <c r="O100" i="4" a="1"/>
  <c r="O100" i="4" s="1"/>
  <c r="L72" i="4" a="1"/>
  <c r="L72" i="4" s="1"/>
  <c r="R87" i="4" a="1"/>
  <c r="R87" i="4" s="1"/>
  <c r="J100" i="4" a="1"/>
  <c r="J100" i="4" s="1"/>
  <c r="T74" i="4" a="1"/>
  <c r="T74" i="4" s="1"/>
  <c r="K91" i="4" a="1"/>
  <c r="K91" i="4" s="1"/>
  <c r="L100" i="4" a="1"/>
  <c r="L100" i="4" s="1"/>
  <c r="P76" i="4" a="1"/>
  <c r="P76" i="4" s="1"/>
  <c r="H79" i="4" a="1"/>
  <c r="H79" i="4" s="1"/>
  <c r="R70" i="4" a="1"/>
  <c r="R70" i="4" s="1"/>
  <c r="U58" i="4" a="1"/>
  <c r="U58" i="4" s="1"/>
  <c r="K86" i="4" a="1"/>
  <c r="K86" i="4" s="1"/>
  <c r="N67" i="4" a="1"/>
  <c r="N67" i="4" s="1"/>
  <c r="Q78" i="4" a="1"/>
  <c r="Q78" i="4" s="1"/>
  <c r="Q88" i="4" a="1"/>
  <c r="Q88" i="4" s="1"/>
  <c r="W85" i="4" a="1"/>
  <c r="W85" i="4" s="1"/>
  <c r="N49" i="4" a="1"/>
  <c r="N49" i="4" s="1"/>
  <c r="O54" i="4" a="1"/>
  <c r="O54" i="4" s="1"/>
  <c r="U80" i="4" a="1"/>
  <c r="U80" i="4" s="1"/>
  <c r="R66" i="4" a="1"/>
  <c r="R66" i="4" s="1"/>
  <c r="J77" i="4" a="1"/>
  <c r="J77" i="4" s="1"/>
  <c r="P104" i="4" a="1"/>
  <c r="P104" i="4" s="1"/>
  <c r="P86" i="4" a="1"/>
  <c r="P86" i="4" s="1"/>
  <c r="U48" i="4" a="1"/>
  <c r="U48" i="4" s="1"/>
  <c r="S93" i="4" a="1"/>
  <c r="S93" i="4" s="1"/>
  <c r="I51" i="4" a="1"/>
  <c r="I51" i="4" s="1"/>
  <c r="Q72" i="4" a="1"/>
  <c r="Q72" i="4" s="1"/>
  <c r="S62" i="4" a="1"/>
  <c r="S62" i="4" s="1"/>
  <c r="U68" i="4" a="1"/>
  <c r="U68" i="4" s="1"/>
  <c r="V74" i="4" a="1"/>
  <c r="V74" i="4" s="1"/>
  <c r="S76" i="4" a="1"/>
  <c r="S76" i="4" s="1"/>
  <c r="W68" i="4" a="1"/>
  <c r="W68" i="4" s="1"/>
  <c r="J46" i="4" a="1"/>
  <c r="J46" i="4" s="1"/>
  <c r="I57" i="4" a="1"/>
  <c r="I57" i="4" s="1"/>
  <c r="L67" i="4" a="1"/>
  <c r="L67" i="4" s="1"/>
  <c r="N64" i="4" a="1"/>
  <c r="N64" i="4" s="1"/>
  <c r="N88" i="4" a="1"/>
  <c r="N88" i="4" s="1"/>
  <c r="U81" i="4" a="1"/>
  <c r="U81" i="4" s="1"/>
  <c r="K63" i="4" a="1"/>
  <c r="K63" i="4" s="1"/>
  <c r="H95" i="4" a="1"/>
  <c r="H95" i="4" s="1"/>
  <c r="M62" i="4" a="1"/>
  <c r="M62" i="4" s="1"/>
  <c r="V58" i="4" a="1"/>
  <c r="V58" i="4" s="1"/>
  <c r="T85" i="4" a="1"/>
  <c r="T85" i="4" s="1"/>
  <c r="I72" i="4" a="1"/>
  <c r="I72" i="4" s="1"/>
  <c r="H83" i="4" a="1"/>
  <c r="H83" i="4" s="1"/>
  <c r="Q70" i="4" a="1"/>
  <c r="Q70" i="4" s="1"/>
  <c r="L79" i="4" a="1"/>
  <c r="L79" i="4" s="1"/>
  <c r="W94" i="4" a="1"/>
  <c r="W94" i="4" s="1"/>
  <c r="H63" i="4" a="1"/>
  <c r="H63" i="4" s="1"/>
  <c r="L81" i="4" a="1"/>
  <c r="L81" i="4" s="1"/>
  <c r="N94" i="4" a="1"/>
  <c r="N94" i="4" s="1"/>
  <c r="K80" i="4" a="1"/>
  <c r="K80" i="4" s="1"/>
  <c r="J101" i="4" a="1"/>
  <c r="J101" i="4" s="1"/>
  <c r="W72" i="4" a="1"/>
  <c r="W72" i="4" s="1"/>
  <c r="H91" i="4" a="1"/>
  <c r="H91" i="4" s="1"/>
  <c r="Q54" i="4" a="1"/>
  <c r="Q54" i="4" s="1"/>
  <c r="P82" i="4" a="1"/>
  <c r="P82" i="4" s="1"/>
  <c r="R79" i="4" a="1"/>
  <c r="R79" i="4" s="1"/>
  <c r="Q51" i="4" a="1"/>
  <c r="Q51" i="4" s="1"/>
  <c r="V98" i="4" a="1"/>
  <c r="V98" i="4" s="1"/>
  <c r="R72" i="4" a="1"/>
  <c r="R72" i="4" s="1"/>
  <c r="O77" i="4" a="1"/>
  <c r="O77" i="4" s="1"/>
  <c r="P98" i="4" a="1"/>
  <c r="P98" i="4" s="1"/>
  <c r="N66" i="4" a="1"/>
  <c r="N66" i="4" s="1"/>
  <c r="P54" i="4" a="1"/>
  <c r="P54" i="4" s="1"/>
  <c r="I93" i="4" a="1"/>
  <c r="I93" i="4" s="1"/>
  <c r="O55" i="4" a="1"/>
  <c r="O55" i="4" s="1"/>
  <c r="Q52" i="4" a="1"/>
  <c r="Q52" i="4" s="1"/>
  <c r="N62" i="4" a="1"/>
  <c r="N62" i="4" s="1"/>
  <c r="U56" i="4" a="1"/>
  <c r="U56" i="4" s="1"/>
  <c r="R61" i="4" a="1"/>
  <c r="R61" i="4" s="1"/>
  <c r="P95" i="4" a="1"/>
  <c r="P95" i="4" s="1"/>
  <c r="O96" i="4" a="1"/>
  <c r="O96" i="4" s="1"/>
  <c r="J68" i="4" a="1"/>
  <c r="J68" i="4" s="1"/>
  <c r="S60" i="4" a="1"/>
  <c r="S60" i="4" s="1"/>
  <c r="T87" i="4" a="1"/>
  <c r="T87" i="4" s="1"/>
  <c r="N78" i="4" a="1"/>
  <c r="N78" i="4" s="1"/>
  <c r="U103" i="4" a="1"/>
  <c r="U103" i="4" s="1"/>
  <c r="R74" i="4" a="1"/>
  <c r="R74" i="4" s="1"/>
  <c r="J86" i="4" a="1"/>
  <c r="J86" i="4" s="1"/>
  <c r="V61" i="4" a="1"/>
  <c r="V61" i="4" s="1"/>
  <c r="J66" i="4" a="1"/>
  <c r="J66" i="4" s="1"/>
  <c r="J62" i="4" a="1"/>
  <c r="J62" i="4" s="1"/>
  <c r="S51" i="4" a="1"/>
  <c r="S51" i="4" s="1"/>
  <c r="S80" i="4" a="1"/>
  <c r="S80" i="4" s="1"/>
  <c r="T62" i="4" a="1"/>
  <c r="T62" i="4" s="1"/>
  <c r="V62" i="4" a="1"/>
  <c r="V62" i="4" s="1"/>
  <c r="R65" i="4" a="1"/>
  <c r="R65" i="4" s="1"/>
  <c r="W78" i="4" a="1"/>
  <c r="W78" i="4" s="1"/>
  <c r="M106" i="4" a="1"/>
  <c r="M106" i="4" s="1"/>
  <c r="R48" i="4" a="1"/>
  <c r="R48" i="4" s="1"/>
  <c r="V84" i="4" a="1"/>
  <c r="V84" i="4" s="1"/>
  <c r="L50" i="4" a="1"/>
  <c r="L50" i="4" s="1"/>
  <c r="Q59" i="4" a="1"/>
  <c r="Q59" i="4" s="1"/>
  <c r="V95" i="4" a="1"/>
  <c r="V95" i="4" s="1"/>
  <c r="W97" i="4" a="1"/>
  <c r="W97" i="4" s="1"/>
  <c r="R94" i="4" a="1"/>
  <c r="R94" i="4" s="1"/>
  <c r="P99" i="4" a="1"/>
  <c r="P99" i="4" s="1"/>
  <c r="W93" i="4" a="1"/>
  <c r="W93" i="4" s="1"/>
  <c r="S65" i="4" a="1"/>
  <c r="S65" i="4" s="1"/>
  <c r="U84" i="4" a="1"/>
  <c r="U84" i="4" s="1"/>
  <c r="R92" i="4" a="1"/>
  <c r="R92" i="4" s="1"/>
  <c r="J90" i="4" a="1"/>
  <c r="J90" i="4" s="1"/>
  <c r="J60" i="4" a="1"/>
  <c r="J60" i="4" s="1"/>
  <c r="S72" i="4" a="1"/>
  <c r="S72" i="4" s="1"/>
  <c r="J93" i="4" a="1"/>
  <c r="J93" i="4" s="1"/>
  <c r="K67" i="4" a="1"/>
  <c r="K67" i="4" s="1"/>
  <c r="L58" i="4" a="1"/>
  <c r="L58" i="4" s="1"/>
  <c r="I54" i="4" a="1"/>
  <c r="I54" i="4" s="1"/>
  <c r="I70" i="4" a="1"/>
  <c r="I70" i="4" s="1"/>
  <c r="J80" i="4" a="1"/>
  <c r="J80" i="4" s="1"/>
  <c r="R96" i="4" a="1"/>
  <c r="R96" i="4" s="1"/>
  <c r="M97" i="4" a="1"/>
  <c r="M97" i="4" s="1"/>
  <c r="U57" i="4" a="1"/>
  <c r="U57" i="4" s="1"/>
  <c r="L62" i="4" a="1"/>
  <c r="L62" i="4" s="1"/>
  <c r="U69" i="4" a="1"/>
  <c r="U69" i="4" s="1"/>
  <c r="S59" i="4" a="1"/>
  <c r="S59" i="4" s="1"/>
  <c r="S73" i="4" a="1"/>
  <c r="S73" i="4" s="1"/>
  <c r="O101" i="4" a="1"/>
  <c r="O101" i="4" s="1"/>
  <c r="J64" i="4" a="1"/>
  <c r="J64" i="4" s="1"/>
  <c r="J98" i="4" a="1"/>
  <c r="J98" i="4" s="1"/>
  <c r="M101" i="4" a="1"/>
  <c r="M101" i="4" s="1"/>
  <c r="W84" i="4" a="1"/>
  <c r="W84" i="4" s="1"/>
  <c r="R59" i="4" a="1"/>
  <c r="R59" i="4" s="1"/>
  <c r="W69" i="4" a="1"/>
  <c r="W69" i="4" s="1"/>
  <c r="N72" i="4" a="1"/>
  <c r="N72" i="4" s="1"/>
  <c r="O58" i="4" a="1"/>
  <c r="O58" i="4" s="1"/>
  <c r="P46" i="4" a="1"/>
  <c r="P46" i="4" s="1"/>
  <c r="K71" i="4" a="1"/>
  <c r="K71" i="4" s="1"/>
  <c r="L86" i="4" a="1"/>
  <c r="L86" i="4" s="1"/>
  <c r="T59" i="4" a="1"/>
  <c r="T59" i="4" s="1"/>
  <c r="N69" i="4" a="1"/>
  <c r="N69" i="4" s="1"/>
  <c r="N74" i="4" a="1"/>
  <c r="N74" i="4" s="1"/>
  <c r="M57" i="4" a="1"/>
  <c r="M57" i="4" s="1"/>
  <c r="R95" i="4" a="1"/>
  <c r="R95" i="4" s="1"/>
  <c r="T67" i="4" a="1"/>
  <c r="T67" i="4" s="1"/>
  <c r="U64" i="4" a="1"/>
  <c r="U64" i="4" s="1"/>
  <c r="R69" i="4" a="1"/>
  <c r="R69" i="4" s="1"/>
  <c r="L87" i="4" a="1"/>
  <c r="L87" i="4" s="1"/>
  <c r="T94" i="4" a="1"/>
  <c r="T94" i="4" s="1"/>
  <c r="W102" i="4" a="1"/>
  <c r="W102" i="4" s="1"/>
  <c r="N75" i="4" a="1"/>
  <c r="N75" i="4" s="1"/>
  <c r="T58" i="4" a="1"/>
  <c r="T58" i="4" s="1"/>
  <c r="V89" i="4" a="1"/>
  <c r="V89" i="4" s="1"/>
  <c r="W53" i="4" a="1"/>
  <c r="W53" i="4" s="1"/>
  <c r="H92" i="4" a="1"/>
  <c r="H92" i="4" s="1"/>
  <c r="M103" i="4" a="1"/>
  <c r="M103" i="4" s="1"/>
  <c r="J61" i="4" a="1"/>
  <c r="J61" i="4" s="1"/>
  <c r="H65" i="4" a="1"/>
  <c r="H65" i="4" s="1"/>
  <c r="I92" i="4" a="1"/>
  <c r="I92" i="4" s="1"/>
  <c r="W60" i="4" a="1"/>
  <c r="W60" i="4" s="1"/>
  <c r="V77" i="4" a="1"/>
  <c r="V77" i="4" s="1"/>
  <c r="V101" i="4" a="1"/>
  <c r="V101" i="4" s="1"/>
  <c r="H101" i="4" a="1"/>
  <c r="H101" i="4" s="1"/>
  <c r="R62" i="4" a="1"/>
  <c r="R62" i="4" s="1"/>
  <c r="K75" i="4" a="1"/>
  <c r="K75" i="4" s="1"/>
  <c r="O87" i="4" a="1"/>
  <c r="O87" i="4" s="1"/>
  <c r="S70" i="4" a="1"/>
  <c r="S70" i="4" s="1"/>
  <c r="W63" i="4" a="1"/>
  <c r="W63" i="4" s="1"/>
  <c r="H93" i="4" a="1"/>
  <c r="H93" i="4" s="1"/>
  <c r="J76" i="4" a="1"/>
  <c r="J76" i="4" s="1"/>
  <c r="I106" i="4" a="1"/>
  <c r="I106" i="4" s="1"/>
  <c r="S84" i="4" a="1"/>
  <c r="S84" i="4" s="1"/>
  <c r="W105" i="4" a="1"/>
  <c r="W105" i="4" s="1"/>
  <c r="R63" i="4" a="1"/>
  <c r="R63" i="4" s="1"/>
  <c r="J95" i="4" a="1"/>
  <c r="J95" i="4" s="1"/>
  <c r="I99" i="4" a="1"/>
  <c r="I99" i="4" s="1"/>
  <c r="O78" i="4" a="1"/>
  <c r="O78" i="4" s="1"/>
  <c r="J69" i="4" a="1"/>
  <c r="J69" i="4" s="1"/>
  <c r="Q49" i="4" a="1"/>
  <c r="Q49" i="4" s="1"/>
  <c r="E315" i="3"/>
  <c r="Q106" i="4" l="1" a="1"/>
  <c r="Q106" i="4" s="1"/>
  <c r="AD315" i="3"/>
  <c r="AC93" i="4" s="1"/>
  <c r="X107" i="4"/>
  <c r="AC91" i="4"/>
  <c r="AC39" i="4"/>
  <c r="AC92" i="4"/>
  <c r="AC73" i="4"/>
  <c r="AC104" i="4"/>
  <c r="AC69" i="4"/>
  <c r="AC5" i="4"/>
  <c r="AC79" i="4"/>
  <c r="AC89" i="4"/>
  <c r="AC71" i="4"/>
  <c r="AC88" i="4"/>
  <c r="AC49" i="4"/>
  <c r="AC44" i="4"/>
  <c r="AC48" i="4"/>
  <c r="AC75" i="4"/>
  <c r="AC105" i="4"/>
  <c r="AC32" i="4"/>
  <c r="AC76" i="4"/>
  <c r="AC70" i="4"/>
  <c r="AC38" i="4"/>
  <c r="AC34" i="4"/>
  <c r="AC96" i="4"/>
  <c r="AC87" i="4"/>
  <c r="AC31" i="4"/>
  <c r="AC30" i="4"/>
  <c r="AC42" i="4"/>
  <c r="AC50" i="4"/>
  <c r="AC45" i="4"/>
  <c r="AC63" i="4"/>
  <c r="AC19" i="4"/>
  <c r="AC22" i="4"/>
  <c r="AC100" i="4"/>
  <c r="AC52" i="4"/>
  <c r="AC81" i="4"/>
  <c r="AC40" i="4"/>
  <c r="AC12" i="4"/>
  <c r="AC24" i="4"/>
  <c r="AC53" i="4"/>
  <c r="AC26" i="4"/>
  <c r="AC21" i="4"/>
  <c r="AC47" i="4"/>
  <c r="AC66" i="4"/>
  <c r="AC94" i="4"/>
  <c r="AC65" i="4"/>
  <c r="AC77" i="4"/>
  <c r="AC98" i="4"/>
  <c r="AC23" i="4"/>
  <c r="AC82" i="4"/>
  <c r="AC55" i="4"/>
  <c r="AC9" i="4"/>
  <c r="AC51" i="4"/>
  <c r="AC107" i="4"/>
  <c r="AC29" i="4"/>
  <c r="AN57" i="4"/>
  <c r="AO57" i="4" s="1"/>
  <c r="AP57" i="4" s="1"/>
  <c r="AQ57" i="4" s="1"/>
  <c r="AR57" i="4" s="1"/>
  <c r="AS57" i="4" s="1"/>
  <c r="AT57" i="4" s="1"/>
  <c r="AU57" i="4" s="1"/>
  <c r="AV57" i="4" s="1"/>
  <c r="AW57" i="4" s="1"/>
  <c r="AX57" i="4" s="1"/>
  <c r="AY57" i="4" s="1"/>
  <c r="AZ57" i="4" s="1"/>
  <c r="BA57" i="4" s="1"/>
  <c r="BB57" i="4" s="1"/>
  <c r="AN80" i="4"/>
  <c r="AO80" i="4" s="1"/>
  <c r="AP80" i="4" s="1"/>
  <c r="AQ80" i="4" s="1"/>
  <c r="AR80" i="4" s="1"/>
  <c r="AS80" i="4" s="1"/>
  <c r="AT80" i="4" s="1"/>
  <c r="AU80" i="4" s="1"/>
  <c r="AV80" i="4" s="1"/>
  <c r="AW80" i="4" s="1"/>
  <c r="AX80" i="4" s="1"/>
  <c r="AY80" i="4" s="1"/>
  <c r="AZ80" i="4" s="1"/>
  <c r="BA80" i="4" s="1"/>
  <c r="BB80" i="4" s="1"/>
  <c r="AN106" i="4"/>
  <c r="AO106" i="4" s="1"/>
  <c r="AP106" i="4" s="1"/>
  <c r="AQ106" i="4" s="1"/>
  <c r="AR106" i="4" s="1"/>
  <c r="AS106" i="4" s="1"/>
  <c r="AT106" i="4" s="1"/>
  <c r="AU106" i="4" s="1"/>
  <c r="AN85" i="4"/>
  <c r="AO85" i="4" s="1"/>
  <c r="AP85" i="4" s="1"/>
  <c r="AQ85" i="4" s="1"/>
  <c r="AR85" i="4" s="1"/>
  <c r="AS85" i="4" s="1"/>
  <c r="AT85" i="4" s="1"/>
  <c r="AU85" i="4" s="1"/>
  <c r="AV85" i="4" s="1"/>
  <c r="AW85" i="4" s="1"/>
  <c r="AX85" i="4" s="1"/>
  <c r="AY85" i="4" s="1"/>
  <c r="AZ85" i="4" s="1"/>
  <c r="BA85" i="4" s="1"/>
  <c r="BB85" i="4" s="1"/>
  <c r="AN88" i="4"/>
  <c r="AO88" i="4" s="1"/>
  <c r="AP88" i="4" s="1"/>
  <c r="AQ88" i="4" s="1"/>
  <c r="AR88" i="4" s="1"/>
  <c r="AS88" i="4" s="1"/>
  <c r="AT88" i="4" s="1"/>
  <c r="AU88" i="4" s="1"/>
  <c r="AV88" i="4" s="1"/>
  <c r="AW88" i="4" s="1"/>
  <c r="AX88" i="4" s="1"/>
  <c r="AY88" i="4" s="1"/>
  <c r="AZ88" i="4" s="1"/>
  <c r="BA88" i="4" s="1"/>
  <c r="BB88" i="4" s="1"/>
  <c r="AN72" i="4"/>
  <c r="AO72" i="4" s="1"/>
  <c r="AP72" i="4" s="1"/>
  <c r="AQ72" i="4" s="1"/>
  <c r="AR72" i="4" s="1"/>
  <c r="AS72" i="4" s="1"/>
  <c r="AT72" i="4" s="1"/>
  <c r="AU72" i="4" s="1"/>
  <c r="AV72" i="4" s="1"/>
  <c r="AW72" i="4" s="1"/>
  <c r="AX72" i="4" s="1"/>
  <c r="AY72" i="4" s="1"/>
  <c r="AZ72" i="4" s="1"/>
  <c r="BA72" i="4" s="1"/>
  <c r="BB72" i="4" s="1"/>
  <c r="AN70" i="4"/>
  <c r="AO70" i="4" s="1"/>
  <c r="AP70" i="4" s="1"/>
  <c r="AQ70" i="4" s="1"/>
  <c r="AR70" i="4" s="1"/>
  <c r="AS70" i="4" s="1"/>
  <c r="AT70" i="4" s="1"/>
  <c r="AU70" i="4" s="1"/>
  <c r="AV70" i="4" s="1"/>
  <c r="AW70" i="4" s="1"/>
  <c r="AX70" i="4" s="1"/>
  <c r="AY70" i="4" s="1"/>
  <c r="AZ70" i="4" s="1"/>
  <c r="BA70" i="4" s="1"/>
  <c r="BB70" i="4" s="1"/>
  <c r="AN99" i="4"/>
  <c r="AO99" i="4" s="1"/>
  <c r="AP99" i="4" s="1"/>
  <c r="AQ99" i="4" s="1"/>
  <c r="AR99" i="4" s="1"/>
  <c r="AS99" i="4" s="1"/>
  <c r="AT99" i="4" s="1"/>
  <c r="AU99" i="4" s="1"/>
  <c r="AV99" i="4" s="1"/>
  <c r="AW99" i="4" s="1"/>
  <c r="AX99" i="4" s="1"/>
  <c r="AY99" i="4" s="1"/>
  <c r="AZ99" i="4" s="1"/>
  <c r="BA99" i="4" s="1"/>
  <c r="BB99" i="4" s="1"/>
  <c r="AN48" i="4"/>
  <c r="AO48" i="4" s="1"/>
  <c r="AP48" i="4" s="1"/>
  <c r="AQ48" i="4" s="1"/>
  <c r="AR48" i="4" s="1"/>
  <c r="AS48" i="4" s="1"/>
  <c r="AT48" i="4" s="1"/>
  <c r="AU48" i="4" s="1"/>
  <c r="AV48" i="4" s="1"/>
  <c r="AW48" i="4" s="1"/>
  <c r="AX48" i="4" s="1"/>
  <c r="AY48" i="4" s="1"/>
  <c r="AZ48" i="4" s="1"/>
  <c r="BA48" i="4" s="1"/>
  <c r="BB48" i="4" s="1"/>
  <c r="AN105" i="4"/>
  <c r="AO105" i="4" s="1"/>
  <c r="AP105" i="4" s="1"/>
  <c r="AQ105" i="4" s="1"/>
  <c r="AR105" i="4" s="1"/>
  <c r="AS105" i="4" s="1"/>
  <c r="AT105" i="4" s="1"/>
  <c r="AU105" i="4" s="1"/>
  <c r="AV105" i="4" s="1"/>
  <c r="AW105" i="4" s="1"/>
  <c r="AX105" i="4" s="1"/>
  <c r="AY105" i="4" s="1"/>
  <c r="AZ105" i="4" s="1"/>
  <c r="BA105" i="4" s="1"/>
  <c r="BB105" i="4" s="1"/>
  <c r="AN75" i="4"/>
  <c r="AO75" i="4" s="1"/>
  <c r="AP75" i="4" s="1"/>
  <c r="AQ75" i="4" s="1"/>
  <c r="AR75" i="4" s="1"/>
  <c r="AS75" i="4" s="1"/>
  <c r="AT75" i="4" s="1"/>
  <c r="AU75" i="4" s="1"/>
  <c r="AV75" i="4" s="1"/>
  <c r="AW75" i="4" s="1"/>
  <c r="AX75" i="4" s="1"/>
  <c r="AY75" i="4" s="1"/>
  <c r="AZ75" i="4" s="1"/>
  <c r="BA75" i="4" s="1"/>
  <c r="BB75" i="4" s="1"/>
  <c r="AN54" i="4"/>
  <c r="AO54" i="4" s="1"/>
  <c r="AP54" i="4" s="1"/>
  <c r="AQ54" i="4" s="1"/>
  <c r="AR54" i="4" s="1"/>
  <c r="AS54" i="4" s="1"/>
  <c r="AT54" i="4" s="1"/>
  <c r="AU54" i="4" s="1"/>
  <c r="AV54" i="4" s="1"/>
  <c r="AW54" i="4" s="1"/>
  <c r="AX54" i="4" s="1"/>
  <c r="AY54" i="4" s="1"/>
  <c r="AZ54" i="4" s="1"/>
  <c r="BA54" i="4" s="1"/>
  <c r="BB54" i="4" s="1"/>
  <c r="AN60" i="4"/>
  <c r="AO60" i="4" s="1"/>
  <c r="AP60" i="4" s="1"/>
  <c r="AQ60" i="4" s="1"/>
  <c r="AR60" i="4" s="1"/>
  <c r="AS60" i="4" s="1"/>
  <c r="AT60" i="4" s="1"/>
  <c r="AU60" i="4" s="1"/>
  <c r="AV60" i="4" s="1"/>
  <c r="AW60" i="4" s="1"/>
  <c r="AX60" i="4" s="1"/>
  <c r="AY60" i="4" s="1"/>
  <c r="AZ60" i="4" s="1"/>
  <c r="BA60" i="4" s="1"/>
  <c r="BB60" i="4" s="1"/>
  <c r="AN104" i="4"/>
  <c r="AO104" i="4" s="1"/>
  <c r="AP104" i="4" s="1"/>
  <c r="AQ104" i="4" s="1"/>
  <c r="AR104" i="4" s="1"/>
  <c r="AS104" i="4" s="1"/>
  <c r="AT104" i="4" s="1"/>
  <c r="AU104" i="4" s="1"/>
  <c r="AV104" i="4" s="1"/>
  <c r="AW104" i="4" s="1"/>
  <c r="AX104" i="4" s="1"/>
  <c r="AY104" i="4" s="1"/>
  <c r="AZ104" i="4" s="1"/>
  <c r="BA104" i="4" s="1"/>
  <c r="BB104" i="4" s="1"/>
  <c r="AN102" i="4"/>
  <c r="AO102" i="4" s="1"/>
  <c r="AP102" i="4" s="1"/>
  <c r="AQ102" i="4" s="1"/>
  <c r="AR102" i="4" s="1"/>
  <c r="AS102" i="4" s="1"/>
  <c r="AT102" i="4" s="1"/>
  <c r="AU102" i="4" s="1"/>
  <c r="AV102" i="4" s="1"/>
  <c r="AW102" i="4" s="1"/>
  <c r="AX102" i="4" s="1"/>
  <c r="AY102" i="4" s="1"/>
  <c r="AZ102" i="4" s="1"/>
  <c r="BA102" i="4" s="1"/>
  <c r="BB102" i="4" s="1"/>
  <c r="AN90" i="4"/>
  <c r="AO90" i="4" s="1"/>
  <c r="AP90" i="4" s="1"/>
  <c r="AQ90" i="4" s="1"/>
  <c r="AR90" i="4" s="1"/>
  <c r="AS90" i="4" s="1"/>
  <c r="AT90" i="4" s="1"/>
  <c r="AU90" i="4" s="1"/>
  <c r="AV90" i="4" s="1"/>
  <c r="AW90" i="4" s="1"/>
  <c r="AX90" i="4" s="1"/>
  <c r="AY90" i="4" s="1"/>
  <c r="AZ90" i="4" s="1"/>
  <c r="BA90" i="4" s="1"/>
  <c r="BB90" i="4" s="1"/>
  <c r="AN67" i="4"/>
  <c r="AO67" i="4" s="1"/>
  <c r="AP67" i="4" s="1"/>
  <c r="AQ67" i="4" s="1"/>
  <c r="AR67" i="4" s="1"/>
  <c r="AS67" i="4" s="1"/>
  <c r="AT67" i="4" s="1"/>
  <c r="AU67" i="4" s="1"/>
  <c r="AV67" i="4" s="1"/>
  <c r="AW67" i="4" s="1"/>
  <c r="AX67" i="4" s="1"/>
  <c r="AY67" i="4" s="1"/>
  <c r="AZ67" i="4" s="1"/>
  <c r="BA67" i="4" s="1"/>
  <c r="BB67" i="4" s="1"/>
  <c r="AN49" i="4"/>
  <c r="AO49" i="4" s="1"/>
  <c r="AP49" i="4" s="1"/>
  <c r="AQ49" i="4" s="1"/>
  <c r="AR49" i="4" s="1"/>
  <c r="AS49" i="4" s="1"/>
  <c r="AT49" i="4" s="1"/>
  <c r="AU49" i="4" s="1"/>
  <c r="AV49" i="4" s="1"/>
  <c r="AW49" i="4" s="1"/>
  <c r="AX49" i="4" s="1"/>
  <c r="AY49" i="4" s="1"/>
  <c r="AZ49" i="4" s="1"/>
  <c r="BA49" i="4" s="1"/>
  <c r="BB49" i="4" s="1"/>
  <c r="AN74" i="4"/>
  <c r="AO74" i="4" s="1"/>
  <c r="AP74" i="4" s="1"/>
  <c r="AQ74" i="4" s="1"/>
  <c r="AR74" i="4" s="1"/>
  <c r="AS74" i="4" s="1"/>
  <c r="AT74" i="4" s="1"/>
  <c r="AU74" i="4" s="1"/>
  <c r="AV74" i="4" s="1"/>
  <c r="AW74" i="4" s="1"/>
  <c r="AX74" i="4" s="1"/>
  <c r="AY74" i="4" s="1"/>
  <c r="AZ74" i="4" s="1"/>
  <c r="BA74" i="4" s="1"/>
  <c r="BB74" i="4" s="1"/>
  <c r="AN51" i="4"/>
  <c r="AO51" i="4" s="1"/>
  <c r="AP51" i="4" s="1"/>
  <c r="AQ51" i="4" s="1"/>
  <c r="AR51" i="4" s="1"/>
  <c r="AS51" i="4" s="1"/>
  <c r="AT51" i="4" s="1"/>
  <c r="AU51" i="4" s="1"/>
  <c r="AV51" i="4" s="1"/>
  <c r="AW51" i="4" s="1"/>
  <c r="AX51" i="4" s="1"/>
  <c r="AY51" i="4" s="1"/>
  <c r="AZ51" i="4" s="1"/>
  <c r="BA51" i="4" s="1"/>
  <c r="BB51" i="4" s="1"/>
  <c r="AN92" i="4"/>
  <c r="AO92" i="4" s="1"/>
  <c r="AP92" i="4" s="1"/>
  <c r="AQ92" i="4" s="1"/>
  <c r="AR92" i="4" s="1"/>
  <c r="AS92" i="4" s="1"/>
  <c r="AT92" i="4" s="1"/>
  <c r="AU92" i="4" s="1"/>
  <c r="AV92" i="4" s="1"/>
  <c r="AW92" i="4" s="1"/>
  <c r="AX92" i="4" s="1"/>
  <c r="AY92" i="4" s="1"/>
  <c r="AZ92" i="4" s="1"/>
  <c r="BA92" i="4" s="1"/>
  <c r="BB92" i="4" s="1"/>
  <c r="AN78" i="4"/>
  <c r="AO78" i="4" s="1"/>
  <c r="AP78" i="4" s="1"/>
  <c r="AQ78" i="4" s="1"/>
  <c r="AR78" i="4" s="1"/>
  <c r="AS78" i="4" s="1"/>
  <c r="AT78" i="4" s="1"/>
  <c r="AU78" i="4" s="1"/>
  <c r="AV78" i="4" s="1"/>
  <c r="AW78" i="4" s="1"/>
  <c r="AX78" i="4" s="1"/>
  <c r="AY78" i="4" s="1"/>
  <c r="AZ78" i="4" s="1"/>
  <c r="BA78" i="4" s="1"/>
  <c r="BB78" i="4" s="1"/>
  <c r="AN93" i="4"/>
  <c r="AO93" i="4" s="1"/>
  <c r="AP93" i="4" s="1"/>
  <c r="AQ93" i="4" s="1"/>
  <c r="AR93" i="4" s="1"/>
  <c r="AS93" i="4" s="1"/>
  <c r="AT93" i="4" s="1"/>
  <c r="AU93" i="4" s="1"/>
  <c r="AV93" i="4" s="1"/>
  <c r="AW93" i="4" s="1"/>
  <c r="AX93" i="4" s="1"/>
  <c r="AY93" i="4" s="1"/>
  <c r="AZ93" i="4" s="1"/>
  <c r="BA93" i="4" s="1"/>
  <c r="BB93" i="4" s="1"/>
  <c r="AN71" i="4"/>
  <c r="AO71" i="4" s="1"/>
  <c r="AP71" i="4" s="1"/>
  <c r="AQ71" i="4" s="1"/>
  <c r="AR71" i="4" s="1"/>
  <c r="AS71" i="4" s="1"/>
  <c r="AT71" i="4" s="1"/>
  <c r="AU71" i="4" s="1"/>
  <c r="AV71" i="4" s="1"/>
  <c r="AW71" i="4" s="1"/>
  <c r="AX71" i="4" s="1"/>
  <c r="AY71" i="4" s="1"/>
  <c r="AZ71" i="4" s="1"/>
  <c r="BA71" i="4" s="1"/>
  <c r="BB71" i="4" s="1"/>
  <c r="AN83" i="4"/>
  <c r="AO83" i="4" s="1"/>
  <c r="AP83" i="4" s="1"/>
  <c r="AQ83" i="4" s="1"/>
  <c r="AR83" i="4" s="1"/>
  <c r="AS83" i="4" s="1"/>
  <c r="AT83" i="4" s="1"/>
  <c r="AU83" i="4" s="1"/>
  <c r="AV83" i="4" s="1"/>
  <c r="AW83" i="4" s="1"/>
  <c r="AX83" i="4" s="1"/>
  <c r="AY83" i="4" s="1"/>
  <c r="AZ83" i="4" s="1"/>
  <c r="BA83" i="4" s="1"/>
  <c r="BB83" i="4" s="1"/>
  <c r="AN79" i="4"/>
  <c r="AO79" i="4" s="1"/>
  <c r="AP79" i="4" s="1"/>
  <c r="AQ79" i="4" s="1"/>
  <c r="AR79" i="4" s="1"/>
  <c r="AS79" i="4" s="1"/>
  <c r="AT79" i="4" s="1"/>
  <c r="AU79" i="4" s="1"/>
  <c r="AV79" i="4" s="1"/>
  <c r="AW79" i="4" s="1"/>
  <c r="AX79" i="4" s="1"/>
  <c r="AY79" i="4" s="1"/>
  <c r="AZ79" i="4" s="1"/>
  <c r="BA79" i="4" s="1"/>
  <c r="BB79" i="4" s="1"/>
  <c r="AN63" i="4"/>
  <c r="AO63" i="4" s="1"/>
  <c r="AP63" i="4" s="1"/>
  <c r="AQ63" i="4" s="1"/>
  <c r="AR63" i="4" s="1"/>
  <c r="AS63" i="4" s="1"/>
  <c r="AT63" i="4" s="1"/>
  <c r="AU63" i="4" s="1"/>
  <c r="AV63" i="4" s="1"/>
  <c r="AW63" i="4" s="1"/>
  <c r="AX63" i="4" s="1"/>
  <c r="AY63" i="4" s="1"/>
  <c r="AZ63" i="4" s="1"/>
  <c r="BA63" i="4" s="1"/>
  <c r="BB63" i="4" s="1"/>
  <c r="AN56" i="4"/>
  <c r="AO56" i="4" s="1"/>
  <c r="AP56" i="4" s="1"/>
  <c r="AQ56" i="4" s="1"/>
  <c r="AR56" i="4" s="1"/>
  <c r="AS56" i="4" s="1"/>
  <c r="AT56" i="4" s="1"/>
  <c r="AU56" i="4" s="1"/>
  <c r="AV56" i="4" s="1"/>
  <c r="AW56" i="4" s="1"/>
  <c r="AX56" i="4" s="1"/>
  <c r="AY56" i="4" s="1"/>
  <c r="AZ56" i="4" s="1"/>
  <c r="BA56" i="4" s="1"/>
  <c r="BB56" i="4" s="1"/>
  <c r="AN95" i="4"/>
  <c r="AO95" i="4" s="1"/>
  <c r="AP95" i="4" s="1"/>
  <c r="AQ95" i="4" s="1"/>
  <c r="AR95" i="4" s="1"/>
  <c r="AS95" i="4" s="1"/>
  <c r="AT95" i="4" s="1"/>
  <c r="AU95" i="4" s="1"/>
  <c r="AV95" i="4" s="1"/>
  <c r="AW95" i="4" s="1"/>
  <c r="AX95" i="4" s="1"/>
  <c r="AY95" i="4" s="1"/>
  <c r="AZ95" i="4" s="1"/>
  <c r="BA95" i="4" s="1"/>
  <c r="BB95" i="4" s="1"/>
  <c r="AN101" i="4"/>
  <c r="AO101" i="4" s="1"/>
  <c r="AP101" i="4" s="1"/>
  <c r="AQ101" i="4" s="1"/>
  <c r="AR101" i="4" s="1"/>
  <c r="AS101" i="4" s="1"/>
  <c r="AT101" i="4" s="1"/>
  <c r="AU101" i="4" s="1"/>
  <c r="AV101" i="4" s="1"/>
  <c r="AW101" i="4" s="1"/>
  <c r="AX101" i="4" s="1"/>
  <c r="AY101" i="4" s="1"/>
  <c r="AZ101" i="4" s="1"/>
  <c r="BA101" i="4" s="1"/>
  <c r="BB101" i="4" s="1"/>
  <c r="AN69" i="4"/>
  <c r="AO69" i="4" s="1"/>
  <c r="AP69" i="4" s="1"/>
  <c r="AQ69" i="4" s="1"/>
  <c r="AR69" i="4" s="1"/>
  <c r="AS69" i="4" s="1"/>
  <c r="AT69" i="4" s="1"/>
  <c r="AU69" i="4" s="1"/>
  <c r="AV69" i="4" s="1"/>
  <c r="AW69" i="4" s="1"/>
  <c r="AX69" i="4" s="1"/>
  <c r="AY69" i="4" s="1"/>
  <c r="AZ69" i="4" s="1"/>
  <c r="BA69" i="4" s="1"/>
  <c r="BB69" i="4" s="1"/>
  <c r="AN103" i="4"/>
  <c r="AO103" i="4" s="1"/>
  <c r="AP103" i="4" s="1"/>
  <c r="AQ103" i="4" s="1"/>
  <c r="AR103" i="4" s="1"/>
  <c r="AS103" i="4" s="1"/>
  <c r="AT103" i="4" s="1"/>
  <c r="AU103" i="4" s="1"/>
  <c r="AV103" i="4" s="1"/>
  <c r="AW103" i="4" s="1"/>
  <c r="AX103" i="4" s="1"/>
  <c r="AY103" i="4" s="1"/>
  <c r="AZ103" i="4" s="1"/>
  <c r="BA103" i="4" s="1"/>
  <c r="BB103" i="4" s="1"/>
  <c r="AN55" i="4"/>
  <c r="AO55" i="4" s="1"/>
  <c r="AP55" i="4" s="1"/>
  <c r="AQ55" i="4" s="1"/>
  <c r="AR55" i="4" s="1"/>
  <c r="AS55" i="4" s="1"/>
  <c r="AT55" i="4" s="1"/>
  <c r="AU55" i="4" s="1"/>
  <c r="AV55" i="4" s="1"/>
  <c r="AW55" i="4" s="1"/>
  <c r="AX55" i="4" s="1"/>
  <c r="AY55" i="4" s="1"/>
  <c r="AZ55" i="4" s="1"/>
  <c r="BA55" i="4" s="1"/>
  <c r="BB55" i="4" s="1"/>
  <c r="AN76" i="4"/>
  <c r="AO76" i="4" s="1"/>
  <c r="AP76" i="4" s="1"/>
  <c r="AQ76" i="4" s="1"/>
  <c r="AR76" i="4" s="1"/>
  <c r="AS76" i="4" s="1"/>
  <c r="AT76" i="4" s="1"/>
  <c r="AU76" i="4" s="1"/>
  <c r="AV76" i="4" s="1"/>
  <c r="AW76" i="4" s="1"/>
  <c r="AX76" i="4" s="1"/>
  <c r="AY76" i="4" s="1"/>
  <c r="AZ76" i="4" s="1"/>
  <c r="BA76" i="4" s="1"/>
  <c r="BB76" i="4" s="1"/>
  <c r="AN47" i="4"/>
  <c r="AO47" i="4" s="1"/>
  <c r="AP47" i="4" s="1"/>
  <c r="AQ47" i="4" s="1"/>
  <c r="AR47" i="4" s="1"/>
  <c r="AS47" i="4" s="1"/>
  <c r="AT47" i="4" s="1"/>
  <c r="AU47" i="4" s="1"/>
  <c r="AV47" i="4" s="1"/>
  <c r="AW47" i="4" s="1"/>
  <c r="AX47" i="4" s="1"/>
  <c r="AY47" i="4" s="1"/>
  <c r="AZ47" i="4" s="1"/>
  <c r="BA47" i="4" s="1"/>
  <c r="BB47" i="4" s="1"/>
  <c r="AN96" i="4"/>
  <c r="AO96" i="4" s="1"/>
  <c r="AP96" i="4" s="1"/>
  <c r="AQ96" i="4" s="1"/>
  <c r="AR96" i="4" s="1"/>
  <c r="AS96" i="4" s="1"/>
  <c r="AT96" i="4" s="1"/>
  <c r="AU96" i="4" s="1"/>
  <c r="AV96" i="4" s="1"/>
  <c r="AW96" i="4" s="1"/>
  <c r="AX96" i="4" s="1"/>
  <c r="AY96" i="4" s="1"/>
  <c r="AZ96" i="4" s="1"/>
  <c r="BA96" i="4" s="1"/>
  <c r="BB96" i="4" s="1"/>
  <c r="AN84" i="4"/>
  <c r="AO84" i="4" s="1"/>
  <c r="AP84" i="4" s="1"/>
  <c r="AQ84" i="4" s="1"/>
  <c r="AR84" i="4" s="1"/>
  <c r="AS84" i="4" s="1"/>
  <c r="AT84" i="4" s="1"/>
  <c r="AU84" i="4" s="1"/>
  <c r="AV84" i="4" s="1"/>
  <c r="AW84" i="4" s="1"/>
  <c r="AX84" i="4" s="1"/>
  <c r="AY84" i="4" s="1"/>
  <c r="AZ84" i="4" s="1"/>
  <c r="BA84" i="4" s="1"/>
  <c r="BB84" i="4" s="1"/>
  <c r="AN68" i="4"/>
  <c r="AO68" i="4" s="1"/>
  <c r="AP68" i="4" s="1"/>
  <c r="AQ68" i="4" s="1"/>
  <c r="AR68" i="4" s="1"/>
  <c r="AS68" i="4" s="1"/>
  <c r="AT68" i="4" s="1"/>
  <c r="AU68" i="4" s="1"/>
  <c r="AV68" i="4" s="1"/>
  <c r="AW68" i="4" s="1"/>
  <c r="AX68" i="4" s="1"/>
  <c r="AY68" i="4" s="1"/>
  <c r="AZ68" i="4" s="1"/>
  <c r="BA68" i="4" s="1"/>
  <c r="BB68" i="4" s="1"/>
  <c r="AN65" i="4"/>
  <c r="AO65" i="4" s="1"/>
  <c r="AP65" i="4" s="1"/>
  <c r="AQ65" i="4" s="1"/>
  <c r="AR65" i="4" s="1"/>
  <c r="AS65" i="4" s="1"/>
  <c r="AT65" i="4" s="1"/>
  <c r="AU65" i="4" s="1"/>
  <c r="AV65" i="4" s="1"/>
  <c r="AW65" i="4" s="1"/>
  <c r="AX65" i="4" s="1"/>
  <c r="AY65" i="4" s="1"/>
  <c r="AZ65" i="4" s="1"/>
  <c r="BA65" i="4" s="1"/>
  <c r="BB65" i="4" s="1"/>
  <c r="AN81" i="4"/>
  <c r="AO81" i="4" s="1"/>
  <c r="AP81" i="4" s="1"/>
  <c r="AQ81" i="4" s="1"/>
  <c r="AR81" i="4" s="1"/>
  <c r="AS81" i="4" s="1"/>
  <c r="AT81" i="4" s="1"/>
  <c r="AU81" i="4" s="1"/>
  <c r="AV81" i="4" s="1"/>
  <c r="AW81" i="4" s="1"/>
  <c r="AX81" i="4" s="1"/>
  <c r="AY81" i="4" s="1"/>
  <c r="AZ81" i="4" s="1"/>
  <c r="BA81" i="4" s="1"/>
  <c r="BB81" i="4" s="1"/>
  <c r="AN64" i="4"/>
  <c r="AO64" i="4" s="1"/>
  <c r="AP64" i="4" s="1"/>
  <c r="AQ64" i="4" s="1"/>
  <c r="AR64" i="4" s="1"/>
  <c r="AS64" i="4" s="1"/>
  <c r="AT64" i="4" s="1"/>
  <c r="AU64" i="4" s="1"/>
  <c r="AV64" i="4" s="1"/>
  <c r="AW64" i="4" s="1"/>
  <c r="AX64" i="4" s="1"/>
  <c r="AY64" i="4" s="1"/>
  <c r="AZ64" i="4" s="1"/>
  <c r="BA64" i="4" s="1"/>
  <c r="BB64" i="4" s="1"/>
  <c r="AN82" i="4"/>
  <c r="AO82" i="4" s="1"/>
  <c r="AP82" i="4" s="1"/>
  <c r="AQ82" i="4" s="1"/>
  <c r="AR82" i="4" s="1"/>
  <c r="AS82" i="4" s="1"/>
  <c r="AT82" i="4" s="1"/>
  <c r="AU82" i="4" s="1"/>
  <c r="AV82" i="4" s="1"/>
  <c r="AW82" i="4" s="1"/>
  <c r="AX82" i="4" s="1"/>
  <c r="AY82" i="4" s="1"/>
  <c r="AZ82" i="4" s="1"/>
  <c r="BA82" i="4" s="1"/>
  <c r="BB82" i="4" s="1"/>
  <c r="AN53" i="4"/>
  <c r="AO53" i="4" s="1"/>
  <c r="AP53" i="4" s="1"/>
  <c r="AQ53" i="4" s="1"/>
  <c r="AR53" i="4" s="1"/>
  <c r="AS53" i="4" s="1"/>
  <c r="AT53" i="4" s="1"/>
  <c r="AU53" i="4" s="1"/>
  <c r="AV53" i="4" s="1"/>
  <c r="AW53" i="4" s="1"/>
  <c r="AX53" i="4" s="1"/>
  <c r="AY53" i="4" s="1"/>
  <c r="AZ53" i="4" s="1"/>
  <c r="BA53" i="4" s="1"/>
  <c r="BB53" i="4" s="1"/>
  <c r="AN94" i="4"/>
  <c r="AO94" i="4" s="1"/>
  <c r="AP94" i="4" s="1"/>
  <c r="AQ94" i="4" s="1"/>
  <c r="AR94" i="4" s="1"/>
  <c r="AS94" i="4" s="1"/>
  <c r="AT94" i="4" s="1"/>
  <c r="AU94" i="4" s="1"/>
  <c r="AV94" i="4" s="1"/>
  <c r="AW94" i="4" s="1"/>
  <c r="AX94" i="4" s="1"/>
  <c r="AY94" i="4" s="1"/>
  <c r="AZ94" i="4" s="1"/>
  <c r="BA94" i="4" s="1"/>
  <c r="BB94" i="4" s="1"/>
  <c r="AN61" i="4"/>
  <c r="AO61" i="4" s="1"/>
  <c r="AP61" i="4" s="1"/>
  <c r="AQ61" i="4" s="1"/>
  <c r="AR61" i="4" s="1"/>
  <c r="AS61" i="4" s="1"/>
  <c r="AT61" i="4" s="1"/>
  <c r="AU61" i="4" s="1"/>
  <c r="AV61" i="4" s="1"/>
  <c r="AW61" i="4" s="1"/>
  <c r="AX61" i="4" s="1"/>
  <c r="AY61" i="4" s="1"/>
  <c r="AZ61" i="4" s="1"/>
  <c r="BA61" i="4" s="1"/>
  <c r="BB61" i="4" s="1"/>
  <c r="AN97" i="4"/>
  <c r="AO97" i="4" s="1"/>
  <c r="AP97" i="4" s="1"/>
  <c r="AQ97" i="4" s="1"/>
  <c r="AR97" i="4" s="1"/>
  <c r="AS97" i="4" s="1"/>
  <c r="AT97" i="4" s="1"/>
  <c r="AU97" i="4" s="1"/>
  <c r="AV97" i="4" s="1"/>
  <c r="AW97" i="4" s="1"/>
  <c r="AX97" i="4" s="1"/>
  <c r="AY97" i="4" s="1"/>
  <c r="AZ97" i="4" s="1"/>
  <c r="BA97" i="4" s="1"/>
  <c r="BB97" i="4" s="1"/>
  <c r="AN86" i="4"/>
  <c r="AO86" i="4" s="1"/>
  <c r="AP86" i="4" s="1"/>
  <c r="AQ86" i="4" s="1"/>
  <c r="AR86" i="4" s="1"/>
  <c r="AS86" i="4" s="1"/>
  <c r="AT86" i="4" s="1"/>
  <c r="AU86" i="4" s="1"/>
  <c r="AV86" i="4" s="1"/>
  <c r="AW86" i="4" s="1"/>
  <c r="AX86" i="4" s="1"/>
  <c r="AY86" i="4" s="1"/>
  <c r="AZ86" i="4" s="1"/>
  <c r="BA86" i="4" s="1"/>
  <c r="BB86" i="4" s="1"/>
  <c r="AN91" i="4"/>
  <c r="AO91" i="4" s="1"/>
  <c r="AP91" i="4" s="1"/>
  <c r="AQ91" i="4" s="1"/>
  <c r="AR91" i="4" s="1"/>
  <c r="AS91" i="4" s="1"/>
  <c r="AT91" i="4" s="1"/>
  <c r="AU91" i="4" s="1"/>
  <c r="AV91" i="4" s="1"/>
  <c r="AW91" i="4" s="1"/>
  <c r="AX91" i="4" s="1"/>
  <c r="AY91" i="4" s="1"/>
  <c r="AZ91" i="4" s="1"/>
  <c r="BA91" i="4" s="1"/>
  <c r="BB91" i="4" s="1"/>
  <c r="AN59" i="4"/>
  <c r="AO59" i="4" s="1"/>
  <c r="AP59" i="4" s="1"/>
  <c r="AQ59" i="4" s="1"/>
  <c r="AR59" i="4" s="1"/>
  <c r="AS59" i="4" s="1"/>
  <c r="AT59" i="4" s="1"/>
  <c r="AU59" i="4" s="1"/>
  <c r="AV59" i="4" s="1"/>
  <c r="AW59" i="4" s="1"/>
  <c r="AX59" i="4" s="1"/>
  <c r="AY59" i="4" s="1"/>
  <c r="AZ59" i="4" s="1"/>
  <c r="BA59" i="4" s="1"/>
  <c r="BB59" i="4" s="1"/>
  <c r="AN98" i="4"/>
  <c r="AO98" i="4" s="1"/>
  <c r="AP98" i="4" s="1"/>
  <c r="AQ98" i="4" s="1"/>
  <c r="AR98" i="4" s="1"/>
  <c r="AS98" i="4" s="1"/>
  <c r="AT98" i="4" s="1"/>
  <c r="AU98" i="4" s="1"/>
  <c r="AV98" i="4" s="1"/>
  <c r="AW98" i="4" s="1"/>
  <c r="AX98" i="4" s="1"/>
  <c r="AY98" i="4" s="1"/>
  <c r="AZ98" i="4" s="1"/>
  <c r="BA98" i="4" s="1"/>
  <c r="BB98" i="4" s="1"/>
  <c r="AN52" i="4"/>
  <c r="AO52" i="4" s="1"/>
  <c r="AP52" i="4" s="1"/>
  <c r="AQ52" i="4" s="1"/>
  <c r="AR52" i="4" s="1"/>
  <c r="AS52" i="4" s="1"/>
  <c r="AT52" i="4" s="1"/>
  <c r="AU52" i="4" s="1"/>
  <c r="AV52" i="4" s="1"/>
  <c r="AW52" i="4" s="1"/>
  <c r="AX52" i="4" s="1"/>
  <c r="AY52" i="4" s="1"/>
  <c r="AZ52" i="4" s="1"/>
  <c r="BA52" i="4" s="1"/>
  <c r="BB52" i="4" s="1"/>
  <c r="AN62" i="4"/>
  <c r="AO62" i="4" s="1"/>
  <c r="AP62" i="4" s="1"/>
  <c r="AQ62" i="4" s="1"/>
  <c r="AR62" i="4" s="1"/>
  <c r="AS62" i="4" s="1"/>
  <c r="AT62" i="4" s="1"/>
  <c r="AU62" i="4" s="1"/>
  <c r="AV62" i="4" s="1"/>
  <c r="AW62" i="4" s="1"/>
  <c r="AX62" i="4" s="1"/>
  <c r="AY62" i="4" s="1"/>
  <c r="AZ62" i="4" s="1"/>
  <c r="BA62" i="4" s="1"/>
  <c r="BB62" i="4" s="1"/>
  <c r="AN46" i="4"/>
  <c r="AO46" i="4" s="1"/>
  <c r="AP46" i="4" s="1"/>
  <c r="AQ46" i="4" s="1"/>
  <c r="AR46" i="4" s="1"/>
  <c r="AS46" i="4" s="1"/>
  <c r="AT46" i="4" s="1"/>
  <c r="AU46" i="4" s="1"/>
  <c r="AV46" i="4" s="1"/>
  <c r="AW46" i="4" s="1"/>
  <c r="AX46" i="4" s="1"/>
  <c r="AY46" i="4" s="1"/>
  <c r="AZ46" i="4" s="1"/>
  <c r="BA46" i="4" s="1"/>
  <c r="BB46" i="4" s="1"/>
  <c r="AN66" i="4"/>
  <c r="AO66" i="4" s="1"/>
  <c r="AP66" i="4" s="1"/>
  <c r="AQ66" i="4" s="1"/>
  <c r="AR66" i="4" s="1"/>
  <c r="AS66" i="4" s="1"/>
  <c r="AT66" i="4" s="1"/>
  <c r="AU66" i="4" s="1"/>
  <c r="AV66" i="4" s="1"/>
  <c r="AW66" i="4" s="1"/>
  <c r="AX66" i="4" s="1"/>
  <c r="AY66" i="4" s="1"/>
  <c r="AZ66" i="4" s="1"/>
  <c r="BA66" i="4" s="1"/>
  <c r="BB66" i="4" s="1"/>
  <c r="AN87" i="4"/>
  <c r="AO87" i="4" s="1"/>
  <c r="AP87" i="4" s="1"/>
  <c r="AQ87" i="4" s="1"/>
  <c r="AR87" i="4" s="1"/>
  <c r="AS87" i="4" s="1"/>
  <c r="AT87" i="4" s="1"/>
  <c r="AU87" i="4" s="1"/>
  <c r="AV87" i="4" s="1"/>
  <c r="AW87" i="4" s="1"/>
  <c r="AX87" i="4" s="1"/>
  <c r="AY87" i="4" s="1"/>
  <c r="AZ87" i="4" s="1"/>
  <c r="BA87" i="4" s="1"/>
  <c r="BB87" i="4" s="1"/>
  <c r="AN58" i="4"/>
  <c r="AO58" i="4" s="1"/>
  <c r="AP58" i="4" s="1"/>
  <c r="AQ58" i="4" s="1"/>
  <c r="AR58" i="4" s="1"/>
  <c r="AS58" i="4" s="1"/>
  <c r="AT58" i="4" s="1"/>
  <c r="AU58" i="4" s="1"/>
  <c r="AV58" i="4" s="1"/>
  <c r="AW58" i="4" s="1"/>
  <c r="AX58" i="4" s="1"/>
  <c r="AY58" i="4" s="1"/>
  <c r="AZ58" i="4" s="1"/>
  <c r="BA58" i="4" s="1"/>
  <c r="BB58" i="4" s="1"/>
  <c r="AN50" i="4"/>
  <c r="AO50" i="4" s="1"/>
  <c r="AP50" i="4" s="1"/>
  <c r="AQ50" i="4" s="1"/>
  <c r="AR50" i="4" s="1"/>
  <c r="AS50" i="4" s="1"/>
  <c r="AT50" i="4" s="1"/>
  <c r="AU50" i="4" s="1"/>
  <c r="AV50" i="4" s="1"/>
  <c r="AW50" i="4" s="1"/>
  <c r="AX50" i="4" s="1"/>
  <c r="AY50" i="4" s="1"/>
  <c r="AZ50" i="4" s="1"/>
  <c r="BA50" i="4" s="1"/>
  <c r="BB50" i="4" s="1"/>
  <c r="AN100" i="4"/>
  <c r="AO100" i="4" s="1"/>
  <c r="AP100" i="4" s="1"/>
  <c r="AQ100" i="4" s="1"/>
  <c r="AR100" i="4" s="1"/>
  <c r="AS100" i="4" s="1"/>
  <c r="AT100" i="4" s="1"/>
  <c r="AU100" i="4" s="1"/>
  <c r="AV100" i="4" s="1"/>
  <c r="AW100" i="4" s="1"/>
  <c r="AX100" i="4" s="1"/>
  <c r="AY100" i="4" s="1"/>
  <c r="AZ100" i="4" s="1"/>
  <c r="BA100" i="4" s="1"/>
  <c r="BB100" i="4" s="1"/>
  <c r="AN89" i="4"/>
  <c r="AO89" i="4" s="1"/>
  <c r="AP89" i="4" s="1"/>
  <c r="AQ89" i="4" s="1"/>
  <c r="AR89" i="4" s="1"/>
  <c r="AS89" i="4" s="1"/>
  <c r="AT89" i="4" s="1"/>
  <c r="AU89" i="4" s="1"/>
  <c r="AV89" i="4" s="1"/>
  <c r="AW89" i="4" s="1"/>
  <c r="AX89" i="4" s="1"/>
  <c r="AY89" i="4" s="1"/>
  <c r="AZ89" i="4" s="1"/>
  <c r="BA89" i="4" s="1"/>
  <c r="BB89" i="4" s="1"/>
  <c r="AN77" i="4"/>
  <c r="AO77" i="4" s="1"/>
  <c r="AP77" i="4" s="1"/>
  <c r="AQ77" i="4" s="1"/>
  <c r="AR77" i="4" s="1"/>
  <c r="AS77" i="4" s="1"/>
  <c r="AT77" i="4" s="1"/>
  <c r="AU77" i="4" s="1"/>
  <c r="AV77" i="4" s="1"/>
  <c r="AW77" i="4" s="1"/>
  <c r="AX77" i="4" s="1"/>
  <c r="AY77" i="4" s="1"/>
  <c r="AZ77" i="4" s="1"/>
  <c r="BA77" i="4" s="1"/>
  <c r="BB77" i="4" s="1"/>
  <c r="E316" i="3"/>
  <c r="AC78" i="4" l="1"/>
  <c r="AC36" i="4"/>
  <c r="AC41" i="4"/>
  <c r="AC33" i="4"/>
  <c r="AC90" i="4"/>
  <c r="AC17" i="4"/>
  <c r="AC68" i="4"/>
  <c r="AC25" i="4"/>
  <c r="AC57" i="4"/>
  <c r="AK315" i="3"/>
  <c r="AC8" i="4"/>
  <c r="AC28" i="4"/>
  <c r="AC67" i="4"/>
  <c r="AC6" i="4"/>
  <c r="AC10" i="4"/>
  <c r="AC95" i="4"/>
  <c r="AC80" i="4"/>
  <c r="AC7" i="4"/>
  <c r="AC101" i="4"/>
  <c r="AC43" i="4"/>
  <c r="AC85" i="4"/>
  <c r="G107" i="4"/>
  <c r="BG107" i="4" s="1"/>
  <c r="AR315" i="3"/>
  <c r="AC20" i="4"/>
  <c r="AC64" i="4"/>
  <c r="AC46" i="4"/>
  <c r="AC18" i="4"/>
  <c r="AC14" i="4"/>
  <c r="AC59" i="4"/>
  <c r="AC61" i="4"/>
  <c r="AC13" i="4"/>
  <c r="AC11" i="4"/>
  <c r="AC16" i="4"/>
  <c r="AN315" i="3"/>
  <c r="AC56" i="4"/>
  <c r="AC84" i="4"/>
  <c r="AC60" i="4"/>
  <c r="AC106" i="4"/>
  <c r="AC58" i="4"/>
  <c r="AC35" i="4"/>
  <c r="AV106" i="4"/>
  <c r="AW106" i="4" s="1"/>
  <c r="AX106" i="4" s="1"/>
  <c r="AY106" i="4" s="1"/>
  <c r="AZ106" i="4" s="1"/>
  <c r="BA106" i="4" s="1"/>
  <c r="BB106" i="4" s="1"/>
  <c r="AC83" i="4"/>
  <c r="AC74" i="4"/>
  <c r="AC27" i="4"/>
  <c r="AC4" i="4"/>
  <c r="AC102" i="4"/>
  <c r="AC15" i="4"/>
  <c r="AF316" i="3"/>
  <c r="I107" i="4" s="1" a="1"/>
  <c r="I107" i="4" s="1"/>
  <c r="AC62" i="4"/>
  <c r="AC99" i="4"/>
  <c r="AC86" i="4"/>
  <c r="AC103" i="4"/>
  <c r="AC54" i="4"/>
  <c r="AC97" i="4"/>
  <c r="AC72" i="4"/>
  <c r="AC37" i="4"/>
  <c r="E317" i="3"/>
  <c r="AF317" i="3" l="1"/>
  <c r="L107" i="4" a="1"/>
  <c r="L107" i="4" s="1"/>
  <c r="M107" i="4" a="1"/>
  <c r="M107" i="4" s="1"/>
  <c r="K107" i="4" a="1"/>
  <c r="K107" i="4" s="1"/>
  <c r="AR316" i="3"/>
  <c r="J107" i="4" a="1"/>
  <c r="J107" i="4" s="1"/>
  <c r="H107" i="4" a="1"/>
  <c r="H107" i="4" s="1"/>
  <c r="AN107" i="4" s="1"/>
  <c r="AC2" i="4"/>
  <c r="I1" i="3" s="1"/>
  <c r="AR317" i="3"/>
  <c r="O107" i="4" a="1"/>
  <c r="O107" i="4" s="1"/>
  <c r="P107" i="4" a="1"/>
  <c r="P107" i="4" s="1"/>
  <c r="N107" i="4" a="1"/>
  <c r="N107" i="4" s="1"/>
  <c r="Q107" i="4" a="1"/>
  <c r="Q107" i="4" s="1"/>
  <c r="E318" i="3"/>
  <c r="AF318" i="3" l="1"/>
  <c r="AO107" i="4"/>
  <c r="AP107" i="4" s="1"/>
  <c r="AQ107" i="4" s="1"/>
  <c r="AR107" i="4" s="1"/>
  <c r="AS107" i="4" s="1"/>
  <c r="AT107" i="4" s="1"/>
  <c r="AU107" i="4" s="1"/>
  <c r="AV107" i="4" s="1"/>
  <c r="D49" i="4"/>
  <c r="E49" i="4" s="1"/>
  <c r="F49" i="4" s="1"/>
  <c r="AK52" i="4"/>
  <c r="AD102" i="4"/>
  <c r="AE102" i="4" s="1"/>
  <c r="AG102" i="4" s="1"/>
  <c r="D48" i="4"/>
  <c r="D28" i="5" s="1"/>
  <c r="AI59" i="4"/>
  <c r="D77" i="4"/>
  <c r="C42" i="5" s="1"/>
  <c r="AK76" i="4"/>
  <c r="AD84" i="4"/>
  <c r="AE84" i="4" s="1"/>
  <c r="AF84" i="4" s="1"/>
  <c r="D80" i="4"/>
  <c r="E80" i="4" s="1"/>
  <c r="F80" i="4" s="1"/>
  <c r="BE80" i="4" s="1"/>
  <c r="AB80" i="4" s="1"/>
  <c r="D42" i="4"/>
  <c r="D25" i="5" s="1"/>
  <c r="AI46" i="4"/>
  <c r="AI19" i="4"/>
  <c r="AI22" i="4"/>
  <c r="D30" i="4"/>
  <c r="E30" i="4" s="1"/>
  <c r="F30" i="4" s="1"/>
  <c r="AO109" i="3" s="1"/>
  <c r="AP109" i="3" s="1"/>
  <c r="X109" i="3" s="1"/>
  <c r="AK47" i="4"/>
  <c r="AD32" i="4"/>
  <c r="AE32" i="4" s="1"/>
  <c r="AG32" i="4" s="1"/>
  <c r="AI23" i="4"/>
  <c r="AK37" i="4"/>
  <c r="AK32" i="4"/>
  <c r="AD34" i="4"/>
  <c r="AE34" i="4" s="1"/>
  <c r="AF34" i="4" s="1"/>
  <c r="D99" i="4"/>
  <c r="E99" i="4" s="1"/>
  <c r="F99" i="4" s="1"/>
  <c r="BE99" i="4" s="1"/>
  <c r="AO298" i="3" s="1"/>
  <c r="AP298" i="3" s="1"/>
  <c r="X298" i="3" s="1"/>
  <c r="AK102" i="4"/>
  <c r="AK36" i="4"/>
  <c r="D45" i="4"/>
  <c r="C26" i="5" s="1"/>
  <c r="AI49" i="4"/>
  <c r="AD74" i="4"/>
  <c r="AE74" i="4" s="1"/>
  <c r="AG74" i="4" s="1"/>
  <c r="AI93" i="4"/>
  <c r="D78" i="4"/>
  <c r="D43" i="5" s="1"/>
  <c r="D105" i="4"/>
  <c r="E105" i="4" s="1"/>
  <c r="F105" i="4" s="1"/>
  <c r="BE105" i="4" s="1"/>
  <c r="AO310" i="3" s="1"/>
  <c r="AP310" i="3" s="1"/>
  <c r="X310" i="3" s="1"/>
  <c r="AI11" i="4"/>
  <c r="AK24" i="4"/>
  <c r="AI48" i="4"/>
  <c r="AI83" i="4"/>
  <c r="D74" i="4"/>
  <c r="E74" i="4" s="1"/>
  <c r="F74" i="4" s="1"/>
  <c r="AO209" i="3" s="1"/>
  <c r="AP209" i="3" s="1"/>
  <c r="X209" i="3" s="1"/>
  <c r="D82" i="4"/>
  <c r="E82" i="4" s="1"/>
  <c r="F82" i="4" s="1"/>
  <c r="BE82" i="4" s="1"/>
  <c r="AO257" i="3" s="1"/>
  <c r="AP257" i="3" s="1"/>
  <c r="X257" i="3" s="1"/>
  <c r="AI87" i="4"/>
  <c r="AD29" i="4"/>
  <c r="AE29" i="4" s="1"/>
  <c r="AF29" i="4" s="1"/>
  <c r="AD49" i="4"/>
  <c r="AE49" i="4" s="1"/>
  <c r="AF49" i="4" s="1"/>
  <c r="AD37" i="4"/>
  <c r="AE37" i="4" s="1"/>
  <c r="AG37" i="4" s="1"/>
  <c r="AK66" i="4"/>
  <c r="S107" i="4" a="1"/>
  <c r="S107" i="4" s="1"/>
  <c r="AD65" i="4"/>
  <c r="AE65" i="4" s="1"/>
  <c r="AG65" i="4" s="1"/>
  <c r="AD101" i="4"/>
  <c r="AE101" i="4" s="1"/>
  <c r="AG101" i="4" s="1"/>
  <c r="D22" i="4"/>
  <c r="AI24" i="4"/>
  <c r="C28" i="5"/>
  <c r="AD87" i="4"/>
  <c r="AE87" i="4" s="1"/>
  <c r="AK86" i="4"/>
  <c r="BE49" i="4"/>
  <c r="AO158" i="3"/>
  <c r="AP158" i="3" s="1"/>
  <c r="X158" i="3" s="1"/>
  <c r="AK71" i="4" l="1"/>
  <c r="AK29" i="4"/>
  <c r="AI39" i="4"/>
  <c r="AK97" i="4"/>
  <c r="AK26" i="4"/>
  <c r="AI78" i="4"/>
  <c r="AK56" i="4"/>
  <c r="AK28" i="4"/>
  <c r="AD99" i="4"/>
  <c r="AE99" i="4" s="1"/>
  <c r="AD103" i="4"/>
  <c r="AE103" i="4" s="1"/>
  <c r="AI91" i="4"/>
  <c r="AI33" i="4"/>
  <c r="AD16" i="4"/>
  <c r="AE16" i="4" s="1"/>
  <c r="AI50" i="4"/>
  <c r="AI5" i="4"/>
  <c r="D32" i="4"/>
  <c r="AD72" i="4"/>
  <c r="AE72" i="4" s="1"/>
  <c r="AI76" i="4"/>
  <c r="O73" i="4" a="1"/>
  <c r="O73" i="4" s="1"/>
  <c r="AD10" i="4"/>
  <c r="AE10" i="4" s="1"/>
  <c r="AD105" i="4"/>
  <c r="AE105" i="4" s="1"/>
  <c r="AI63" i="4"/>
  <c r="AD7" i="4"/>
  <c r="AE7" i="4" s="1"/>
  <c r="AI82" i="4"/>
  <c r="AK105" i="4"/>
  <c r="D55" i="4"/>
  <c r="D69" i="4"/>
  <c r="AI68" i="4"/>
  <c r="T107" i="4" a="1"/>
  <c r="T107" i="4" s="1"/>
  <c r="AK107" i="4"/>
  <c r="AD75" i="4"/>
  <c r="AE75" i="4" s="1"/>
  <c r="AK48" i="4"/>
  <c r="AK77" i="4"/>
  <c r="AK51" i="4"/>
  <c r="AD15" i="4"/>
  <c r="AE15" i="4" s="1"/>
  <c r="D92" i="4"/>
  <c r="AI14" i="4"/>
  <c r="D87" i="4"/>
  <c r="D93" i="4"/>
  <c r="AK98" i="4"/>
  <c r="AK96" i="4"/>
  <c r="AK103" i="4"/>
  <c r="AD46" i="4"/>
  <c r="AE46" i="4" s="1"/>
  <c r="AD30" i="4"/>
  <c r="AE30" i="4" s="1"/>
  <c r="D44" i="4"/>
  <c r="AI41" i="4"/>
  <c r="AD77" i="4"/>
  <c r="AE77" i="4" s="1"/>
  <c r="D98" i="4"/>
  <c r="D57" i="4"/>
  <c r="D9" i="4"/>
  <c r="AI35" i="4"/>
  <c r="AD89" i="4"/>
  <c r="AE89" i="4" s="1"/>
  <c r="D51" i="4"/>
  <c r="D97" i="4"/>
  <c r="AD20" i="4"/>
  <c r="AE20" i="4" s="1"/>
  <c r="AI102" i="4"/>
  <c r="AK23" i="4"/>
  <c r="AD73" i="4"/>
  <c r="AE73" i="4" s="1"/>
  <c r="W107" i="4" a="1"/>
  <c r="W107" i="4" s="1"/>
  <c r="AK13" i="4"/>
  <c r="AD51" i="4"/>
  <c r="AE51" i="4" s="1"/>
  <c r="AK45" i="4"/>
  <c r="AI99" i="4"/>
  <c r="AD64" i="4"/>
  <c r="AE64" i="4" s="1"/>
  <c r="D10" i="4"/>
  <c r="D81" i="4"/>
  <c r="AK85" i="4"/>
  <c r="AD31" i="4"/>
  <c r="AE31" i="4" s="1"/>
  <c r="AK4" i="4"/>
  <c r="AD66" i="4"/>
  <c r="AE66" i="4" s="1"/>
  <c r="AI17" i="4"/>
  <c r="AK22" i="4"/>
  <c r="AD33" i="4"/>
  <c r="AE33" i="4" s="1"/>
  <c r="AK64" i="4"/>
  <c r="D102" i="4"/>
  <c r="J73" i="4" a="1"/>
  <c r="J73" i="4" s="1"/>
  <c r="AK7" i="4"/>
  <c r="AI44" i="4"/>
  <c r="D23" i="4"/>
  <c r="AD41" i="4"/>
  <c r="AE41" i="4" s="1"/>
  <c r="AD6" i="4"/>
  <c r="AE6" i="4" s="1"/>
  <c r="AD61" i="4"/>
  <c r="AE61" i="4" s="1"/>
  <c r="AK44" i="4"/>
  <c r="AI101" i="4"/>
  <c r="AK25" i="4"/>
  <c r="AD90" i="4"/>
  <c r="AE90" i="4" s="1"/>
  <c r="AK53" i="4"/>
  <c r="AI74" i="4"/>
  <c r="AI58" i="4"/>
  <c r="D39" i="4"/>
  <c r="AK41" i="4"/>
  <c r="AD14" i="4"/>
  <c r="AE14" i="4" s="1"/>
  <c r="AI66" i="4"/>
  <c r="AI21" i="4"/>
  <c r="AD21" i="4"/>
  <c r="AE21" i="4" s="1"/>
  <c r="AK81" i="4"/>
  <c r="AI61" i="4"/>
  <c r="AK94" i="4"/>
  <c r="AK90" i="4"/>
  <c r="D11" i="4"/>
  <c r="D34" i="4"/>
  <c r="AI81" i="4"/>
  <c r="AK95" i="4"/>
  <c r="AK38" i="4"/>
  <c r="AI97" i="4"/>
  <c r="D4" i="4"/>
  <c r="AK91" i="4"/>
  <c r="AD81" i="4"/>
  <c r="AE81" i="4" s="1"/>
  <c r="AK20" i="4"/>
  <c r="AD100" i="4"/>
  <c r="AE100" i="4" s="1"/>
  <c r="AK68" i="4"/>
  <c r="AI6" i="4"/>
  <c r="AD83" i="4"/>
  <c r="AE83" i="4" s="1"/>
  <c r="AD4" i="4"/>
  <c r="AE4" i="4" s="1"/>
  <c r="AI38" i="4"/>
  <c r="D25" i="4"/>
  <c r="D71" i="4"/>
  <c r="AK10" i="4"/>
  <c r="AI94" i="4"/>
  <c r="AD104" i="4"/>
  <c r="AE104" i="4" s="1"/>
  <c r="AD26" i="4"/>
  <c r="AE26" i="4" s="1"/>
  <c r="D33" i="4"/>
  <c r="AI57" i="4"/>
  <c r="AD50" i="4"/>
  <c r="AE50" i="4" s="1"/>
  <c r="D103" i="4"/>
  <c r="AI71" i="4"/>
  <c r="AD44" i="4"/>
  <c r="AE44" i="4" s="1"/>
  <c r="AD80" i="4"/>
  <c r="AE80" i="4" s="1"/>
  <c r="AK5" i="4"/>
  <c r="AK67" i="4"/>
  <c r="AR318" i="3"/>
  <c r="D38" i="4"/>
  <c r="AI40" i="4"/>
  <c r="D67" i="4"/>
  <c r="AI30" i="4"/>
  <c r="AI37" i="4"/>
  <c r="AD60" i="4"/>
  <c r="AE60" i="4" s="1"/>
  <c r="D18" i="4"/>
  <c r="AD57" i="4"/>
  <c r="AE57" i="4" s="1"/>
  <c r="D53" i="4"/>
  <c r="D83" i="4"/>
  <c r="AD9" i="4"/>
  <c r="AE9" i="4" s="1"/>
  <c r="N73" i="4" a="1"/>
  <c r="N73" i="4" s="1"/>
  <c r="AI92" i="4"/>
  <c r="I73" i="4" a="1"/>
  <c r="I73" i="4" s="1"/>
  <c r="AD86" i="4"/>
  <c r="AE86" i="4" s="1"/>
  <c r="D7" i="4"/>
  <c r="D28" i="4"/>
  <c r="AI96" i="4"/>
  <c r="AI65" i="4"/>
  <c r="D64" i="4"/>
  <c r="AD23" i="4"/>
  <c r="AE23" i="4" s="1"/>
  <c r="AD94" i="4"/>
  <c r="AE94" i="4" s="1"/>
  <c r="AD58" i="4"/>
  <c r="AE58" i="4" s="1"/>
  <c r="AI80" i="4"/>
  <c r="AI25" i="4"/>
  <c r="AI8" i="4"/>
  <c r="AI64" i="4"/>
  <c r="D60" i="4"/>
  <c r="D15" i="4"/>
  <c r="AI42" i="4"/>
  <c r="AK75" i="4"/>
  <c r="AK8" i="4"/>
  <c r="AD107" i="4"/>
  <c r="AE107" i="4" s="1"/>
  <c r="AD69" i="4"/>
  <c r="AE69" i="4" s="1"/>
  <c r="AK33" i="4"/>
  <c r="AK9" i="4"/>
  <c r="AK39" i="4"/>
  <c r="AD27" i="4"/>
  <c r="AE27" i="4" s="1"/>
  <c r="AD5" i="4"/>
  <c r="AE5" i="4" s="1"/>
  <c r="D76" i="4"/>
  <c r="AI60" i="4"/>
  <c r="AK55" i="4"/>
  <c r="AI7" i="4"/>
  <c r="R107" i="4" a="1"/>
  <c r="R107" i="4" s="1"/>
  <c r="AW107" i="4" s="1"/>
  <c r="AX107" i="4" s="1"/>
  <c r="AY107" i="4" s="1"/>
  <c r="AI43" i="4"/>
  <c r="AD12" i="4"/>
  <c r="AE12" i="4" s="1"/>
  <c r="AK34" i="4"/>
  <c r="AI72" i="4"/>
  <c r="D100" i="4"/>
  <c r="AD42" i="4"/>
  <c r="AE42" i="4" s="1"/>
  <c r="D104" i="4"/>
  <c r="E104" i="4" s="1"/>
  <c r="F104" i="4" s="1"/>
  <c r="AK73" i="4"/>
  <c r="AD93" i="4"/>
  <c r="AE93" i="4" s="1"/>
  <c r="AD24" i="4"/>
  <c r="AE24" i="4" s="1"/>
  <c r="AI53" i="4"/>
  <c r="D84" i="4"/>
  <c r="AI103" i="4"/>
  <c r="D56" i="4"/>
  <c r="AD76" i="4"/>
  <c r="AE76" i="4" s="1"/>
  <c r="D58" i="4"/>
  <c r="AK88" i="4"/>
  <c r="D27" i="4"/>
  <c r="U107" i="4" a="1"/>
  <c r="U107" i="4" s="1"/>
  <c r="D17" i="4"/>
  <c r="AD39" i="4"/>
  <c r="AE39" i="4" s="1"/>
  <c r="AK101" i="4"/>
  <c r="D19" i="4"/>
  <c r="AI16" i="4"/>
  <c r="AK27" i="4"/>
  <c r="AI95" i="4"/>
  <c r="AK54" i="4"/>
  <c r="AK21" i="4"/>
  <c r="AI12" i="4"/>
  <c r="AD13" i="4"/>
  <c r="AE13" i="4" s="1"/>
  <c r="D68" i="4"/>
  <c r="AK50" i="4"/>
  <c r="AK16" i="4"/>
  <c r="AI75" i="4"/>
  <c r="AK70" i="4"/>
  <c r="D89" i="4"/>
  <c r="AK31" i="4"/>
  <c r="AI106" i="4"/>
  <c r="D65" i="4"/>
  <c r="AI27" i="4"/>
  <c r="AI29" i="4"/>
  <c r="AK104" i="4"/>
  <c r="D47" i="4"/>
  <c r="AK83" i="4"/>
  <c r="AK78" i="4"/>
  <c r="D79" i="4"/>
  <c r="D21" i="4"/>
  <c r="AD85" i="4"/>
  <c r="AE85" i="4" s="1"/>
  <c r="AD92" i="4"/>
  <c r="AE92" i="4" s="1"/>
  <c r="L73" i="4" a="1"/>
  <c r="L73" i="4" s="1"/>
  <c r="AD88" i="4"/>
  <c r="AE88" i="4" s="1"/>
  <c r="AD55" i="4"/>
  <c r="AE55" i="4" s="1"/>
  <c r="AK60" i="4"/>
  <c r="AD96" i="4"/>
  <c r="AE96" i="4" s="1"/>
  <c r="AK106" i="4"/>
  <c r="AD91" i="4"/>
  <c r="AE91" i="4" s="1"/>
  <c r="D85" i="4"/>
  <c r="AK46" i="4"/>
  <c r="AI100" i="4"/>
  <c r="AI51" i="4"/>
  <c r="AI98" i="4"/>
  <c r="D24" i="4"/>
  <c r="AD22" i="4"/>
  <c r="AE22" i="4" s="1"/>
  <c r="D107" i="4"/>
  <c r="E107" i="4" s="1"/>
  <c r="F107" i="4" s="1"/>
  <c r="AK62" i="4"/>
  <c r="AD71" i="4"/>
  <c r="AE71" i="4" s="1"/>
  <c r="AK35" i="4"/>
  <c r="AD38" i="4"/>
  <c r="AE38" i="4" s="1"/>
  <c r="AK92" i="4"/>
  <c r="AI36" i="4"/>
  <c r="D62" i="4"/>
  <c r="AI20" i="4"/>
  <c r="D12" i="4"/>
  <c r="AK15" i="4"/>
  <c r="AD63" i="4"/>
  <c r="AE63" i="4" s="1"/>
  <c r="D31" i="4"/>
  <c r="D14" i="4"/>
  <c r="AI10" i="4"/>
  <c r="AI73" i="4"/>
  <c r="D91" i="4"/>
  <c r="AD43" i="4"/>
  <c r="AE43" i="4" s="1"/>
  <c r="AK6" i="4"/>
  <c r="AI69" i="4"/>
  <c r="AD56" i="4"/>
  <c r="AE56" i="4" s="1"/>
  <c r="AK59" i="4"/>
  <c r="D59" i="4"/>
  <c r="AK63" i="4"/>
  <c r="D29" i="4"/>
  <c r="AI28" i="4"/>
  <c r="K73" i="4" a="1"/>
  <c r="K73" i="4" s="1"/>
  <c r="AI70" i="4"/>
  <c r="D35" i="4"/>
  <c r="AK74" i="4"/>
  <c r="AD17" i="4"/>
  <c r="AE17" i="4" s="1"/>
  <c r="AI104" i="4"/>
  <c r="AK12" i="4"/>
  <c r="AI56" i="4"/>
  <c r="AI90" i="4"/>
  <c r="D101" i="4"/>
  <c r="D13" i="4"/>
  <c r="AD28" i="4"/>
  <c r="AE28" i="4" s="1"/>
  <c r="AD68" i="4"/>
  <c r="AE68" i="4" s="1"/>
  <c r="D5" i="4"/>
  <c r="AI13" i="4"/>
  <c r="AD97" i="4"/>
  <c r="AE97" i="4" s="1"/>
  <c r="D50" i="4"/>
  <c r="AI67" i="4"/>
  <c r="D26" i="4"/>
  <c r="AK30" i="4"/>
  <c r="M73" i="4" a="1"/>
  <c r="M73" i="4" s="1"/>
  <c r="AI105" i="4"/>
  <c r="AI32" i="4"/>
  <c r="AI55" i="4"/>
  <c r="AD106" i="4"/>
  <c r="AE106" i="4" s="1"/>
  <c r="AD36" i="4"/>
  <c r="AE36" i="4" s="1"/>
  <c r="D52" i="4"/>
  <c r="D43" i="4"/>
  <c r="D70" i="4"/>
  <c r="D94" i="4"/>
  <c r="D90" i="4"/>
  <c r="D6" i="4"/>
  <c r="AI34" i="4"/>
  <c r="D72" i="4"/>
  <c r="AK100" i="4"/>
  <c r="AD78" i="4"/>
  <c r="AE78" i="4" s="1"/>
  <c r="AK18" i="4"/>
  <c r="D46" i="4"/>
  <c r="H73" i="4" a="1"/>
  <c r="H73" i="4" s="1"/>
  <c r="D63" i="4"/>
  <c r="AD47" i="4"/>
  <c r="AE47" i="4" s="1"/>
  <c r="AK43" i="4"/>
  <c r="AD82" i="4"/>
  <c r="AE82" i="4" s="1"/>
  <c r="AK17" i="4"/>
  <c r="D106" i="4"/>
  <c r="E106" i="4" s="1"/>
  <c r="F106" i="4" s="1"/>
  <c r="AD40" i="4"/>
  <c r="AE40" i="4" s="1"/>
  <c r="D88" i="4"/>
  <c r="AI77" i="4"/>
  <c r="AK80" i="4"/>
  <c r="D16" i="4"/>
  <c r="AD67" i="4"/>
  <c r="AE67" i="4" s="1"/>
  <c r="AI84" i="4"/>
  <c r="D86" i="4"/>
  <c r="AI4" i="4"/>
  <c r="AK82" i="4"/>
  <c r="AK87" i="4"/>
  <c r="AI86" i="4"/>
  <c r="D66" i="4"/>
  <c r="AI31" i="4"/>
  <c r="AI26" i="4"/>
  <c r="AI52" i="4"/>
  <c r="AI18" i="4"/>
  <c r="AD11" i="4"/>
  <c r="AE11" i="4" s="1"/>
  <c r="AD59" i="4"/>
  <c r="AE59" i="4" s="1"/>
  <c r="D61" i="4"/>
  <c r="AK69" i="4"/>
  <c r="AD25" i="4"/>
  <c r="AE25" i="4" s="1"/>
  <c r="AK79" i="4"/>
  <c r="AK61" i="4"/>
  <c r="AI15" i="4"/>
  <c r="AD52" i="4"/>
  <c r="AE52" i="4" s="1"/>
  <c r="D8" i="4"/>
  <c r="D37" i="4"/>
  <c r="D20" i="4"/>
  <c r="AK89" i="4"/>
  <c r="AK65" i="4"/>
  <c r="AD54" i="4"/>
  <c r="AE54" i="4" s="1"/>
  <c r="D73" i="4"/>
  <c r="AK93" i="4"/>
  <c r="AI85" i="4"/>
  <c r="AD79" i="4"/>
  <c r="AE79" i="4" s="1"/>
  <c r="D36" i="4"/>
  <c r="AD8" i="4"/>
  <c r="AE8" i="4" s="1"/>
  <c r="AI88" i="4"/>
  <c r="AK99" i="4"/>
  <c r="AI62" i="4"/>
  <c r="AK84" i="4"/>
  <c r="AK57" i="4"/>
  <c r="AK49" i="4"/>
  <c r="D40" i="4"/>
  <c r="AD18" i="4"/>
  <c r="AE18" i="4" s="1"/>
  <c r="AK14" i="4"/>
  <c r="AI79" i="4"/>
  <c r="AD48" i="4"/>
  <c r="AE48" i="4" s="1"/>
  <c r="AI89" i="4"/>
  <c r="D54" i="4"/>
  <c r="D96" i="4"/>
  <c r="AI45" i="4"/>
  <c r="AI54" i="4"/>
  <c r="AD45" i="4"/>
  <c r="AE45" i="4" s="1"/>
  <c r="AK11" i="4"/>
  <c r="D41" i="4"/>
  <c r="AK19" i="4"/>
  <c r="AD70" i="4"/>
  <c r="AE70" i="4" s="1"/>
  <c r="AI107" i="4"/>
  <c r="V107" i="4" a="1"/>
  <c r="V107" i="4" s="1"/>
  <c r="AD53" i="4"/>
  <c r="AE53" i="4" s="1"/>
  <c r="D75" i="4"/>
  <c r="AK72" i="4"/>
  <c r="AD98" i="4"/>
  <c r="AE98" i="4" s="1"/>
  <c r="AD19" i="4"/>
  <c r="AE19" i="4" s="1"/>
  <c r="D95" i="4"/>
  <c r="AI47" i="4"/>
  <c r="AD35" i="4"/>
  <c r="AE35" i="4" s="1"/>
  <c r="AD62" i="4"/>
  <c r="AE62" i="4" s="1"/>
  <c r="AK58" i="4"/>
  <c r="AK42" i="4"/>
  <c r="AK40" i="4"/>
  <c r="AI9" i="4"/>
  <c r="AD95" i="4"/>
  <c r="AE95" i="4" s="1"/>
  <c r="E48" i="4"/>
  <c r="F48" i="4" s="1"/>
  <c r="AO156" i="3" s="1"/>
  <c r="AP156" i="3" s="1"/>
  <c r="X156" i="3" s="1"/>
  <c r="BE30" i="4"/>
  <c r="AO110" i="3" s="1"/>
  <c r="AP110" i="3" s="1"/>
  <c r="X110" i="3" s="1"/>
  <c r="AF74" i="4"/>
  <c r="AH74" i="4" s="1"/>
  <c r="AJ74" i="4" s="1"/>
  <c r="AF102" i="4"/>
  <c r="AH102" i="4" s="1"/>
  <c r="AJ102" i="4" s="1"/>
  <c r="D19" i="5"/>
  <c r="E28" i="5"/>
  <c r="L28" i="5" s="1"/>
  <c r="AF32" i="4"/>
  <c r="AH32" i="4" s="1"/>
  <c r="AF101" i="4"/>
  <c r="AH101" i="4" s="1"/>
  <c r="AO311" i="3"/>
  <c r="AP311" i="3" s="1"/>
  <c r="X311" i="3" s="1"/>
  <c r="AO309" i="3"/>
  <c r="AP309" i="3" s="1"/>
  <c r="X309" i="3" s="1"/>
  <c r="AF65" i="4"/>
  <c r="AH65" i="4" s="1"/>
  <c r="AJ65" i="4" s="1"/>
  <c r="E77" i="4"/>
  <c r="F77" i="4" s="1"/>
  <c r="BE77" i="4" s="1"/>
  <c r="AB77" i="4" s="1"/>
  <c r="AG34" i="4"/>
  <c r="AH34" i="4" s="1"/>
  <c r="AG84" i="4"/>
  <c r="AH84" i="4" s="1"/>
  <c r="AJ84" i="4" s="1"/>
  <c r="E42" i="4"/>
  <c r="F42" i="4" s="1"/>
  <c r="AO142" i="3" s="1"/>
  <c r="AP142" i="3" s="1"/>
  <c r="X142" i="3" s="1"/>
  <c r="E45" i="4"/>
  <c r="F45" i="4" s="1"/>
  <c r="BE45" i="4" s="1"/>
  <c r="AO151" i="3" s="1"/>
  <c r="AP151" i="3" s="1"/>
  <c r="X151" i="3" s="1"/>
  <c r="AG49" i="4"/>
  <c r="AH49" i="4" s="1"/>
  <c r="AJ49" i="4" s="1"/>
  <c r="D44" i="5"/>
  <c r="AF37" i="4"/>
  <c r="AH37" i="4" s="1"/>
  <c r="AJ37" i="4" s="1"/>
  <c r="BE74" i="4"/>
  <c r="AO210" i="3" s="1"/>
  <c r="AP210" i="3" s="1"/>
  <c r="X210" i="3" s="1"/>
  <c r="E78" i="4"/>
  <c r="F78" i="4" s="1"/>
  <c r="AO227" i="3" s="1"/>
  <c r="AP227" i="3" s="1"/>
  <c r="X227" i="3" s="1"/>
  <c r="D41" i="5"/>
  <c r="H28" i="5"/>
  <c r="AB82" i="4"/>
  <c r="AO255" i="3"/>
  <c r="AP255" i="3" s="1"/>
  <c r="X255" i="3" s="1"/>
  <c r="AO258" i="3"/>
  <c r="AP258" i="3" s="1"/>
  <c r="X258" i="3" s="1"/>
  <c r="AO252" i="3"/>
  <c r="AP252" i="3" s="1"/>
  <c r="X252" i="3" s="1"/>
  <c r="D45" i="5"/>
  <c r="AO256" i="3"/>
  <c r="AP256" i="3" s="1"/>
  <c r="X256" i="3" s="1"/>
  <c r="C53" i="5"/>
  <c r="AG29" i="4"/>
  <c r="AH29" i="4" s="1"/>
  <c r="AO242" i="3"/>
  <c r="AP242" i="3" s="1"/>
  <c r="X242" i="3" s="1"/>
  <c r="AO297" i="3"/>
  <c r="AP297" i="3" s="1"/>
  <c r="X297" i="3" s="1"/>
  <c r="AO243" i="3"/>
  <c r="AP243" i="3" s="1"/>
  <c r="X243" i="3" s="1"/>
  <c r="AO296" i="3"/>
  <c r="AP296" i="3" s="1"/>
  <c r="X296" i="3" s="1"/>
  <c r="AO241" i="3"/>
  <c r="AP241" i="3" s="1"/>
  <c r="X241" i="3" s="1"/>
  <c r="AB99" i="4"/>
  <c r="AO259" i="3"/>
  <c r="AP259" i="3" s="1"/>
  <c r="X259" i="3" s="1"/>
  <c r="AO253" i="3"/>
  <c r="AP253" i="3" s="1"/>
  <c r="X253" i="3" s="1"/>
  <c r="AO254" i="3"/>
  <c r="AP254" i="3" s="1"/>
  <c r="X254" i="3" s="1"/>
  <c r="D15" i="5"/>
  <c r="E22" i="4"/>
  <c r="F22" i="4" s="1"/>
  <c r="AF87" i="4"/>
  <c r="AG87" i="4"/>
  <c r="AB49" i="4"/>
  <c r="AO159" i="3"/>
  <c r="AP159" i="3" s="1"/>
  <c r="X159" i="3" s="1"/>
  <c r="AJ32" i="4" l="1"/>
  <c r="AJ101" i="4"/>
  <c r="AJ29" i="4"/>
  <c r="AB30" i="4"/>
  <c r="AZ107" i="4"/>
  <c r="BA107" i="4" s="1"/>
  <c r="BB107" i="4" s="1"/>
  <c r="AO312" i="3"/>
  <c r="AP312" i="3" s="1"/>
  <c r="X312" i="3" s="1"/>
  <c r="BE106" i="4"/>
  <c r="E59" i="4"/>
  <c r="F59" i="4" s="1"/>
  <c r="C33" i="5"/>
  <c r="E24" i="4"/>
  <c r="F24" i="4" s="1"/>
  <c r="D16" i="5"/>
  <c r="E56" i="4"/>
  <c r="F56" i="4" s="1"/>
  <c r="D32" i="5"/>
  <c r="AF12" i="4"/>
  <c r="AG12" i="4"/>
  <c r="AF69" i="4"/>
  <c r="AG69" i="4"/>
  <c r="AF94" i="4"/>
  <c r="AG94" i="4"/>
  <c r="C45" i="5"/>
  <c r="E83" i="4"/>
  <c r="F83" i="4" s="1"/>
  <c r="E71" i="4"/>
  <c r="F71" i="4" s="1"/>
  <c r="C39" i="5"/>
  <c r="AG6" i="4"/>
  <c r="AF6" i="4"/>
  <c r="E44" i="4"/>
  <c r="F44" i="4" s="1"/>
  <c r="D26" i="5"/>
  <c r="E26" i="5" s="1"/>
  <c r="G26" i="5" s="1"/>
  <c r="AG105" i="4"/>
  <c r="AF105" i="4"/>
  <c r="AF99" i="4"/>
  <c r="AG99" i="4"/>
  <c r="AG79" i="4"/>
  <c r="AF79" i="4"/>
  <c r="AJ34" i="4"/>
  <c r="AG70" i="4"/>
  <c r="AF70" i="4"/>
  <c r="E6" i="4"/>
  <c r="F6" i="4" s="1"/>
  <c r="D7" i="5"/>
  <c r="D10" i="5"/>
  <c r="E12" i="4"/>
  <c r="F12" i="4" s="1"/>
  <c r="AF92" i="4"/>
  <c r="AG92" i="4"/>
  <c r="AG107" i="4"/>
  <c r="AF107" i="4"/>
  <c r="AF23" i="4"/>
  <c r="AG23" i="4"/>
  <c r="C30" i="5"/>
  <c r="E53" i="4"/>
  <c r="F53" i="4" s="1"/>
  <c r="AF80" i="4"/>
  <c r="AG80" i="4"/>
  <c r="C16" i="5"/>
  <c r="E25" i="4"/>
  <c r="F25" i="4" s="1"/>
  <c r="AG14" i="4"/>
  <c r="AF14" i="4"/>
  <c r="AF41" i="4"/>
  <c r="AG41" i="4"/>
  <c r="AH41" i="4" s="1"/>
  <c r="AJ41" i="4" s="1"/>
  <c r="AG31" i="4"/>
  <c r="AF31" i="4"/>
  <c r="AG30" i="4"/>
  <c r="AF30" i="4"/>
  <c r="AF10" i="4"/>
  <c r="AG10" i="4"/>
  <c r="E45" i="5"/>
  <c r="J45" i="5" s="1"/>
  <c r="AF82" i="4"/>
  <c r="AG82" i="4"/>
  <c r="D49" i="5"/>
  <c r="E90" i="4"/>
  <c r="F90" i="4" s="1"/>
  <c r="E26" i="4"/>
  <c r="F26" i="4" s="1"/>
  <c r="D17" i="5"/>
  <c r="AF56" i="4"/>
  <c r="AG56" i="4"/>
  <c r="AF85" i="4"/>
  <c r="AG85" i="4"/>
  <c r="C48" i="5"/>
  <c r="E89" i="4"/>
  <c r="F89" i="4" s="1"/>
  <c r="E84" i="4"/>
  <c r="F84" i="4" s="1"/>
  <c r="D46" i="5"/>
  <c r="D36" i="5"/>
  <c r="E64" i="4"/>
  <c r="F64" i="4" s="1"/>
  <c r="AF57" i="4"/>
  <c r="AG57" i="4"/>
  <c r="AG44" i="4"/>
  <c r="AF44" i="4"/>
  <c r="C15" i="5"/>
  <c r="E15" i="5" s="1"/>
  <c r="H15" i="5" s="1"/>
  <c r="E23" i="4"/>
  <c r="F23" i="4" s="1"/>
  <c r="AG20" i="4"/>
  <c r="AF20" i="4"/>
  <c r="AG46" i="4"/>
  <c r="AF46" i="4"/>
  <c r="AG75" i="4"/>
  <c r="AF75" i="4"/>
  <c r="AF62" i="4"/>
  <c r="AG62" i="4"/>
  <c r="AG18" i="4"/>
  <c r="AF18" i="4"/>
  <c r="AF25" i="4"/>
  <c r="AG25" i="4"/>
  <c r="BE48" i="4"/>
  <c r="AB48" i="4" s="1"/>
  <c r="AF35" i="4"/>
  <c r="AG35" i="4"/>
  <c r="E41" i="4"/>
  <c r="F41" i="4" s="1"/>
  <c r="C24" i="5"/>
  <c r="E40" i="4"/>
  <c r="F40" i="4" s="1"/>
  <c r="D24" i="5"/>
  <c r="C40" i="5"/>
  <c r="E73" i="4"/>
  <c r="F73" i="4" s="1"/>
  <c r="E94" i="4"/>
  <c r="F94" i="4" s="1"/>
  <c r="D51" i="5"/>
  <c r="D35" i="5"/>
  <c r="E62" i="4"/>
  <c r="F62" i="4" s="1"/>
  <c r="C14" i="5"/>
  <c r="E21" i="4"/>
  <c r="F21" i="4" s="1"/>
  <c r="C13" i="5"/>
  <c r="E19" i="4"/>
  <c r="F19" i="4" s="1"/>
  <c r="D13" i="5"/>
  <c r="E18" i="4"/>
  <c r="F18" i="4" s="1"/>
  <c r="AG4" i="4"/>
  <c r="AF4" i="4"/>
  <c r="E39" i="4"/>
  <c r="F39" i="4" s="1"/>
  <c r="C23" i="5"/>
  <c r="C44" i="5"/>
  <c r="E44" i="5" s="1"/>
  <c r="E81" i="4"/>
  <c r="F81" i="4" s="1"/>
  <c r="C52" i="5"/>
  <c r="E97" i="4"/>
  <c r="F97" i="4" s="1"/>
  <c r="AG11" i="4"/>
  <c r="AF11" i="4"/>
  <c r="AG54" i="4"/>
  <c r="AF54" i="4"/>
  <c r="E61" i="4"/>
  <c r="F61" i="4" s="1"/>
  <c r="C34" i="5"/>
  <c r="E86" i="4"/>
  <c r="F86" i="4" s="1"/>
  <c r="D47" i="5"/>
  <c r="AG47" i="4"/>
  <c r="AF47" i="4"/>
  <c r="D39" i="5"/>
  <c r="E70" i="4"/>
  <c r="F70" i="4" s="1"/>
  <c r="E50" i="4"/>
  <c r="F50" i="4" s="1"/>
  <c r="D29" i="5"/>
  <c r="AG17" i="4"/>
  <c r="AF17" i="4"/>
  <c r="C43" i="5"/>
  <c r="E43" i="5" s="1"/>
  <c r="E79" i="4"/>
  <c r="F79" i="4" s="1"/>
  <c r="AG24" i="4"/>
  <c r="AF24" i="4"/>
  <c r="AG60" i="4"/>
  <c r="AF60" i="4"/>
  <c r="C55" i="5"/>
  <c r="E103" i="4"/>
  <c r="F103" i="4" s="1"/>
  <c r="AF83" i="4"/>
  <c r="AG83" i="4"/>
  <c r="E34" i="4"/>
  <c r="F34" i="4" s="1"/>
  <c r="D21" i="5"/>
  <c r="E10" i="4"/>
  <c r="F10" i="4" s="1"/>
  <c r="D9" i="5"/>
  <c r="E51" i="4"/>
  <c r="F51" i="4" s="1"/>
  <c r="C29" i="5"/>
  <c r="E29" i="5" s="1"/>
  <c r="L29" i="5" s="1"/>
  <c r="AF72" i="4"/>
  <c r="AG72" i="4"/>
  <c r="C51" i="5"/>
  <c r="E95" i="4"/>
  <c r="F95" i="4" s="1"/>
  <c r="AG45" i="4"/>
  <c r="AF45" i="4"/>
  <c r="AH45" i="4" s="1"/>
  <c r="AJ45" i="4" s="1"/>
  <c r="AF59" i="4"/>
  <c r="AG59" i="4"/>
  <c r="AH59" i="4" s="1"/>
  <c r="AJ59" i="4" s="1"/>
  <c r="E63" i="4"/>
  <c r="F63" i="4" s="1"/>
  <c r="C35" i="5"/>
  <c r="C25" i="5"/>
  <c r="E25" i="5" s="1"/>
  <c r="E43" i="4"/>
  <c r="F43" i="4" s="1"/>
  <c r="AF97" i="4"/>
  <c r="AG97" i="4"/>
  <c r="AF43" i="4"/>
  <c r="AG43" i="4"/>
  <c r="C46" i="5"/>
  <c r="E85" i="4"/>
  <c r="F85" i="4" s="1"/>
  <c r="AF39" i="4"/>
  <c r="AG39" i="4"/>
  <c r="AH39" i="4" s="1"/>
  <c r="AJ39" i="4" s="1"/>
  <c r="AF93" i="4"/>
  <c r="AG93" i="4"/>
  <c r="C11" i="5"/>
  <c r="E15" i="4"/>
  <c r="F15" i="4" s="1"/>
  <c r="D18" i="5"/>
  <c r="E28" i="4"/>
  <c r="F28" i="4" s="1"/>
  <c r="AF50" i="4"/>
  <c r="AG50" i="4"/>
  <c r="E11" i="4"/>
  <c r="F11" i="4" s="1"/>
  <c r="C9" i="5"/>
  <c r="AF64" i="4"/>
  <c r="AG64" i="4"/>
  <c r="AG89" i="4"/>
  <c r="AF89" i="4"/>
  <c r="D20" i="5"/>
  <c r="E32" i="4"/>
  <c r="F32" i="4" s="1"/>
  <c r="AG38" i="4"/>
  <c r="AF38" i="4"/>
  <c r="AG91" i="4"/>
  <c r="AF91" i="4"/>
  <c r="C12" i="5"/>
  <c r="E17" i="4"/>
  <c r="F17" i="4" s="1"/>
  <c r="E76" i="4"/>
  <c r="F76" i="4" s="1"/>
  <c r="D42" i="5"/>
  <c r="E42" i="5" s="1"/>
  <c r="M42" i="5" s="1"/>
  <c r="E60" i="4"/>
  <c r="F60" i="4" s="1"/>
  <c r="D34" i="5"/>
  <c r="C7" i="5"/>
  <c r="E7" i="4"/>
  <c r="F7" i="4" s="1"/>
  <c r="D55" i="5"/>
  <c r="E102" i="4"/>
  <c r="F102" i="4" s="1"/>
  <c r="E93" i="4"/>
  <c r="F93" i="4" s="1"/>
  <c r="C50" i="5"/>
  <c r="E69" i="4"/>
  <c r="F69" i="4" s="1"/>
  <c r="C38" i="5"/>
  <c r="D14" i="5"/>
  <c r="E20" i="4"/>
  <c r="F20" i="4" s="1"/>
  <c r="D12" i="5"/>
  <c r="E16" i="4"/>
  <c r="F16" i="4" s="1"/>
  <c r="D27" i="5"/>
  <c r="E46" i="4"/>
  <c r="F46" i="4" s="1"/>
  <c r="AG36" i="4"/>
  <c r="AF36" i="4"/>
  <c r="E5" i="4"/>
  <c r="F5" i="4" s="1"/>
  <c r="C6" i="5"/>
  <c r="C27" i="5"/>
  <c r="E47" i="4"/>
  <c r="F47" i="4" s="1"/>
  <c r="E68" i="4"/>
  <c r="F68" i="4" s="1"/>
  <c r="D38" i="5"/>
  <c r="BE104" i="4"/>
  <c r="AO308" i="3" s="1"/>
  <c r="AP308" i="3" s="1"/>
  <c r="X308" i="3" s="1"/>
  <c r="AO307" i="3"/>
  <c r="AP307" i="3" s="1"/>
  <c r="X307" i="3" s="1"/>
  <c r="AG5" i="4"/>
  <c r="AF5" i="4"/>
  <c r="AG86" i="4"/>
  <c r="AF86" i="4"/>
  <c r="E67" i="4"/>
  <c r="F67" i="4" s="1"/>
  <c r="C37" i="5"/>
  <c r="E33" i="4"/>
  <c r="F33" i="4" s="1"/>
  <c r="C20" i="5"/>
  <c r="AG100" i="4"/>
  <c r="AF100" i="4"/>
  <c r="AF90" i="4"/>
  <c r="AG90" i="4"/>
  <c r="E9" i="4"/>
  <c r="F9" i="4" s="1"/>
  <c r="C8" i="5"/>
  <c r="E8" i="5" s="1"/>
  <c r="E87" i="4"/>
  <c r="F87" i="4" s="1"/>
  <c r="C47" i="5"/>
  <c r="C31" i="5"/>
  <c r="E55" i="4"/>
  <c r="F55" i="4" s="1"/>
  <c r="E52" i="4"/>
  <c r="F52" i="4" s="1"/>
  <c r="D30" i="5"/>
  <c r="E35" i="4"/>
  <c r="F35" i="4" s="1"/>
  <c r="C21" i="5"/>
  <c r="E21" i="5" s="1"/>
  <c r="J21" i="5" s="1"/>
  <c r="AF98" i="4"/>
  <c r="AG98" i="4"/>
  <c r="E96" i="4"/>
  <c r="F96" i="4" s="1"/>
  <c r="D52" i="5"/>
  <c r="E52" i="5" s="1"/>
  <c r="E37" i="4"/>
  <c r="F37" i="4" s="1"/>
  <c r="C22" i="5"/>
  <c r="AG106" i="4"/>
  <c r="AF106" i="4"/>
  <c r="AF68" i="4"/>
  <c r="AG68" i="4"/>
  <c r="AH68" i="4" s="1"/>
  <c r="AJ68" i="4" s="1"/>
  <c r="AF71" i="4"/>
  <c r="AG71" i="4"/>
  <c r="AH71" i="4" s="1"/>
  <c r="AJ71" i="4" s="1"/>
  <c r="AG96" i="4"/>
  <c r="AF96" i="4"/>
  <c r="AG13" i="4"/>
  <c r="AF13" i="4"/>
  <c r="AH13" i="4" s="1"/>
  <c r="AJ13" i="4" s="1"/>
  <c r="C17" i="5"/>
  <c r="E27" i="4"/>
  <c r="F27" i="4" s="1"/>
  <c r="AG42" i="4"/>
  <c r="AF42" i="4"/>
  <c r="AF27" i="4"/>
  <c r="AG27" i="4"/>
  <c r="AN73" i="4"/>
  <c r="AO73" i="4" s="1"/>
  <c r="AP73" i="4" s="1"/>
  <c r="AQ73" i="4" s="1"/>
  <c r="AR73" i="4" s="1"/>
  <c r="AS73" i="4" s="1"/>
  <c r="AT73" i="4" s="1"/>
  <c r="AU73" i="4" s="1"/>
  <c r="AV73" i="4" s="1"/>
  <c r="AW73" i="4" s="1"/>
  <c r="AX73" i="4" s="1"/>
  <c r="AY73" i="4" s="1"/>
  <c r="AZ73" i="4" s="1"/>
  <c r="BA73" i="4" s="1"/>
  <c r="BB73" i="4" s="1"/>
  <c r="AG26" i="4"/>
  <c r="AF26" i="4"/>
  <c r="AF33" i="4"/>
  <c r="AG33" i="4"/>
  <c r="AG51" i="4"/>
  <c r="AF51" i="4"/>
  <c r="E57" i="4"/>
  <c r="F57" i="4" s="1"/>
  <c r="C32" i="5"/>
  <c r="AG16" i="4"/>
  <c r="AF16" i="4"/>
  <c r="AF67" i="4"/>
  <c r="AG67" i="4"/>
  <c r="C49" i="5"/>
  <c r="E49" i="5" s="1"/>
  <c r="E91" i="4"/>
  <c r="F91" i="4" s="1"/>
  <c r="AF95" i="4"/>
  <c r="AG95" i="4"/>
  <c r="E75" i="4"/>
  <c r="F75" i="4" s="1"/>
  <c r="C41" i="5"/>
  <c r="E41" i="5" s="1"/>
  <c r="E54" i="4"/>
  <c r="F54" i="4" s="1"/>
  <c r="D31" i="5"/>
  <c r="E31" i="5" s="1"/>
  <c r="D8" i="5"/>
  <c r="E8" i="4"/>
  <c r="F8" i="4" s="1"/>
  <c r="AG78" i="4"/>
  <c r="AF78" i="4"/>
  <c r="AG28" i="4"/>
  <c r="AF28" i="4"/>
  <c r="E14" i="4"/>
  <c r="F14" i="4" s="1"/>
  <c r="D11" i="5"/>
  <c r="E11" i="5" s="1"/>
  <c r="D54" i="5"/>
  <c r="E100" i="4"/>
  <c r="F100" i="4" s="1"/>
  <c r="E38" i="4"/>
  <c r="F38" i="4" s="1"/>
  <c r="D23" i="5"/>
  <c r="AG104" i="4"/>
  <c r="AF104" i="4"/>
  <c r="AF81" i="4"/>
  <c r="AG81" i="4"/>
  <c r="D53" i="5"/>
  <c r="E53" i="5" s="1"/>
  <c r="E98" i="4"/>
  <c r="F98" i="4" s="1"/>
  <c r="D50" i="5"/>
  <c r="E92" i="4"/>
  <c r="F92" i="4" s="1"/>
  <c r="AF19" i="4"/>
  <c r="AG19" i="4"/>
  <c r="AG53" i="4"/>
  <c r="AF53" i="4"/>
  <c r="AG8" i="4"/>
  <c r="AF8" i="4"/>
  <c r="AG52" i="4"/>
  <c r="AF52" i="4"/>
  <c r="E88" i="4"/>
  <c r="F88" i="4" s="1"/>
  <c r="D48" i="5"/>
  <c r="E48" i="5" s="1"/>
  <c r="E13" i="4"/>
  <c r="F13" i="4" s="1"/>
  <c r="C10" i="5"/>
  <c r="E10" i="5" s="1"/>
  <c r="E29" i="4"/>
  <c r="F29" i="4" s="1"/>
  <c r="C18" i="5"/>
  <c r="E18" i="5" s="1"/>
  <c r="E31" i="4"/>
  <c r="F31" i="4" s="1"/>
  <c r="C19" i="5"/>
  <c r="E19" i="5" s="1"/>
  <c r="BE107" i="4"/>
  <c r="AO315" i="3"/>
  <c r="AP315" i="3" s="1"/>
  <c r="X315" i="3" s="1"/>
  <c r="AF55" i="4"/>
  <c r="AG55" i="4"/>
  <c r="E58" i="4"/>
  <c r="F58" i="4" s="1"/>
  <c r="D33" i="5"/>
  <c r="AF21" i="4"/>
  <c r="AG21" i="4"/>
  <c r="AG77" i="4"/>
  <c r="AF77" i="4"/>
  <c r="AF15" i="4"/>
  <c r="AG15" i="4"/>
  <c r="AH15" i="4" s="1"/>
  <c r="AJ15" i="4" s="1"/>
  <c r="AG7" i="4"/>
  <c r="AF7" i="4"/>
  <c r="AF48" i="4"/>
  <c r="AG48" i="4"/>
  <c r="D22" i="5"/>
  <c r="E36" i="4"/>
  <c r="F36" i="4" s="1"/>
  <c r="D37" i="5"/>
  <c r="E66" i="4"/>
  <c r="F66" i="4" s="1"/>
  <c r="AG40" i="4"/>
  <c r="AF40" i="4"/>
  <c r="D40" i="5"/>
  <c r="E72" i="4"/>
  <c r="F72" i="4" s="1"/>
  <c r="C54" i="5"/>
  <c r="E101" i="4"/>
  <c r="F101" i="4" s="1"/>
  <c r="AG63" i="4"/>
  <c r="AF63" i="4"/>
  <c r="AF22" i="4"/>
  <c r="AG22" i="4"/>
  <c r="AF88" i="4"/>
  <c r="AG88" i="4"/>
  <c r="E65" i="4"/>
  <c r="F65" i="4" s="1"/>
  <c r="C36" i="5"/>
  <c r="E36" i="5" s="1"/>
  <c r="AF76" i="4"/>
  <c r="AG76" i="4"/>
  <c r="AG58" i="4"/>
  <c r="AF58" i="4"/>
  <c r="AG9" i="4"/>
  <c r="AF9" i="4"/>
  <c r="D6" i="5"/>
  <c r="E4" i="4"/>
  <c r="F4" i="4" s="1"/>
  <c r="AF61" i="4"/>
  <c r="AG61" i="4"/>
  <c r="AG66" i="4"/>
  <c r="AF66" i="4"/>
  <c r="AF73" i="4"/>
  <c r="AG73" i="4"/>
  <c r="AF103" i="4"/>
  <c r="AG103" i="4"/>
  <c r="G28" i="5"/>
  <c r="BE42" i="4"/>
  <c r="AO144" i="3" s="1"/>
  <c r="AP144" i="3" s="1"/>
  <c r="X144" i="3" s="1"/>
  <c r="I28" i="5"/>
  <c r="K28" i="5"/>
  <c r="T28" i="5"/>
  <c r="U28" i="5" s="1"/>
  <c r="V28" i="5" s="1"/>
  <c r="J28" i="5"/>
  <c r="M28" i="5"/>
  <c r="AO150" i="3"/>
  <c r="AP150" i="3" s="1"/>
  <c r="X150" i="3" s="1"/>
  <c r="AB45" i="4"/>
  <c r="AO221" i="3"/>
  <c r="AP221" i="3" s="1"/>
  <c r="X221" i="3" s="1"/>
  <c r="AO224" i="3"/>
  <c r="AP224" i="3" s="1"/>
  <c r="X224" i="3" s="1"/>
  <c r="AO225" i="3"/>
  <c r="AP225" i="3" s="1"/>
  <c r="X225" i="3" s="1"/>
  <c r="AO226" i="3"/>
  <c r="AP226" i="3" s="1"/>
  <c r="X226" i="3" s="1"/>
  <c r="AO222" i="3"/>
  <c r="AP222" i="3" s="1"/>
  <c r="X222" i="3" s="1"/>
  <c r="H26" i="5"/>
  <c r="L26" i="5"/>
  <c r="AO223" i="3"/>
  <c r="AP223" i="3" s="1"/>
  <c r="X223" i="3" s="1"/>
  <c r="I45" i="5"/>
  <c r="L45" i="5"/>
  <c r="M26" i="5"/>
  <c r="K26" i="5"/>
  <c r="J26" i="5"/>
  <c r="I26" i="5"/>
  <c r="T26" i="5"/>
  <c r="U26" i="5" s="1"/>
  <c r="V26" i="5" s="1"/>
  <c r="AB74" i="4"/>
  <c r="M45" i="5"/>
  <c r="H45" i="5"/>
  <c r="G45" i="5"/>
  <c r="T45" i="5"/>
  <c r="U45" i="5" s="1"/>
  <c r="V45" i="5" s="1"/>
  <c r="K45" i="5"/>
  <c r="BE78" i="4"/>
  <c r="AO232" i="3" s="1"/>
  <c r="AP232" i="3" s="1"/>
  <c r="X232" i="3" s="1"/>
  <c r="BE22" i="4"/>
  <c r="AO93" i="3"/>
  <c r="AP93" i="3" s="1"/>
  <c r="X93" i="3" s="1"/>
  <c r="M29" i="5"/>
  <c r="G29" i="5"/>
  <c r="AH87" i="4"/>
  <c r="AJ87" i="4" s="1"/>
  <c r="AB42" i="4"/>
  <c r="M21" i="5"/>
  <c r="G42" i="5" l="1"/>
  <c r="T21" i="5"/>
  <c r="U21" i="5" s="1"/>
  <c r="V21" i="5" s="1"/>
  <c r="J42" i="5"/>
  <c r="G21" i="5"/>
  <c r="K42" i="5"/>
  <c r="AH27" i="4"/>
  <c r="AJ27" i="4" s="1"/>
  <c r="H42" i="5"/>
  <c r="I42" i="5"/>
  <c r="N42" i="5" s="1"/>
  <c r="O42" i="5" s="1"/>
  <c r="AH105" i="4"/>
  <c r="AJ105" i="4" s="1"/>
  <c r="T42" i="5"/>
  <c r="U42" i="5" s="1"/>
  <c r="V42" i="5" s="1"/>
  <c r="AH100" i="4"/>
  <c r="AJ100" i="4" s="1"/>
  <c r="AH5" i="4"/>
  <c r="AJ5" i="4" s="1"/>
  <c r="AH64" i="4"/>
  <c r="AJ64" i="4" s="1"/>
  <c r="AH107" i="4"/>
  <c r="AJ107" i="4" s="1"/>
  <c r="I21" i="5"/>
  <c r="L42" i="5"/>
  <c r="K21" i="5"/>
  <c r="L21" i="5"/>
  <c r="H21" i="5"/>
  <c r="AH46" i="4"/>
  <c r="AJ46" i="4" s="1"/>
  <c r="AH6" i="4"/>
  <c r="AJ6" i="4" s="1"/>
  <c r="AH69" i="4"/>
  <c r="AJ69" i="4" s="1"/>
  <c r="J29" i="5"/>
  <c r="H29" i="5"/>
  <c r="I29" i="5"/>
  <c r="T29" i="5"/>
  <c r="U29" i="5" s="1"/>
  <c r="V29" i="5" s="1"/>
  <c r="E30" i="5"/>
  <c r="K29" i="5"/>
  <c r="E32" i="5"/>
  <c r="L32" i="5" s="1"/>
  <c r="AO143" i="3"/>
  <c r="AP143" i="3" s="1"/>
  <c r="X143" i="3" s="1"/>
  <c r="E47" i="5"/>
  <c r="J32" i="5"/>
  <c r="E12" i="5"/>
  <c r="H12" i="5" s="1"/>
  <c r="AH86" i="4"/>
  <c r="AJ86" i="4" s="1"/>
  <c r="AH36" i="4"/>
  <c r="AJ36" i="4" s="1"/>
  <c r="AH38" i="4"/>
  <c r="AJ38" i="4" s="1"/>
  <c r="AH97" i="4"/>
  <c r="AJ97" i="4" s="1"/>
  <c r="H32" i="5"/>
  <c r="AH96" i="4"/>
  <c r="AJ96" i="4" s="1"/>
  <c r="AH98" i="4"/>
  <c r="AJ98" i="4" s="1"/>
  <c r="AH90" i="4"/>
  <c r="AJ90" i="4" s="1"/>
  <c r="AH89" i="4"/>
  <c r="AJ89" i="4" s="1"/>
  <c r="AH93" i="4"/>
  <c r="AJ93" i="4" s="1"/>
  <c r="AH79" i="4"/>
  <c r="AJ79" i="4" s="1"/>
  <c r="M32" i="5"/>
  <c r="AH35" i="4"/>
  <c r="AJ35" i="4" s="1"/>
  <c r="AH12" i="4"/>
  <c r="AJ12" i="4" s="1"/>
  <c r="AH25" i="4"/>
  <c r="AJ25" i="4" s="1"/>
  <c r="AH85" i="4"/>
  <c r="AJ85" i="4" s="1"/>
  <c r="AH10" i="4"/>
  <c r="AJ10" i="4" s="1"/>
  <c r="AH80" i="4"/>
  <c r="AJ80" i="4" s="1"/>
  <c r="E51" i="5"/>
  <c r="AH61" i="4"/>
  <c r="AJ61" i="4" s="1"/>
  <c r="AH88" i="4"/>
  <c r="AJ88" i="4" s="1"/>
  <c r="AH21" i="4"/>
  <c r="AJ21" i="4" s="1"/>
  <c r="AH18" i="4"/>
  <c r="AJ18" i="4" s="1"/>
  <c r="AH44" i="4"/>
  <c r="AJ44" i="4" s="1"/>
  <c r="AH56" i="4"/>
  <c r="AJ56" i="4" s="1"/>
  <c r="AH30" i="4"/>
  <c r="AJ30" i="4" s="1"/>
  <c r="AH70" i="4"/>
  <c r="AJ70" i="4" s="1"/>
  <c r="AH62" i="4"/>
  <c r="AJ62" i="4" s="1"/>
  <c r="AH57" i="4"/>
  <c r="AJ57" i="4" s="1"/>
  <c r="AH31" i="4"/>
  <c r="AJ31" i="4" s="1"/>
  <c r="AH23" i="4"/>
  <c r="AJ23" i="4" s="1"/>
  <c r="AH42" i="4"/>
  <c r="AJ42" i="4" s="1"/>
  <c r="AH106" i="4"/>
  <c r="AJ106" i="4" s="1"/>
  <c r="E55" i="5"/>
  <c r="AH20" i="4"/>
  <c r="AJ20" i="4" s="1"/>
  <c r="I19" i="5"/>
  <c r="K19" i="5"/>
  <c r="L19" i="5"/>
  <c r="G19" i="5"/>
  <c r="J19" i="5"/>
  <c r="M19" i="5"/>
  <c r="T19" i="5"/>
  <c r="U19" i="5" s="1"/>
  <c r="V19" i="5" s="1"/>
  <c r="H19" i="5"/>
  <c r="M44" i="5"/>
  <c r="G44" i="5"/>
  <c r="L44" i="5"/>
  <c r="I44" i="5"/>
  <c r="J44" i="5"/>
  <c r="H44" i="5"/>
  <c r="T44" i="5"/>
  <c r="U44" i="5" s="1"/>
  <c r="V44" i="5" s="1"/>
  <c r="K44" i="5"/>
  <c r="H41" i="5"/>
  <c r="M41" i="5"/>
  <c r="L41" i="5"/>
  <c r="T41" i="5"/>
  <c r="U41" i="5" s="1"/>
  <c r="V41" i="5" s="1"/>
  <c r="K41" i="5"/>
  <c r="I41" i="5"/>
  <c r="J41" i="5"/>
  <c r="G41" i="5"/>
  <c r="G53" i="5"/>
  <c r="L53" i="5"/>
  <c r="M53" i="5"/>
  <c r="H53" i="5"/>
  <c r="N53" i="5" s="1"/>
  <c r="O53" i="5" s="1"/>
  <c r="T53" i="5"/>
  <c r="U53" i="5" s="1"/>
  <c r="V53" i="5" s="1"/>
  <c r="I53" i="5"/>
  <c r="J53" i="5"/>
  <c r="K53" i="5"/>
  <c r="M8" i="5"/>
  <c r="L8" i="5"/>
  <c r="K8" i="5"/>
  <c r="I8" i="5"/>
  <c r="J8" i="5"/>
  <c r="H8" i="5"/>
  <c r="G8" i="5"/>
  <c r="T8" i="5"/>
  <c r="U8" i="5" s="1"/>
  <c r="V8" i="5" s="1"/>
  <c r="BE66" i="4"/>
  <c r="AO192" i="3"/>
  <c r="AP192" i="3" s="1"/>
  <c r="X192" i="3" s="1"/>
  <c r="M10" i="5"/>
  <c r="K10" i="5"/>
  <c r="J10" i="5"/>
  <c r="T10" i="5"/>
  <c r="U10" i="5" s="1"/>
  <c r="V10" i="5" s="1"/>
  <c r="L10" i="5"/>
  <c r="G10" i="5"/>
  <c r="H10" i="5"/>
  <c r="I10" i="5"/>
  <c r="BE92" i="4"/>
  <c r="AO278" i="3"/>
  <c r="AP278" i="3" s="1"/>
  <c r="X278" i="3" s="1"/>
  <c r="G11" i="5"/>
  <c r="L11" i="5"/>
  <c r="K11" i="5"/>
  <c r="M11" i="5"/>
  <c r="J11" i="5"/>
  <c r="T11" i="5"/>
  <c r="U11" i="5" s="1"/>
  <c r="V11" i="5" s="1"/>
  <c r="H11" i="5"/>
  <c r="I11" i="5"/>
  <c r="AH95" i="4"/>
  <c r="AJ95" i="4" s="1"/>
  <c r="AH33" i="4"/>
  <c r="AJ33" i="4" s="1"/>
  <c r="BE96" i="4"/>
  <c r="AO287" i="3"/>
  <c r="AP287" i="3" s="1"/>
  <c r="X287" i="3" s="1"/>
  <c r="AO37" i="3"/>
  <c r="AP37" i="3" s="1"/>
  <c r="X37" i="3" s="1"/>
  <c r="BE9" i="4"/>
  <c r="M25" i="5"/>
  <c r="K25" i="5"/>
  <c r="G25" i="5"/>
  <c r="L25" i="5"/>
  <c r="H25" i="5"/>
  <c r="T25" i="5"/>
  <c r="U25" i="5" s="1"/>
  <c r="V25" i="5" s="1"/>
  <c r="I25" i="5"/>
  <c r="J25" i="5"/>
  <c r="AH24" i="4"/>
  <c r="AJ24" i="4" s="1"/>
  <c r="E23" i="5"/>
  <c r="G51" i="5"/>
  <c r="T51" i="5"/>
  <c r="U51" i="5" s="1"/>
  <c r="V51" i="5" s="1"/>
  <c r="H51" i="5"/>
  <c r="K51" i="5"/>
  <c r="M51" i="5"/>
  <c r="I51" i="5"/>
  <c r="J51" i="5"/>
  <c r="L51" i="5"/>
  <c r="BE75" i="4"/>
  <c r="AO211" i="3"/>
  <c r="AP211" i="3" s="1"/>
  <c r="X211" i="3" s="1"/>
  <c r="BE46" i="4"/>
  <c r="AO152" i="3"/>
  <c r="AP152" i="3" s="1"/>
  <c r="X152" i="3" s="1"/>
  <c r="BE43" i="4"/>
  <c r="AO145" i="3"/>
  <c r="AP145" i="3" s="1"/>
  <c r="X145" i="3" s="1"/>
  <c r="BE12" i="4"/>
  <c r="AO51" i="3"/>
  <c r="AP51" i="3" s="1"/>
  <c r="X51" i="3" s="1"/>
  <c r="AO157" i="3"/>
  <c r="AP157" i="3" s="1"/>
  <c r="X157" i="3" s="1"/>
  <c r="AO64" i="3"/>
  <c r="AP64" i="3" s="1"/>
  <c r="X64" i="3" s="1"/>
  <c r="BE14" i="4"/>
  <c r="AO80" i="3"/>
  <c r="AP80" i="3" s="1"/>
  <c r="X80" i="3" s="1"/>
  <c r="BE16" i="4"/>
  <c r="E35" i="5"/>
  <c r="BE51" i="4"/>
  <c r="AO162" i="3"/>
  <c r="AP162" i="3" s="1"/>
  <c r="X162" i="3" s="1"/>
  <c r="BE86" i="4"/>
  <c r="AO266" i="3"/>
  <c r="AP266" i="3" s="1"/>
  <c r="X266" i="3" s="1"/>
  <c r="BE39" i="4"/>
  <c r="AO128" i="3"/>
  <c r="AP128" i="3" s="1"/>
  <c r="X128" i="3" s="1"/>
  <c r="AO282" i="3"/>
  <c r="AP282" i="3" s="1"/>
  <c r="X282" i="3" s="1"/>
  <c r="BE94" i="4"/>
  <c r="BE23" i="4"/>
  <c r="AO95" i="3"/>
  <c r="AP95" i="3" s="1"/>
  <c r="X95" i="3" s="1"/>
  <c r="E7" i="5"/>
  <c r="BE7" i="4"/>
  <c r="AO27" i="3"/>
  <c r="AP27" i="3" s="1"/>
  <c r="X27" i="3" s="1"/>
  <c r="AO57" i="3"/>
  <c r="AP57" i="3" s="1"/>
  <c r="X57" i="3" s="1"/>
  <c r="BE13" i="4"/>
  <c r="M15" i="5"/>
  <c r="BE4" i="4"/>
  <c r="AO4" i="3"/>
  <c r="AP4" i="3" s="1"/>
  <c r="X4" i="3" s="1"/>
  <c r="AH22" i="4"/>
  <c r="AJ22" i="4" s="1"/>
  <c r="AO121" i="3"/>
  <c r="AP121" i="3" s="1"/>
  <c r="X121" i="3" s="1"/>
  <c r="BE36" i="4"/>
  <c r="J48" i="5"/>
  <c r="K48" i="5"/>
  <c r="I48" i="5"/>
  <c r="G48" i="5"/>
  <c r="L48" i="5"/>
  <c r="M48" i="5"/>
  <c r="H48" i="5"/>
  <c r="T48" i="5"/>
  <c r="U48" i="5" s="1"/>
  <c r="V48" i="5" s="1"/>
  <c r="BE98" i="4"/>
  <c r="AO293" i="3"/>
  <c r="AP293" i="3" s="1"/>
  <c r="X293" i="3" s="1"/>
  <c r="AH28" i="4"/>
  <c r="AJ28" i="4" s="1"/>
  <c r="BE91" i="4"/>
  <c r="AO276" i="3"/>
  <c r="AP276" i="3" s="1"/>
  <c r="X276" i="3" s="1"/>
  <c r="AH26" i="4"/>
  <c r="AJ26" i="4" s="1"/>
  <c r="BE60" i="4"/>
  <c r="AO180" i="3"/>
  <c r="AP180" i="3" s="1"/>
  <c r="X180" i="3" s="1"/>
  <c r="BE63" i="4"/>
  <c r="AO186" i="3"/>
  <c r="AP186" i="3" s="1"/>
  <c r="X186" i="3" s="1"/>
  <c r="E9" i="5"/>
  <c r="BE79" i="4"/>
  <c r="AO236" i="3"/>
  <c r="AP236" i="3" s="1"/>
  <c r="X236" i="3" s="1"/>
  <c r="E34" i="5"/>
  <c r="AH4" i="4"/>
  <c r="AJ4" i="4" s="1"/>
  <c r="BE73" i="4"/>
  <c r="AO206" i="3"/>
  <c r="AP206" i="3" s="1"/>
  <c r="X206" i="3" s="1"/>
  <c r="AO20" i="3"/>
  <c r="AP20" i="3" s="1"/>
  <c r="X20" i="3" s="1"/>
  <c r="BE6" i="4"/>
  <c r="BE44" i="4"/>
  <c r="AO148" i="3"/>
  <c r="AP148" i="3" s="1"/>
  <c r="X148" i="3" s="1"/>
  <c r="BE65" i="4"/>
  <c r="AO190" i="3"/>
  <c r="AP190" i="3" s="1"/>
  <c r="X190" i="3" s="1"/>
  <c r="AO176" i="3"/>
  <c r="AP176" i="3" s="1"/>
  <c r="X176" i="3" s="1"/>
  <c r="BE58" i="4"/>
  <c r="BE88" i="4"/>
  <c r="AO270" i="3"/>
  <c r="AP270" i="3" s="1"/>
  <c r="X270" i="3" s="1"/>
  <c r="L49" i="5"/>
  <c r="G49" i="5"/>
  <c r="T49" i="5"/>
  <c r="U49" i="5" s="1"/>
  <c r="V49" i="5" s="1"/>
  <c r="J49" i="5"/>
  <c r="H49" i="5"/>
  <c r="I49" i="5"/>
  <c r="M49" i="5"/>
  <c r="K49" i="5"/>
  <c r="AO89" i="3"/>
  <c r="AP89" i="3" s="1"/>
  <c r="X89" i="3" s="1"/>
  <c r="BE20" i="4"/>
  <c r="BE10" i="4"/>
  <c r="AO41" i="3"/>
  <c r="AP41" i="3" s="1"/>
  <c r="X41" i="3" s="1"/>
  <c r="M43" i="5"/>
  <c r="I43" i="5"/>
  <c r="K43" i="5"/>
  <c r="L43" i="5"/>
  <c r="H43" i="5"/>
  <c r="G43" i="5"/>
  <c r="J43" i="5"/>
  <c r="T43" i="5"/>
  <c r="U43" i="5" s="1"/>
  <c r="V43" i="5" s="1"/>
  <c r="AO182" i="3"/>
  <c r="AP182" i="3" s="1"/>
  <c r="X182" i="3" s="1"/>
  <c r="BE61" i="4"/>
  <c r="E40" i="5"/>
  <c r="BE53" i="4"/>
  <c r="AO166" i="3"/>
  <c r="AP166" i="3" s="1"/>
  <c r="X166" i="3" s="1"/>
  <c r="BE15" i="4"/>
  <c r="AO70" i="3"/>
  <c r="AP70" i="3" s="1"/>
  <c r="X70" i="3" s="1"/>
  <c r="AH9" i="4"/>
  <c r="AJ9" i="4" s="1"/>
  <c r="AH63" i="4"/>
  <c r="AJ63" i="4" s="1"/>
  <c r="AH48" i="4"/>
  <c r="AJ48" i="4" s="1"/>
  <c r="AH55" i="4"/>
  <c r="AJ55" i="4" s="1"/>
  <c r="AH52" i="4"/>
  <c r="AJ52" i="4" s="1"/>
  <c r="AH81" i="4"/>
  <c r="AJ81" i="4" s="1"/>
  <c r="AH78" i="4"/>
  <c r="AJ78" i="4" s="1"/>
  <c r="AH67" i="4"/>
  <c r="AJ67" i="4" s="1"/>
  <c r="BE35" i="4"/>
  <c r="AO119" i="3"/>
  <c r="AP119" i="3" s="1"/>
  <c r="X119" i="3" s="1"/>
  <c r="BE68" i="4"/>
  <c r="AO196" i="3"/>
  <c r="AP196" i="3" s="1"/>
  <c r="X196" i="3" s="1"/>
  <c r="BE76" i="4"/>
  <c r="AO217" i="3"/>
  <c r="AP217" i="3" s="1"/>
  <c r="X217" i="3" s="1"/>
  <c r="AH17" i="4"/>
  <c r="AJ17" i="4" s="1"/>
  <c r="AH54" i="4"/>
  <c r="AJ54" i="4" s="1"/>
  <c r="AO85" i="3"/>
  <c r="AP85" i="3" s="1"/>
  <c r="X85" i="3" s="1"/>
  <c r="BE18" i="4"/>
  <c r="BE56" i="4"/>
  <c r="AO172" i="3"/>
  <c r="AP172" i="3" s="1"/>
  <c r="X172" i="3" s="1"/>
  <c r="I30" i="5"/>
  <c r="K30" i="5"/>
  <c r="J30" i="5"/>
  <c r="G30" i="5"/>
  <c r="T30" i="5"/>
  <c r="U30" i="5" s="1"/>
  <c r="V30" i="5" s="1"/>
  <c r="M30" i="5"/>
  <c r="H30" i="5"/>
  <c r="L30" i="5"/>
  <c r="E20" i="5"/>
  <c r="BE47" i="4"/>
  <c r="AO154" i="3"/>
  <c r="AP154" i="3" s="1"/>
  <c r="X154" i="3" s="1"/>
  <c r="E38" i="5"/>
  <c r="AO83" i="3"/>
  <c r="AP83" i="3" s="1"/>
  <c r="X83" i="3" s="1"/>
  <c r="BE17" i="4"/>
  <c r="BE85" i="4"/>
  <c r="AO264" i="3"/>
  <c r="AP264" i="3" s="1"/>
  <c r="X264" i="3" s="1"/>
  <c r="BE34" i="4"/>
  <c r="AO117" i="3"/>
  <c r="AP117" i="3" s="1"/>
  <c r="X117" i="3" s="1"/>
  <c r="BE40" i="4"/>
  <c r="AO132" i="3"/>
  <c r="AP132" i="3" s="1"/>
  <c r="X132" i="3" s="1"/>
  <c r="E17" i="5"/>
  <c r="E39" i="5"/>
  <c r="E16" i="5"/>
  <c r="AO272" i="3"/>
  <c r="AP272" i="3" s="1"/>
  <c r="X272" i="3" s="1"/>
  <c r="BE89" i="4"/>
  <c r="I15" i="5"/>
  <c r="AH103" i="4"/>
  <c r="AJ103" i="4" s="1"/>
  <c r="AH58" i="4"/>
  <c r="AJ58" i="4" s="1"/>
  <c r="BE101" i="4"/>
  <c r="AO301" i="3"/>
  <c r="AP301" i="3" s="1"/>
  <c r="X301" i="3" s="1"/>
  <c r="AH7" i="4"/>
  <c r="AJ7" i="4" s="1"/>
  <c r="AH8" i="4"/>
  <c r="AJ8" i="4" s="1"/>
  <c r="AH104" i="4"/>
  <c r="AJ104" i="4" s="1"/>
  <c r="AO34" i="3"/>
  <c r="AP34" i="3" s="1"/>
  <c r="X34" i="3" s="1"/>
  <c r="BE8" i="4"/>
  <c r="AH16" i="4"/>
  <c r="AJ16" i="4" s="1"/>
  <c r="BE52" i="4"/>
  <c r="AO164" i="3"/>
  <c r="AP164" i="3" s="1"/>
  <c r="X164" i="3" s="1"/>
  <c r="BE33" i="4"/>
  <c r="AO115" i="3"/>
  <c r="AP115" i="3" s="1"/>
  <c r="X115" i="3" s="1"/>
  <c r="E27" i="5"/>
  <c r="BE69" i="4"/>
  <c r="AO198" i="3"/>
  <c r="AP198" i="3" s="1"/>
  <c r="X198" i="3" s="1"/>
  <c r="I12" i="5"/>
  <c r="BE11" i="4"/>
  <c r="AO46" i="3"/>
  <c r="AP46" i="3" s="1"/>
  <c r="X46" i="3" s="1"/>
  <c r="AH83" i="4"/>
  <c r="AJ83" i="4" s="1"/>
  <c r="AH11" i="4"/>
  <c r="AJ11" i="4" s="1"/>
  <c r="AO87" i="3"/>
  <c r="AP87" i="3" s="1"/>
  <c r="X87" i="3" s="1"/>
  <c r="BE19" i="4"/>
  <c r="E24" i="5"/>
  <c r="BE26" i="4"/>
  <c r="AO101" i="3"/>
  <c r="AP101" i="3" s="1"/>
  <c r="X101" i="3" s="1"/>
  <c r="BE71" i="4"/>
  <c r="AO202" i="3"/>
  <c r="AP202" i="3" s="1"/>
  <c r="X202" i="3" s="1"/>
  <c r="BE24" i="4"/>
  <c r="AO97" i="3"/>
  <c r="AP97" i="3" s="1"/>
  <c r="X97" i="3" s="1"/>
  <c r="AO113" i="3"/>
  <c r="AP113" i="3" s="1"/>
  <c r="X113" i="3" s="1"/>
  <c r="BE32" i="4"/>
  <c r="BE25" i="4"/>
  <c r="AO99" i="3"/>
  <c r="AP99" i="3" s="1"/>
  <c r="X99" i="3" s="1"/>
  <c r="G15" i="5"/>
  <c r="E54" i="5"/>
  <c r="AO317" i="3"/>
  <c r="AP317" i="3" s="1"/>
  <c r="X317" i="3" s="1"/>
  <c r="AO318" i="3"/>
  <c r="AP318" i="3" s="1"/>
  <c r="X318" i="3" s="1"/>
  <c r="AO316" i="3"/>
  <c r="AP316" i="3" s="1"/>
  <c r="X316" i="3" s="1"/>
  <c r="BE55" i="4"/>
  <c r="AO170" i="3"/>
  <c r="AP170" i="3" s="1"/>
  <c r="X170" i="3" s="1"/>
  <c r="E37" i="5"/>
  <c r="E6" i="5"/>
  <c r="E50" i="5"/>
  <c r="AH91" i="4"/>
  <c r="AJ91" i="4" s="1"/>
  <c r="AH50" i="4"/>
  <c r="AJ50" i="4" s="1"/>
  <c r="AH43" i="4"/>
  <c r="AJ43" i="4" s="1"/>
  <c r="BE95" i="4"/>
  <c r="AO284" i="3"/>
  <c r="AP284" i="3" s="1"/>
  <c r="X284" i="3" s="1"/>
  <c r="BE50" i="4"/>
  <c r="AO160" i="3"/>
  <c r="AP160" i="3" s="1"/>
  <c r="X160" i="3" s="1"/>
  <c r="E13" i="5"/>
  <c r="BE41" i="4"/>
  <c r="AO137" i="3"/>
  <c r="AP137" i="3" s="1"/>
  <c r="X137" i="3" s="1"/>
  <c r="AH75" i="4"/>
  <c r="AJ75" i="4" s="1"/>
  <c r="BE64" i="4"/>
  <c r="AO188" i="3"/>
  <c r="AP188" i="3" s="1"/>
  <c r="X188" i="3" s="1"/>
  <c r="BE90" i="4"/>
  <c r="AO274" i="3"/>
  <c r="AP274" i="3" s="1"/>
  <c r="X274" i="3" s="1"/>
  <c r="AO260" i="3"/>
  <c r="AP260" i="3" s="1"/>
  <c r="X260" i="3" s="1"/>
  <c r="BE83" i="4"/>
  <c r="E33" i="5"/>
  <c r="L15" i="5"/>
  <c r="J15" i="5"/>
  <c r="AH73" i="4"/>
  <c r="AJ73" i="4" s="1"/>
  <c r="AH76" i="4"/>
  <c r="AJ76" i="4" s="1"/>
  <c r="AO204" i="3"/>
  <c r="AP204" i="3" s="1"/>
  <c r="X204" i="3" s="1"/>
  <c r="BE72" i="4"/>
  <c r="AH53" i="4"/>
  <c r="AJ53" i="4" s="1"/>
  <c r="L31" i="5"/>
  <c r="J31" i="5"/>
  <c r="M31" i="5"/>
  <c r="T31" i="5"/>
  <c r="U31" i="5" s="1"/>
  <c r="V31" i="5" s="1"/>
  <c r="I31" i="5"/>
  <c r="H31" i="5"/>
  <c r="G31" i="5"/>
  <c r="K31" i="5"/>
  <c r="BE67" i="4"/>
  <c r="AO194" i="3"/>
  <c r="AP194" i="3" s="1"/>
  <c r="X194" i="3" s="1"/>
  <c r="AO6" i="3"/>
  <c r="AP6" i="3" s="1"/>
  <c r="X6" i="3" s="1"/>
  <c r="BE5" i="4"/>
  <c r="BE93" i="4"/>
  <c r="AO280" i="3"/>
  <c r="AP280" i="3" s="1"/>
  <c r="X280" i="3" s="1"/>
  <c r="AO305" i="3"/>
  <c r="AP305" i="3" s="1"/>
  <c r="X305" i="3" s="1"/>
  <c r="BE103" i="4"/>
  <c r="AO200" i="3"/>
  <c r="AP200" i="3" s="1"/>
  <c r="X200" i="3" s="1"/>
  <c r="BE70" i="4"/>
  <c r="BE97" i="4"/>
  <c r="AO290" i="3"/>
  <c r="AP290" i="3" s="1"/>
  <c r="X290" i="3" s="1"/>
  <c r="AO91" i="3"/>
  <c r="AP91" i="3" s="1"/>
  <c r="X91" i="3" s="1"/>
  <c r="BE21" i="4"/>
  <c r="BE59" i="4"/>
  <c r="AO178" i="3"/>
  <c r="AP178" i="3" s="1"/>
  <c r="X178" i="3" s="1"/>
  <c r="BE29" i="4"/>
  <c r="AO107" i="3"/>
  <c r="AP107" i="3" s="1"/>
  <c r="X107" i="3" s="1"/>
  <c r="K15" i="5"/>
  <c r="BE31" i="4"/>
  <c r="AO111" i="3"/>
  <c r="AP111" i="3" s="1"/>
  <c r="X111" i="3" s="1"/>
  <c r="AO125" i="3"/>
  <c r="AP125" i="3" s="1"/>
  <c r="X125" i="3" s="1"/>
  <c r="BE38" i="4"/>
  <c r="BE54" i="4"/>
  <c r="AO168" i="3"/>
  <c r="AP168" i="3" s="1"/>
  <c r="X168" i="3" s="1"/>
  <c r="BE57" i="4"/>
  <c r="AO174" i="3"/>
  <c r="AP174" i="3" s="1"/>
  <c r="X174" i="3" s="1"/>
  <c r="BE27" i="4"/>
  <c r="AO103" i="3"/>
  <c r="AP103" i="3" s="1"/>
  <c r="X103" i="3" s="1"/>
  <c r="E22" i="5"/>
  <c r="AO303" i="3"/>
  <c r="AP303" i="3" s="1"/>
  <c r="X303" i="3" s="1"/>
  <c r="BE102" i="4"/>
  <c r="AO105" i="3"/>
  <c r="AP105" i="3" s="1"/>
  <c r="X105" i="3" s="1"/>
  <c r="BE28" i="4"/>
  <c r="J55" i="5"/>
  <c r="L55" i="5"/>
  <c r="M55" i="5"/>
  <c r="K55" i="5"/>
  <c r="T55" i="5"/>
  <c r="U55" i="5" s="1"/>
  <c r="V55" i="5" s="1"/>
  <c r="G55" i="5"/>
  <c r="H55" i="5"/>
  <c r="I55" i="5"/>
  <c r="E14" i="5"/>
  <c r="E46" i="5"/>
  <c r="AH82" i="4"/>
  <c r="AJ82" i="4" s="1"/>
  <c r="AH14" i="4"/>
  <c r="AJ14" i="4" s="1"/>
  <c r="AH92" i="4"/>
  <c r="AJ92" i="4" s="1"/>
  <c r="AH99" i="4"/>
  <c r="AJ99" i="4" s="1"/>
  <c r="AH94" i="4"/>
  <c r="AJ94" i="4" s="1"/>
  <c r="AO314" i="3"/>
  <c r="AP314" i="3" s="1"/>
  <c r="X314" i="3" s="1"/>
  <c r="AO313" i="3"/>
  <c r="AP313" i="3" s="1"/>
  <c r="X313" i="3" s="1"/>
  <c r="G52" i="5"/>
  <c r="J52" i="5"/>
  <c r="H52" i="5"/>
  <c r="I52" i="5"/>
  <c r="K52" i="5"/>
  <c r="T52" i="5"/>
  <c r="U52" i="5" s="1"/>
  <c r="V52" i="5" s="1"/>
  <c r="M52" i="5"/>
  <c r="L52" i="5"/>
  <c r="T15" i="5"/>
  <c r="U15" i="5" s="1"/>
  <c r="V15" i="5" s="1"/>
  <c r="AH66" i="4"/>
  <c r="AJ66" i="4" s="1"/>
  <c r="G36" i="5"/>
  <c r="I36" i="5"/>
  <c r="M36" i="5"/>
  <c r="H36" i="5"/>
  <c r="J36" i="5"/>
  <c r="L36" i="5"/>
  <c r="T36" i="5"/>
  <c r="U36" i="5" s="1"/>
  <c r="V36" i="5" s="1"/>
  <c r="K36" i="5"/>
  <c r="AH40" i="4"/>
  <c r="AJ40" i="4" s="1"/>
  <c r="AH77" i="4"/>
  <c r="AJ77" i="4" s="1"/>
  <c r="H18" i="5"/>
  <c r="G18" i="5"/>
  <c r="I18" i="5"/>
  <c r="L18" i="5"/>
  <c r="K18" i="5"/>
  <c r="J18" i="5"/>
  <c r="T18" i="5"/>
  <c r="U18" i="5" s="1"/>
  <c r="V18" i="5" s="1"/>
  <c r="M18" i="5"/>
  <c r="AH19" i="4"/>
  <c r="AJ19" i="4" s="1"/>
  <c r="AO299" i="3"/>
  <c r="AP299" i="3" s="1"/>
  <c r="X299" i="3" s="1"/>
  <c r="BE100" i="4"/>
  <c r="AH51" i="4"/>
  <c r="AJ51" i="4" s="1"/>
  <c r="AO123" i="3"/>
  <c r="AP123" i="3" s="1"/>
  <c r="X123" i="3" s="1"/>
  <c r="BE37" i="4"/>
  <c r="BE87" i="4"/>
  <c r="AO268" i="3"/>
  <c r="AP268" i="3" s="1"/>
  <c r="X268" i="3" s="1"/>
  <c r="AH72" i="4"/>
  <c r="AJ72" i="4" s="1"/>
  <c r="AH60" i="4"/>
  <c r="AJ60" i="4" s="1"/>
  <c r="AH47" i="4"/>
  <c r="AJ47" i="4" s="1"/>
  <c r="BE81" i="4"/>
  <c r="AO244" i="3"/>
  <c r="AP244" i="3" s="1"/>
  <c r="X244" i="3" s="1"/>
  <c r="BE62" i="4"/>
  <c r="AO184" i="3"/>
  <c r="AP184" i="3" s="1"/>
  <c r="X184" i="3" s="1"/>
  <c r="BE84" i="4"/>
  <c r="AO262" i="3"/>
  <c r="AP262" i="3" s="1"/>
  <c r="X262" i="3" s="1"/>
  <c r="N28" i="5"/>
  <c r="O28" i="5" s="1"/>
  <c r="AO231" i="3"/>
  <c r="AP231" i="3" s="1"/>
  <c r="X231" i="3" s="1"/>
  <c r="AO235" i="3"/>
  <c r="AP235" i="3" s="1"/>
  <c r="X235" i="3" s="1"/>
  <c r="N26" i="5"/>
  <c r="O26" i="5" s="1"/>
  <c r="AB78" i="4"/>
  <c r="AO234" i="3"/>
  <c r="AP234" i="3" s="1"/>
  <c r="X234" i="3" s="1"/>
  <c r="N45" i="5"/>
  <c r="O45" i="5" s="1"/>
  <c r="AO230" i="3"/>
  <c r="AP230" i="3" s="1"/>
  <c r="X230" i="3" s="1"/>
  <c r="AO228" i="3"/>
  <c r="AP228" i="3" s="1"/>
  <c r="X228" i="3" s="1"/>
  <c r="AO229" i="3"/>
  <c r="AP229" i="3" s="1"/>
  <c r="X229" i="3" s="1"/>
  <c r="AO233" i="3"/>
  <c r="AP233" i="3" s="1"/>
  <c r="X233" i="3" s="1"/>
  <c r="AO94" i="3"/>
  <c r="AP94" i="3" s="1"/>
  <c r="X94" i="3" s="1"/>
  <c r="AB22" i="4"/>
  <c r="N19" i="5" l="1"/>
  <c r="O19" i="5" s="1"/>
  <c r="N29" i="5"/>
  <c r="O29" i="5" s="1"/>
  <c r="N21" i="5"/>
  <c r="O21" i="5" s="1"/>
  <c r="T12" i="5"/>
  <c r="U12" i="5" s="1"/>
  <c r="V12" i="5" s="1"/>
  <c r="L12" i="5"/>
  <c r="K12" i="5"/>
  <c r="G12" i="5"/>
  <c r="M12" i="5"/>
  <c r="J12" i="5"/>
  <c r="T32" i="5"/>
  <c r="U32" i="5" s="1"/>
  <c r="V32" i="5" s="1"/>
  <c r="L47" i="5"/>
  <c r="H47" i="5"/>
  <c r="M47" i="5"/>
  <c r="G47" i="5"/>
  <c r="K47" i="5"/>
  <c r="T47" i="5"/>
  <c r="U47" i="5" s="1"/>
  <c r="V47" i="5" s="1"/>
  <c r="J47" i="5"/>
  <c r="I47" i="5"/>
  <c r="G32" i="5"/>
  <c r="I32" i="5"/>
  <c r="K32" i="5"/>
  <c r="N49" i="5"/>
  <c r="O49" i="5" s="1"/>
  <c r="N41" i="5"/>
  <c r="O41" i="5" s="1"/>
  <c r="N10" i="5"/>
  <c r="O10" i="5" s="1"/>
  <c r="N44" i="5"/>
  <c r="O44" i="5" s="1"/>
  <c r="N31" i="5"/>
  <c r="O31" i="5" s="1"/>
  <c r="N15" i="5"/>
  <c r="O15" i="5" s="1"/>
  <c r="AJ2" i="4"/>
  <c r="L1" i="3" s="1"/>
  <c r="AB100" i="4"/>
  <c r="AO300" i="3"/>
  <c r="AP300" i="3" s="1"/>
  <c r="X300" i="3" s="1"/>
  <c r="AB28" i="4"/>
  <c r="AO106" i="3"/>
  <c r="AP106" i="3" s="1"/>
  <c r="X106" i="3" s="1"/>
  <c r="AO201" i="3"/>
  <c r="AP201" i="3" s="1"/>
  <c r="X201" i="3" s="1"/>
  <c r="AB70" i="4"/>
  <c r="AO203" i="3"/>
  <c r="AP203" i="3" s="1"/>
  <c r="X203" i="3" s="1"/>
  <c r="AB71" i="4"/>
  <c r="AB52" i="4"/>
  <c r="AO165" i="3"/>
  <c r="AP165" i="3" s="1"/>
  <c r="X165" i="3" s="1"/>
  <c r="AB89" i="4"/>
  <c r="AO273" i="3"/>
  <c r="AP273" i="3" s="1"/>
  <c r="X273" i="3" s="1"/>
  <c r="AO120" i="3"/>
  <c r="AP120" i="3" s="1"/>
  <c r="X120" i="3" s="1"/>
  <c r="AB35" i="4"/>
  <c r="AO207" i="3"/>
  <c r="AP207" i="3" s="1"/>
  <c r="X207" i="3" s="1"/>
  <c r="AB73" i="4"/>
  <c r="AO208" i="3"/>
  <c r="AP208" i="3" s="1"/>
  <c r="X208" i="3" s="1"/>
  <c r="AO277" i="3"/>
  <c r="AP277" i="3" s="1"/>
  <c r="X277" i="3" s="1"/>
  <c r="AB91" i="4"/>
  <c r="AO122" i="3"/>
  <c r="AP122" i="3" s="1"/>
  <c r="X122" i="3" s="1"/>
  <c r="AB36" i="4"/>
  <c r="AO96" i="3"/>
  <c r="AP96" i="3" s="1"/>
  <c r="X96" i="3" s="1"/>
  <c r="AB23" i="4"/>
  <c r="AO65" i="3"/>
  <c r="AP65" i="3" s="1"/>
  <c r="X65" i="3" s="1"/>
  <c r="AB14" i="4"/>
  <c r="AO67" i="3"/>
  <c r="AP67" i="3" s="1"/>
  <c r="X67" i="3" s="1"/>
  <c r="AO69" i="3"/>
  <c r="AP69" i="3" s="1"/>
  <c r="X69" i="3" s="1"/>
  <c r="AO68" i="3"/>
  <c r="AP68" i="3" s="1"/>
  <c r="X68" i="3" s="1"/>
  <c r="AO66" i="3"/>
  <c r="AP66" i="3" s="1"/>
  <c r="X66" i="3" s="1"/>
  <c r="AO291" i="3"/>
  <c r="AP291" i="3" s="1"/>
  <c r="X291" i="3" s="1"/>
  <c r="AO292" i="3"/>
  <c r="AP292" i="3" s="1"/>
  <c r="X292" i="3" s="1"/>
  <c r="AB97" i="4"/>
  <c r="J13" i="5"/>
  <c r="I13" i="5"/>
  <c r="M13" i="5"/>
  <c r="K13" i="5"/>
  <c r="G13" i="5"/>
  <c r="L13" i="5"/>
  <c r="H13" i="5"/>
  <c r="T13" i="5"/>
  <c r="U13" i="5" s="1"/>
  <c r="V13" i="5" s="1"/>
  <c r="AO77" i="3"/>
  <c r="AP77" i="3" s="1"/>
  <c r="X77" i="3" s="1"/>
  <c r="AB15" i="4"/>
  <c r="AO72" i="3"/>
  <c r="AP72" i="3" s="1"/>
  <c r="X72" i="3" s="1"/>
  <c r="AO79" i="3"/>
  <c r="AP79" i="3" s="1"/>
  <c r="X79" i="3" s="1"/>
  <c r="AO73" i="3"/>
  <c r="AP73" i="3" s="1"/>
  <c r="X73" i="3" s="1"/>
  <c r="AO71" i="3"/>
  <c r="AP71" i="3" s="1"/>
  <c r="X71" i="3" s="1"/>
  <c r="AO74" i="3"/>
  <c r="AP74" i="3" s="1"/>
  <c r="X74" i="3" s="1"/>
  <c r="AO75" i="3"/>
  <c r="AP75" i="3" s="1"/>
  <c r="X75" i="3" s="1"/>
  <c r="AO76" i="3"/>
  <c r="AP76" i="3" s="1"/>
  <c r="X76" i="3" s="1"/>
  <c r="AO78" i="3"/>
  <c r="AP78" i="3" s="1"/>
  <c r="X78" i="3" s="1"/>
  <c r="AB62" i="4"/>
  <c r="AO185" i="3"/>
  <c r="AP185" i="3" s="1"/>
  <c r="X185" i="3" s="1"/>
  <c r="H33" i="5"/>
  <c r="M33" i="5"/>
  <c r="L33" i="5"/>
  <c r="T33" i="5"/>
  <c r="U33" i="5" s="1"/>
  <c r="V33" i="5" s="1"/>
  <c r="J33" i="5"/>
  <c r="K33" i="5"/>
  <c r="I33" i="5"/>
  <c r="G33" i="5"/>
  <c r="AO161" i="3"/>
  <c r="AP161" i="3" s="1"/>
  <c r="X161" i="3" s="1"/>
  <c r="AB50" i="4"/>
  <c r="N12" i="5"/>
  <c r="O12" i="5" s="1"/>
  <c r="I38" i="5"/>
  <c r="G38" i="5"/>
  <c r="L38" i="5"/>
  <c r="M38" i="5"/>
  <c r="K38" i="5"/>
  <c r="T38" i="5"/>
  <c r="U38" i="5" s="1"/>
  <c r="V38" i="5" s="1"/>
  <c r="H38" i="5"/>
  <c r="J38" i="5"/>
  <c r="AB53" i="4"/>
  <c r="AO167" i="3"/>
  <c r="AP167" i="3" s="1"/>
  <c r="X167" i="3" s="1"/>
  <c r="AO283" i="3"/>
  <c r="AP283" i="3" s="1"/>
  <c r="X283" i="3" s="1"/>
  <c r="AB94" i="4"/>
  <c r="M46" i="5"/>
  <c r="J46" i="5"/>
  <c r="I46" i="5"/>
  <c r="T46" i="5"/>
  <c r="U46" i="5" s="1"/>
  <c r="V46" i="5" s="1"/>
  <c r="G46" i="5"/>
  <c r="H46" i="5"/>
  <c r="K46" i="5"/>
  <c r="L46" i="5"/>
  <c r="AB102" i="4"/>
  <c r="AO304" i="3"/>
  <c r="AP304" i="3" s="1"/>
  <c r="X304" i="3" s="1"/>
  <c r="AB31" i="4"/>
  <c r="AO112" i="3"/>
  <c r="AP112" i="3" s="1"/>
  <c r="X112" i="3" s="1"/>
  <c r="AB103" i="4"/>
  <c r="AO306" i="3"/>
  <c r="AP306" i="3" s="1"/>
  <c r="X306" i="3" s="1"/>
  <c r="AB83" i="4"/>
  <c r="AO261" i="3"/>
  <c r="AP261" i="3" s="1"/>
  <c r="X261" i="3" s="1"/>
  <c r="AB26" i="4"/>
  <c r="AO102" i="3"/>
  <c r="AP102" i="3" s="1"/>
  <c r="X102" i="3" s="1"/>
  <c r="AO36" i="3"/>
  <c r="AP36" i="3" s="1"/>
  <c r="X36" i="3" s="1"/>
  <c r="AB8" i="4"/>
  <c r="AO35" i="3"/>
  <c r="AP35" i="3" s="1"/>
  <c r="X35" i="3" s="1"/>
  <c r="G16" i="5"/>
  <c r="K16" i="5"/>
  <c r="T16" i="5"/>
  <c r="U16" i="5" s="1"/>
  <c r="V16" i="5" s="1"/>
  <c r="M16" i="5"/>
  <c r="H16" i="5"/>
  <c r="I16" i="5"/>
  <c r="J16" i="5"/>
  <c r="L16" i="5"/>
  <c r="AB56" i="4"/>
  <c r="AO173" i="3"/>
  <c r="AP173" i="3" s="1"/>
  <c r="X173" i="3" s="1"/>
  <c r="H40" i="5"/>
  <c r="K40" i="5"/>
  <c r="L40" i="5"/>
  <c r="M40" i="5"/>
  <c r="T40" i="5"/>
  <c r="U40" i="5" s="1"/>
  <c r="V40" i="5" s="1"/>
  <c r="I40" i="5"/>
  <c r="J40" i="5"/>
  <c r="G40" i="5"/>
  <c r="AB10" i="4"/>
  <c r="AO42" i="3"/>
  <c r="AP42" i="3" s="1"/>
  <c r="X42" i="3" s="1"/>
  <c r="AO44" i="3"/>
  <c r="AP44" i="3" s="1"/>
  <c r="X44" i="3" s="1"/>
  <c r="AO45" i="3"/>
  <c r="AP45" i="3" s="1"/>
  <c r="X45" i="3" s="1"/>
  <c r="AO43" i="3"/>
  <c r="AP43" i="3" s="1"/>
  <c r="X43" i="3" s="1"/>
  <c r="AO271" i="3"/>
  <c r="AP271" i="3" s="1"/>
  <c r="X271" i="3" s="1"/>
  <c r="AB88" i="4"/>
  <c r="I34" i="5"/>
  <c r="L34" i="5"/>
  <c r="K34" i="5"/>
  <c r="G34" i="5"/>
  <c r="J34" i="5"/>
  <c r="T34" i="5"/>
  <c r="U34" i="5" s="1"/>
  <c r="V34" i="5" s="1"/>
  <c r="H34" i="5"/>
  <c r="M34" i="5"/>
  <c r="N25" i="5"/>
  <c r="O25" i="5" s="1"/>
  <c r="AO127" i="3"/>
  <c r="AP127" i="3" s="1"/>
  <c r="X127" i="3" s="1"/>
  <c r="AO126" i="3"/>
  <c r="AP126" i="3" s="1"/>
  <c r="X126" i="3" s="1"/>
  <c r="AB38" i="4"/>
  <c r="I14" i="5"/>
  <c r="L14" i="5"/>
  <c r="H14" i="5"/>
  <c r="T14" i="5"/>
  <c r="U14" i="5" s="1"/>
  <c r="V14" i="5" s="1"/>
  <c r="M14" i="5"/>
  <c r="K14" i="5"/>
  <c r="G14" i="5"/>
  <c r="J14" i="5"/>
  <c r="AO285" i="3"/>
  <c r="AP285" i="3" s="1"/>
  <c r="X285" i="3" s="1"/>
  <c r="AO286" i="3"/>
  <c r="AP286" i="3" s="1"/>
  <c r="X286" i="3" s="1"/>
  <c r="AB95" i="4"/>
  <c r="L54" i="5"/>
  <c r="M54" i="5"/>
  <c r="T54" i="5"/>
  <c r="U54" i="5" s="1"/>
  <c r="V54" i="5" s="1"/>
  <c r="J54" i="5"/>
  <c r="H54" i="5"/>
  <c r="G54" i="5"/>
  <c r="I54" i="5"/>
  <c r="K54" i="5"/>
  <c r="L24" i="5"/>
  <c r="H24" i="5"/>
  <c r="K24" i="5"/>
  <c r="T24" i="5"/>
  <c r="U24" i="5" s="1"/>
  <c r="V24" i="5" s="1"/>
  <c r="J24" i="5"/>
  <c r="I24" i="5"/>
  <c r="M24" i="5"/>
  <c r="G24" i="5"/>
  <c r="G39" i="5"/>
  <c r="I39" i="5"/>
  <c r="T39" i="5"/>
  <c r="U39" i="5" s="1"/>
  <c r="V39" i="5" s="1"/>
  <c r="L39" i="5"/>
  <c r="J39" i="5"/>
  <c r="H39" i="5"/>
  <c r="M39" i="5"/>
  <c r="K39" i="5"/>
  <c r="AB47" i="4"/>
  <c r="AO155" i="3"/>
  <c r="AP155" i="3" s="1"/>
  <c r="X155" i="3" s="1"/>
  <c r="AB18" i="4"/>
  <c r="AO86" i="3"/>
  <c r="AP86" i="3" s="1"/>
  <c r="X86" i="3" s="1"/>
  <c r="AB61" i="4"/>
  <c r="AO183" i="3"/>
  <c r="AP183" i="3" s="1"/>
  <c r="X183" i="3" s="1"/>
  <c r="AO90" i="3"/>
  <c r="AP90" i="3" s="1"/>
  <c r="X90" i="3" s="1"/>
  <c r="AB20" i="4"/>
  <c r="AO177" i="3"/>
  <c r="AP177" i="3" s="1"/>
  <c r="X177" i="3" s="1"/>
  <c r="AB58" i="4"/>
  <c r="AB98" i="4"/>
  <c r="AO295" i="3"/>
  <c r="AP295" i="3" s="1"/>
  <c r="X295" i="3" s="1"/>
  <c r="AO294" i="3"/>
  <c r="AP294" i="3" s="1"/>
  <c r="X294" i="3" s="1"/>
  <c r="M22" i="5"/>
  <c r="T22" i="5"/>
  <c r="U22" i="5" s="1"/>
  <c r="V22" i="5" s="1"/>
  <c r="L22" i="5"/>
  <c r="K22" i="5"/>
  <c r="J22" i="5"/>
  <c r="I22" i="5"/>
  <c r="H22" i="5"/>
  <c r="G22" i="5"/>
  <c r="AB19" i="4"/>
  <c r="AO88" i="3"/>
  <c r="AP88" i="3" s="1"/>
  <c r="X88" i="3" s="1"/>
  <c r="I17" i="5"/>
  <c r="H17" i="5"/>
  <c r="K17" i="5"/>
  <c r="G17" i="5"/>
  <c r="T17" i="5"/>
  <c r="U17" i="5" s="1"/>
  <c r="V17" i="5" s="1"/>
  <c r="L17" i="5"/>
  <c r="M17" i="5"/>
  <c r="J17" i="5"/>
  <c r="G20" i="5"/>
  <c r="L20" i="5"/>
  <c r="I20" i="5"/>
  <c r="T20" i="5"/>
  <c r="U20" i="5" s="1"/>
  <c r="V20" i="5" s="1"/>
  <c r="H20" i="5"/>
  <c r="J20" i="5"/>
  <c r="M20" i="5"/>
  <c r="K20" i="5"/>
  <c r="AO237" i="3"/>
  <c r="AP237" i="3" s="1"/>
  <c r="X237" i="3" s="1"/>
  <c r="AO238" i="3"/>
  <c r="AP238" i="3" s="1"/>
  <c r="X238" i="3" s="1"/>
  <c r="AO240" i="3"/>
  <c r="AP240" i="3" s="1"/>
  <c r="X240" i="3" s="1"/>
  <c r="AB79" i="4"/>
  <c r="AO239" i="3"/>
  <c r="AP239" i="3" s="1"/>
  <c r="X239" i="3" s="1"/>
  <c r="AO5" i="3"/>
  <c r="AP5" i="3" s="1"/>
  <c r="X5" i="3" s="1"/>
  <c r="AB4" i="4"/>
  <c r="AO131" i="3"/>
  <c r="AP131" i="3" s="1"/>
  <c r="X131" i="3" s="1"/>
  <c r="AO130" i="3"/>
  <c r="AP130" i="3" s="1"/>
  <c r="X130" i="3" s="1"/>
  <c r="AB39" i="4"/>
  <c r="AO129" i="3"/>
  <c r="AP129" i="3" s="1"/>
  <c r="X129" i="3" s="1"/>
  <c r="AB12" i="4"/>
  <c r="AO52" i="3"/>
  <c r="AP52" i="3" s="1"/>
  <c r="X52" i="3" s="1"/>
  <c r="AO54" i="3"/>
  <c r="AP54" i="3" s="1"/>
  <c r="X54" i="3" s="1"/>
  <c r="AO53" i="3"/>
  <c r="AP53" i="3" s="1"/>
  <c r="X53" i="3" s="1"/>
  <c r="AO56" i="3"/>
  <c r="AP56" i="3" s="1"/>
  <c r="X56" i="3" s="1"/>
  <c r="AO55" i="3"/>
  <c r="AP55" i="3" s="1"/>
  <c r="X55" i="3" s="1"/>
  <c r="AB84" i="4"/>
  <c r="AO263" i="3"/>
  <c r="AP263" i="3" s="1"/>
  <c r="X263" i="3" s="1"/>
  <c r="AB29" i="4"/>
  <c r="AO108" i="3"/>
  <c r="AP108" i="3" s="1"/>
  <c r="X108" i="3" s="1"/>
  <c r="AO281" i="3"/>
  <c r="AP281" i="3" s="1"/>
  <c r="X281" i="3" s="1"/>
  <c r="AB93" i="4"/>
  <c r="AB90" i="4"/>
  <c r="AO275" i="3"/>
  <c r="AP275" i="3" s="1"/>
  <c r="X275" i="3" s="1"/>
  <c r="G9" i="5"/>
  <c r="K9" i="5"/>
  <c r="L9" i="5"/>
  <c r="I9" i="5"/>
  <c r="H9" i="5"/>
  <c r="J9" i="5"/>
  <c r="M9" i="5"/>
  <c r="T9" i="5"/>
  <c r="U9" i="5" s="1"/>
  <c r="V9" i="5" s="1"/>
  <c r="AO38" i="3"/>
  <c r="AP38" i="3" s="1"/>
  <c r="X38" i="3" s="1"/>
  <c r="AO40" i="3"/>
  <c r="AP40" i="3" s="1"/>
  <c r="X40" i="3" s="1"/>
  <c r="AO39" i="3"/>
  <c r="AP39" i="3" s="1"/>
  <c r="X39" i="3" s="1"/>
  <c r="AB9" i="4"/>
  <c r="AB55" i="4"/>
  <c r="AO171" i="3"/>
  <c r="AP171" i="3" s="1"/>
  <c r="X171" i="3" s="1"/>
  <c r="N52" i="5"/>
  <c r="O52" i="5" s="1"/>
  <c r="N55" i="5"/>
  <c r="O55" i="5" s="1"/>
  <c r="AB27" i="4"/>
  <c r="AO104" i="3"/>
  <c r="AP104" i="3" s="1"/>
  <c r="X104" i="3" s="1"/>
  <c r="AO12" i="3"/>
  <c r="AP12" i="3" s="1"/>
  <c r="X12" i="3" s="1"/>
  <c r="AB5" i="4"/>
  <c r="AO13" i="3"/>
  <c r="AP13" i="3" s="1"/>
  <c r="X13" i="3" s="1"/>
  <c r="AO17" i="3"/>
  <c r="AP17" i="3" s="1"/>
  <c r="X17" i="3" s="1"/>
  <c r="AO7" i="3"/>
  <c r="AP7" i="3" s="1"/>
  <c r="X7" i="3" s="1"/>
  <c r="AO10" i="3"/>
  <c r="AP10" i="3" s="1"/>
  <c r="X10" i="3" s="1"/>
  <c r="AO16" i="3"/>
  <c r="AP16" i="3" s="1"/>
  <c r="X16" i="3" s="1"/>
  <c r="AO14" i="3"/>
  <c r="AP14" i="3" s="1"/>
  <c r="X14" i="3" s="1"/>
  <c r="AO9" i="3"/>
  <c r="AP9" i="3" s="1"/>
  <c r="X9" i="3" s="1"/>
  <c r="AO11" i="3"/>
  <c r="AP11" i="3" s="1"/>
  <c r="X11" i="3" s="1"/>
  <c r="AO15" i="3"/>
  <c r="AP15" i="3" s="1"/>
  <c r="X15" i="3" s="1"/>
  <c r="AO18" i="3"/>
  <c r="AP18" i="3" s="1"/>
  <c r="X18" i="3" s="1"/>
  <c r="AO19" i="3"/>
  <c r="AP19" i="3" s="1"/>
  <c r="X19" i="3" s="1"/>
  <c r="AO8" i="3"/>
  <c r="AP8" i="3" s="1"/>
  <c r="X8" i="3" s="1"/>
  <c r="AB25" i="4"/>
  <c r="AO100" i="3"/>
  <c r="AP100" i="3" s="1"/>
  <c r="X100" i="3" s="1"/>
  <c r="AB40" i="4"/>
  <c r="AO135" i="3"/>
  <c r="AP135" i="3" s="1"/>
  <c r="X135" i="3" s="1"/>
  <c r="AO133" i="3"/>
  <c r="AP133" i="3" s="1"/>
  <c r="X133" i="3" s="1"/>
  <c r="AO136" i="3"/>
  <c r="AP136" i="3" s="1"/>
  <c r="X136" i="3" s="1"/>
  <c r="AO134" i="3"/>
  <c r="AP134" i="3" s="1"/>
  <c r="X134" i="3" s="1"/>
  <c r="AB65" i="4"/>
  <c r="AO191" i="3"/>
  <c r="AP191" i="3" s="1"/>
  <c r="X191" i="3" s="1"/>
  <c r="AO62" i="3"/>
  <c r="AP62" i="3" s="1"/>
  <c r="X62" i="3" s="1"/>
  <c r="AB13" i="4"/>
  <c r="AO60" i="3"/>
  <c r="AP60" i="3" s="1"/>
  <c r="X60" i="3" s="1"/>
  <c r="AO59" i="3"/>
  <c r="AP59" i="3" s="1"/>
  <c r="X59" i="3" s="1"/>
  <c r="AO63" i="3"/>
  <c r="AP63" i="3" s="1"/>
  <c r="X63" i="3" s="1"/>
  <c r="AO61" i="3"/>
  <c r="AP61" i="3" s="1"/>
  <c r="X61" i="3" s="1"/>
  <c r="AO58" i="3"/>
  <c r="AP58" i="3" s="1"/>
  <c r="X58" i="3" s="1"/>
  <c r="AO267" i="3"/>
  <c r="AP267" i="3" s="1"/>
  <c r="X267" i="3" s="1"/>
  <c r="AB86" i="4"/>
  <c r="AB43" i="4"/>
  <c r="AO147" i="3"/>
  <c r="AP147" i="3" s="1"/>
  <c r="X147" i="3" s="1"/>
  <c r="AO146" i="3"/>
  <c r="AP146" i="3" s="1"/>
  <c r="X146" i="3" s="1"/>
  <c r="N51" i="5"/>
  <c r="O51" i="5" s="1"/>
  <c r="N11" i="5"/>
  <c r="O11" i="5" s="1"/>
  <c r="AB66" i="4"/>
  <c r="AO193" i="3"/>
  <c r="AP193" i="3" s="1"/>
  <c r="X193" i="3" s="1"/>
  <c r="AB17" i="4"/>
  <c r="AO84" i="3"/>
  <c r="AP84" i="3" s="1"/>
  <c r="X84" i="3" s="1"/>
  <c r="AB59" i="4"/>
  <c r="AO179" i="3"/>
  <c r="AP179" i="3" s="1"/>
  <c r="X179" i="3" s="1"/>
  <c r="AO205" i="3"/>
  <c r="AP205" i="3" s="1"/>
  <c r="X205" i="3" s="1"/>
  <c r="AB72" i="4"/>
  <c r="AB64" i="4"/>
  <c r="AO189" i="3"/>
  <c r="AP189" i="3" s="1"/>
  <c r="X189" i="3" s="1"/>
  <c r="J50" i="5"/>
  <c r="H50" i="5"/>
  <c r="I50" i="5"/>
  <c r="L50" i="5"/>
  <c r="K50" i="5"/>
  <c r="M50" i="5"/>
  <c r="T50" i="5"/>
  <c r="U50" i="5" s="1"/>
  <c r="V50" i="5" s="1"/>
  <c r="G50" i="5"/>
  <c r="AB32" i="4"/>
  <c r="AO114" i="3"/>
  <c r="AP114" i="3" s="1"/>
  <c r="X114" i="3" s="1"/>
  <c r="AO199" i="3"/>
  <c r="AP199" i="3" s="1"/>
  <c r="X199" i="3" s="1"/>
  <c r="AB69" i="4"/>
  <c r="N43" i="5"/>
  <c r="O43" i="5" s="1"/>
  <c r="AO187" i="3"/>
  <c r="AP187" i="3" s="1"/>
  <c r="X187" i="3" s="1"/>
  <c r="AB63" i="4"/>
  <c r="T23" i="5"/>
  <c r="U23" i="5" s="1"/>
  <c r="V23" i="5" s="1"/>
  <c r="M23" i="5"/>
  <c r="G23" i="5"/>
  <c r="K23" i="5"/>
  <c r="J23" i="5"/>
  <c r="L23" i="5"/>
  <c r="I23" i="5"/>
  <c r="H23" i="5"/>
  <c r="N36" i="5"/>
  <c r="O36" i="5" s="1"/>
  <c r="AB57" i="4"/>
  <c r="AO175" i="3"/>
  <c r="AP175" i="3" s="1"/>
  <c r="X175" i="3" s="1"/>
  <c r="AB21" i="4"/>
  <c r="AO92" i="3"/>
  <c r="AP92" i="3" s="1"/>
  <c r="X92" i="3" s="1"/>
  <c r="T6" i="5"/>
  <c r="U6" i="5" s="1"/>
  <c r="V6" i="5" s="1"/>
  <c r="I6" i="5"/>
  <c r="J6" i="5"/>
  <c r="H6" i="5"/>
  <c r="L6" i="5"/>
  <c r="M6" i="5"/>
  <c r="K6" i="5"/>
  <c r="G6" i="5"/>
  <c r="G27" i="5"/>
  <c r="J27" i="5"/>
  <c r="L27" i="5"/>
  <c r="K27" i="5"/>
  <c r="M27" i="5"/>
  <c r="H27" i="5"/>
  <c r="T27" i="5"/>
  <c r="U27" i="5" s="1"/>
  <c r="V27" i="5" s="1"/>
  <c r="I27" i="5"/>
  <c r="AB101" i="4"/>
  <c r="AO302" i="3"/>
  <c r="AP302" i="3" s="1"/>
  <c r="AB34" i="4"/>
  <c r="AO118" i="3"/>
  <c r="AP118" i="3" s="1"/>
  <c r="X118" i="3" s="1"/>
  <c r="AB76" i="4"/>
  <c r="AO220" i="3"/>
  <c r="AP220" i="3" s="1"/>
  <c r="X220" i="3" s="1"/>
  <c r="AO218" i="3"/>
  <c r="AP218" i="3" s="1"/>
  <c r="X218" i="3" s="1"/>
  <c r="AO219" i="3"/>
  <c r="AP219" i="3" s="1"/>
  <c r="X219" i="3" s="1"/>
  <c r="AO149" i="3"/>
  <c r="AP149" i="3" s="1"/>
  <c r="X149" i="3" s="1"/>
  <c r="AB44" i="4"/>
  <c r="N48" i="5"/>
  <c r="O48" i="5" s="1"/>
  <c r="AB51" i="4"/>
  <c r="AO163" i="3"/>
  <c r="AP163" i="3" s="1"/>
  <c r="X163" i="3" s="1"/>
  <c r="AB46" i="4"/>
  <c r="AO153" i="3"/>
  <c r="AP153" i="3" s="1"/>
  <c r="X153" i="3" s="1"/>
  <c r="AB96" i="4"/>
  <c r="AO289" i="3"/>
  <c r="AP289" i="3" s="1"/>
  <c r="X289" i="3" s="1"/>
  <c r="AO288" i="3"/>
  <c r="AP288" i="3" s="1"/>
  <c r="X288" i="3" s="1"/>
  <c r="AO279" i="3"/>
  <c r="AP279" i="3" s="1"/>
  <c r="X279" i="3" s="1"/>
  <c r="AB92" i="4"/>
  <c r="N8" i="5"/>
  <c r="O8" i="5" s="1"/>
  <c r="AB81" i="4"/>
  <c r="AO247" i="3"/>
  <c r="AP247" i="3" s="1"/>
  <c r="X247" i="3" s="1"/>
  <c r="AO249" i="3"/>
  <c r="AP249" i="3" s="1"/>
  <c r="X249" i="3" s="1"/>
  <c r="AO250" i="3"/>
  <c r="AP250" i="3" s="1"/>
  <c r="X250" i="3" s="1"/>
  <c r="AO246" i="3"/>
  <c r="AP246" i="3" s="1"/>
  <c r="X246" i="3" s="1"/>
  <c r="AO251" i="3"/>
  <c r="AP251" i="3" s="1"/>
  <c r="X251" i="3" s="1"/>
  <c r="AO245" i="3"/>
  <c r="AP245" i="3" s="1"/>
  <c r="X245" i="3" s="1"/>
  <c r="AO248" i="3"/>
  <c r="AP248" i="3" s="1"/>
  <c r="X248" i="3" s="1"/>
  <c r="AB87" i="4"/>
  <c r="AO269" i="3"/>
  <c r="AP269" i="3" s="1"/>
  <c r="X269" i="3" s="1"/>
  <c r="AB37" i="4"/>
  <c r="AO124" i="3"/>
  <c r="AP124" i="3" s="1"/>
  <c r="X124" i="3" s="1"/>
  <c r="N18" i="5"/>
  <c r="O18" i="5" s="1"/>
  <c r="AB67" i="4"/>
  <c r="AO195" i="3"/>
  <c r="AP195" i="3" s="1"/>
  <c r="X195" i="3" s="1"/>
  <c r="I37" i="5"/>
  <c r="T37" i="5"/>
  <c r="U37" i="5" s="1"/>
  <c r="V37" i="5" s="1"/>
  <c r="M37" i="5"/>
  <c r="G37" i="5"/>
  <c r="K37" i="5"/>
  <c r="L37" i="5"/>
  <c r="J37" i="5"/>
  <c r="H37" i="5"/>
  <c r="AO48" i="3"/>
  <c r="AP48" i="3" s="1"/>
  <c r="X48" i="3" s="1"/>
  <c r="AB11" i="4"/>
  <c r="AO47" i="3"/>
  <c r="AP47" i="3" s="1"/>
  <c r="X47" i="3" s="1"/>
  <c r="AO50" i="3"/>
  <c r="AP50" i="3" s="1"/>
  <c r="X50" i="3" s="1"/>
  <c r="AO49" i="3"/>
  <c r="AP49" i="3" s="1"/>
  <c r="X49" i="3" s="1"/>
  <c r="N30" i="5"/>
  <c r="O30" i="5" s="1"/>
  <c r="AO23" i="3"/>
  <c r="AP23" i="3" s="1"/>
  <c r="X23" i="3" s="1"/>
  <c r="AO22" i="3"/>
  <c r="AP22" i="3" s="1"/>
  <c r="X22" i="3" s="1"/>
  <c r="AO25" i="3"/>
  <c r="AP25" i="3" s="1"/>
  <c r="X25" i="3" s="1"/>
  <c r="AO24" i="3"/>
  <c r="AP24" i="3" s="1"/>
  <c r="X24" i="3" s="1"/>
  <c r="AO26" i="3"/>
  <c r="AP26" i="3" s="1"/>
  <c r="X26" i="3" s="1"/>
  <c r="AB6" i="4"/>
  <c r="AO21" i="3"/>
  <c r="AP21" i="3" s="1"/>
  <c r="X21" i="3" s="1"/>
  <c r="AB60" i="4"/>
  <c r="AO181" i="3"/>
  <c r="AP181" i="3" s="1"/>
  <c r="X181" i="3" s="1"/>
  <c r="AO29" i="3"/>
  <c r="AP29" i="3" s="1"/>
  <c r="X29" i="3" s="1"/>
  <c r="AB7" i="4"/>
  <c r="AO31" i="3"/>
  <c r="AP31" i="3" s="1"/>
  <c r="X31" i="3" s="1"/>
  <c r="AO32" i="3"/>
  <c r="AP32" i="3" s="1"/>
  <c r="X32" i="3" s="1"/>
  <c r="AO30" i="3"/>
  <c r="AP30" i="3" s="1"/>
  <c r="X30" i="3" s="1"/>
  <c r="AO33" i="3"/>
  <c r="AP33" i="3" s="1"/>
  <c r="X33" i="3" s="1"/>
  <c r="AO28" i="3"/>
  <c r="AP28" i="3" s="1"/>
  <c r="X28" i="3" s="1"/>
  <c r="J35" i="5"/>
  <c r="K35" i="5"/>
  <c r="I35" i="5"/>
  <c r="T35" i="5"/>
  <c r="U35" i="5" s="1"/>
  <c r="V35" i="5" s="1"/>
  <c r="M35" i="5"/>
  <c r="H35" i="5"/>
  <c r="G35" i="5"/>
  <c r="L35" i="5"/>
  <c r="AB54" i="4"/>
  <c r="AO169" i="3"/>
  <c r="AP169" i="3" s="1"/>
  <c r="X169" i="3" s="1"/>
  <c r="AO138" i="3"/>
  <c r="AP138" i="3" s="1"/>
  <c r="X138" i="3" s="1"/>
  <c r="AO141" i="3"/>
  <c r="AP141" i="3" s="1"/>
  <c r="X141" i="3" s="1"/>
  <c r="AO139" i="3"/>
  <c r="AP139" i="3" s="1"/>
  <c r="X139" i="3" s="1"/>
  <c r="AO140" i="3"/>
  <c r="AP140" i="3" s="1"/>
  <c r="X140" i="3" s="1"/>
  <c r="AB41" i="4"/>
  <c r="AO98" i="3"/>
  <c r="AP98" i="3" s="1"/>
  <c r="X98" i="3" s="1"/>
  <c r="AB24" i="4"/>
  <c r="AB33" i="4"/>
  <c r="AO116" i="3"/>
  <c r="AP116" i="3" s="1"/>
  <c r="X116" i="3" s="1"/>
  <c r="AO265" i="3"/>
  <c r="AP265" i="3" s="1"/>
  <c r="X265" i="3" s="1"/>
  <c r="AB85" i="4"/>
  <c r="AB68" i="4"/>
  <c r="AO197" i="3"/>
  <c r="AP197" i="3" s="1"/>
  <c r="X197" i="3" s="1"/>
  <c r="K7" i="5"/>
  <c r="J7" i="5"/>
  <c r="I7" i="5"/>
  <c r="L7" i="5"/>
  <c r="G7" i="5"/>
  <c r="H7" i="5"/>
  <c r="T7" i="5"/>
  <c r="U7" i="5" s="1"/>
  <c r="V7" i="5" s="1"/>
  <c r="M7" i="5"/>
  <c r="AO81" i="3"/>
  <c r="AP81" i="3" s="1"/>
  <c r="X81" i="3" s="1"/>
  <c r="AB16" i="4"/>
  <c r="AO82" i="3"/>
  <c r="AP82" i="3" s="1"/>
  <c r="X82" i="3" s="1"/>
  <c r="AO212" i="3"/>
  <c r="AP212" i="3" s="1"/>
  <c r="X212" i="3" s="1"/>
  <c r="AO216" i="3"/>
  <c r="AP216" i="3" s="1"/>
  <c r="X216" i="3" s="1"/>
  <c r="AO215" i="3"/>
  <c r="AP215" i="3" s="1"/>
  <c r="X215" i="3" s="1"/>
  <c r="AB75" i="4"/>
  <c r="AO214" i="3"/>
  <c r="AP214" i="3" s="1"/>
  <c r="X214" i="3" s="1"/>
  <c r="AO213" i="3"/>
  <c r="AP213" i="3" s="1"/>
  <c r="X213" i="3" s="1"/>
  <c r="N32" i="5" l="1"/>
  <c r="O32" i="5" s="1"/>
  <c r="N47" i="5"/>
  <c r="O47" i="5" s="1"/>
  <c r="N20" i="5"/>
  <c r="O20" i="5" s="1"/>
  <c r="Y76" i="4"/>
  <c r="Y77" i="4" s="1"/>
  <c r="N35" i="5"/>
  <c r="O35" i="5" s="1"/>
  <c r="Z35" i="4"/>
  <c r="Z34" i="4" s="1"/>
  <c r="N27" i="5"/>
  <c r="O27" i="5" s="1"/>
  <c r="N33" i="5"/>
  <c r="O33" i="5" s="1"/>
  <c r="N37" i="5"/>
  <c r="O37" i="5" s="1"/>
  <c r="N6" i="5"/>
  <c r="O6" i="5" s="1"/>
  <c r="N22" i="5"/>
  <c r="O22" i="5" s="1"/>
  <c r="N14" i="5"/>
  <c r="O14" i="5" s="1"/>
  <c r="N46" i="5"/>
  <c r="O46" i="5" s="1"/>
  <c r="N50" i="5"/>
  <c r="O50" i="5" s="1"/>
  <c r="N9" i="5"/>
  <c r="O9" i="5" s="1"/>
  <c r="N54" i="5"/>
  <c r="O54" i="5" s="1"/>
  <c r="N40" i="5"/>
  <c r="O40" i="5" s="1"/>
  <c r="N39" i="5"/>
  <c r="O39" i="5" s="1"/>
  <c r="N34" i="5"/>
  <c r="O34" i="5" s="1"/>
  <c r="N23" i="5"/>
  <c r="O23" i="5" s="1"/>
  <c r="N17" i="5"/>
  <c r="O17" i="5" s="1"/>
  <c r="N24" i="5"/>
  <c r="O24" i="5" s="1"/>
  <c r="N38" i="5"/>
  <c r="O38" i="5" s="1"/>
  <c r="N7" i="5"/>
  <c r="O7" i="5" s="1"/>
  <c r="N16" i="5"/>
  <c r="O16" i="5" s="1"/>
  <c r="N13" i="5"/>
  <c r="O1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400-000001000000}">
      <text>
        <r>
          <rPr>
            <sz val="10"/>
            <color rgb="FF000000"/>
            <rFont val="Arial"/>
            <family val="2"/>
          </rPr>
          <t xml:space="preserve">Sven De Knibber:
</t>
        </r>
        <r>
          <rPr>
            <sz val="9"/>
            <color rgb="FF000000"/>
            <rFont val="Tahoma"/>
            <family val="2"/>
            <charset val="1"/>
          </rPr>
          <t>Absolute address</t>
        </r>
      </text>
    </comment>
    <comment ref="B3" authorId="0" shapeId="0" xr:uid="{00000000-0006-0000-0400-000002000000}">
      <text>
        <r>
          <rPr>
            <sz val="10"/>
            <color rgb="FF000000"/>
            <rFont val="Arial"/>
            <family val="2"/>
          </rPr>
          <t xml:space="preserve">Sven De Knibber:
</t>
        </r>
        <r>
          <rPr>
            <sz val="9"/>
            <color rgb="FF000000"/>
            <rFont val="Tahoma"/>
            <family val="2"/>
            <charset val="1"/>
          </rPr>
          <t>Relative address used in software</t>
        </r>
      </text>
    </comment>
    <comment ref="C3" authorId="0" shapeId="0" xr:uid="{00000000-0006-0000-0400-000003000000}">
      <text>
        <r>
          <rPr>
            <sz val="10"/>
            <color rgb="FF000000"/>
            <rFont val="Arial"/>
            <family val="2"/>
          </rPr>
          <t xml:space="preserve">Sven De Knibber:
</t>
        </r>
        <r>
          <rPr>
            <sz val="9"/>
            <color rgb="FF000000"/>
            <rFont val="Tahoma"/>
            <family val="2"/>
            <charset val="1"/>
          </rPr>
          <t>Relative address in eeprom (as seen in SimVision)</t>
        </r>
      </text>
    </comment>
    <comment ref="F3" authorId="0" shapeId="0" xr:uid="{00000000-0006-0000-0400-000004000000}">
      <text>
        <r>
          <rPr>
            <sz val="10"/>
            <color rgb="FF000000"/>
            <rFont val="Arial"/>
            <family val="2"/>
          </rPr>
          <t xml:space="preserve">Sven De Knibber:
</t>
        </r>
        <r>
          <rPr>
            <sz val="9"/>
            <color rgb="FF000000"/>
            <rFont val="Tahoma"/>
            <family val="2"/>
            <charset val="1"/>
          </rPr>
          <t>In case you want to decode a hex-content into the different parameters, then paste here the hex-content.
The settings of the different parameters can be found in column 'Decoded hex content' of sheet 'NVRAM map'.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fve</author>
    <author>tnu</author>
  </authors>
  <commentList>
    <comment ref="O1" authorId="0" shapeId="0" xr:uid="{00000000-0006-0000-0100-000001000000}">
      <text>
        <r>
          <rPr>
            <sz val="10"/>
            <color rgb="FF000000"/>
            <rFont val="Arial"/>
            <family val="2"/>
          </rPr>
          <t xml:space="preserve">Sven De Knibber:
</t>
        </r>
        <r>
          <rPr>
            <sz val="9"/>
            <color rgb="FF000000"/>
            <rFont val="Tahoma"/>
            <family val="2"/>
            <charset val="1"/>
          </rPr>
          <t>Several contents can be defined here. Add more columns when needed.</t>
        </r>
      </text>
    </comment>
    <comment ref="X1" authorId="0" shapeId="0" xr:uid="{00000000-0006-0000-0100-000002000000}">
      <text>
        <r>
          <rPr>
            <sz val="10"/>
            <color rgb="FF000000"/>
            <rFont val="Arial"/>
            <family val="2"/>
          </rPr>
          <t xml:space="preserve">Sven De Knibber:
</t>
        </r>
        <r>
          <rPr>
            <sz val="9"/>
            <color rgb="FF000000"/>
            <rFont val="Tahoma"/>
            <family val="2"/>
            <charset val="1"/>
          </rPr>
          <t>When you want to decode a hex content, then this hex content can be copied into 'MemoryView' sheet and the value per parameter can be seen in this column.</t>
        </r>
      </text>
    </comment>
    <comment ref="S2" authorId="1" shapeId="0" xr:uid="{D8069D5D-7297-417E-8BDD-194D187DB8F7}">
      <text>
        <r>
          <rPr>
            <b/>
            <sz val="9"/>
            <color indexed="81"/>
            <rFont val="Tahoma"/>
            <family val="2"/>
          </rPr>
          <t>fve:</t>
        </r>
        <r>
          <rPr>
            <sz val="9"/>
            <color indexed="81"/>
            <rFont val="Tahoma"/>
            <family val="2"/>
          </rPr>
          <t xml:space="preserve">
Default EEPROM map for PTAT compensated pressure + tungsten (rdiff) measurement for TDEV</t>
        </r>
      </text>
    </comment>
    <comment ref="U2" authorId="1" shapeId="0" xr:uid="{F5F3EBB1-4FC8-4B4E-AA20-81B7E4866142}">
      <text>
        <r>
          <rPr>
            <b/>
            <sz val="9"/>
            <color indexed="81"/>
            <rFont val="Tahoma"/>
            <family val="2"/>
          </rPr>
          <t>fve:</t>
        </r>
        <r>
          <rPr>
            <sz val="9"/>
            <color indexed="81"/>
            <rFont val="Tahoma"/>
            <family val="2"/>
          </rPr>
          <t xml:space="preserve">
content where tunsten measurement is used for temperature compensation (TDEV and P) and the diffusion resistor is used as a reference and flattened with a patch</t>
        </r>
      </text>
    </comment>
    <comment ref="V2" authorId="1" shapeId="0" xr:uid="{B3EDD91B-D437-4B7C-9B41-79A2715B2808}">
      <text>
        <r>
          <rPr>
            <b/>
            <sz val="9"/>
            <color indexed="81"/>
            <rFont val="Tahoma"/>
            <family val="2"/>
          </rPr>
          <t>fve:</t>
        </r>
        <r>
          <rPr>
            <sz val="9"/>
            <color indexed="81"/>
            <rFont val="Tahoma"/>
            <family val="2"/>
          </rPr>
          <t xml:space="preserve">
content for the part of the AAK samples that will use PTAT for pressure compensation AND device temperature</t>
        </r>
      </text>
    </comment>
    <comment ref="S193" authorId="1" shapeId="0" xr:uid="{07E18F26-3915-4C9B-A6A9-D2B3174579F2}">
      <text>
        <r>
          <rPr>
            <b/>
            <sz val="9"/>
            <color indexed="81"/>
            <rFont val="Tahoma"/>
            <family val="2"/>
          </rPr>
          <t>fve:</t>
        </r>
        <r>
          <rPr>
            <sz val="9"/>
            <color indexed="81"/>
            <rFont val="Tahoma"/>
            <family val="2"/>
          </rPr>
          <t xml:space="preserve">
90332 output curve</t>
        </r>
      </text>
    </comment>
    <comment ref="T193" authorId="1" shapeId="0" xr:uid="{6E79358B-DB40-4568-9B9B-37E24F814C61}">
      <text>
        <r>
          <rPr>
            <b/>
            <sz val="9"/>
            <color indexed="81"/>
            <rFont val="Tahoma"/>
            <family val="2"/>
          </rPr>
          <t>fve:</t>
        </r>
        <r>
          <rPr>
            <sz val="9"/>
            <color indexed="81"/>
            <rFont val="Tahoma"/>
            <family val="2"/>
          </rPr>
          <t xml:space="preserve">
90332 output curve</t>
        </r>
      </text>
    </comment>
    <comment ref="S195" authorId="1" shapeId="0" xr:uid="{857BA735-4DBC-45C7-B50D-8940E6DF55AE}">
      <text>
        <r>
          <rPr>
            <b/>
            <sz val="9"/>
            <color indexed="81"/>
            <rFont val="Tahoma"/>
            <family val="2"/>
          </rPr>
          <t>fve:</t>
        </r>
        <r>
          <rPr>
            <sz val="9"/>
            <color indexed="81"/>
            <rFont val="Tahoma"/>
            <family val="2"/>
          </rPr>
          <t xml:space="preserve">
90332 output curve</t>
        </r>
      </text>
    </comment>
    <comment ref="T195" authorId="1" shapeId="0" xr:uid="{EE917DD1-4959-4D41-9CCF-DC14CAED7C05}">
      <text>
        <r>
          <rPr>
            <b/>
            <sz val="9"/>
            <color indexed="81"/>
            <rFont val="Tahoma"/>
            <family val="2"/>
          </rPr>
          <t>fve:</t>
        </r>
        <r>
          <rPr>
            <sz val="9"/>
            <color indexed="81"/>
            <rFont val="Tahoma"/>
            <family val="2"/>
          </rPr>
          <t xml:space="preserve">
90332 output curve</t>
        </r>
      </text>
    </comment>
    <comment ref="S197" authorId="1" shapeId="0" xr:uid="{C9DDB80B-388C-42CE-90F4-B05D28D58753}">
      <text>
        <r>
          <rPr>
            <b/>
            <sz val="9"/>
            <color indexed="81"/>
            <rFont val="Tahoma"/>
            <family val="2"/>
          </rPr>
          <t>fve:</t>
        </r>
        <r>
          <rPr>
            <sz val="9"/>
            <color indexed="81"/>
            <rFont val="Tahoma"/>
            <family val="2"/>
          </rPr>
          <t xml:space="preserve">
90332 output curve</t>
        </r>
      </text>
    </comment>
    <comment ref="T197" authorId="1" shapeId="0" xr:uid="{AE0EB42A-8CA1-4A5A-BAEC-74DFF223FF33}">
      <text>
        <r>
          <rPr>
            <b/>
            <sz val="9"/>
            <color indexed="81"/>
            <rFont val="Tahoma"/>
            <family val="2"/>
          </rPr>
          <t>fve:</t>
        </r>
        <r>
          <rPr>
            <sz val="9"/>
            <color indexed="81"/>
            <rFont val="Tahoma"/>
            <family val="2"/>
          </rPr>
          <t xml:space="preserve">
90332 output curve</t>
        </r>
      </text>
    </comment>
    <comment ref="S199" authorId="1" shapeId="0" xr:uid="{353CBC25-6E42-4209-BE99-2E48F09314F9}">
      <text>
        <r>
          <rPr>
            <b/>
            <sz val="9"/>
            <color indexed="81"/>
            <rFont val="Tahoma"/>
            <family val="2"/>
          </rPr>
          <t>fve:</t>
        </r>
        <r>
          <rPr>
            <sz val="9"/>
            <color indexed="81"/>
            <rFont val="Tahoma"/>
            <family val="2"/>
          </rPr>
          <t xml:space="preserve">
90332 output curve</t>
        </r>
      </text>
    </comment>
    <comment ref="T199" authorId="1" shapeId="0" xr:uid="{0E0CE7EB-7F07-4F88-B1DE-AB5AA97DD1B8}">
      <text>
        <r>
          <rPr>
            <b/>
            <sz val="9"/>
            <color indexed="81"/>
            <rFont val="Tahoma"/>
            <family val="2"/>
          </rPr>
          <t>fve:</t>
        </r>
        <r>
          <rPr>
            <sz val="9"/>
            <color indexed="81"/>
            <rFont val="Tahoma"/>
            <family val="2"/>
          </rPr>
          <t xml:space="preserve">
90332 output curve</t>
        </r>
      </text>
    </comment>
    <comment ref="S201" authorId="2" shapeId="0" xr:uid="{4BE08B43-9CAF-4135-BC4B-3E813709F453}">
      <text>
        <r>
          <rPr>
            <b/>
            <sz val="9"/>
            <color indexed="81"/>
            <rFont val="Tahoma"/>
            <family val="2"/>
          </rPr>
          <t>tnu:</t>
        </r>
        <r>
          <rPr>
            <sz val="9"/>
            <color indexed="81"/>
            <rFont val="Tahoma"/>
            <family val="2"/>
          </rPr>
          <t xml:space="preserve">
10k TDK NTC
</t>
        </r>
      </text>
    </comment>
    <comment ref="T201" authorId="2" shapeId="0" xr:uid="{C6448AFA-015A-40FB-8FA6-73A0F4C42818}">
      <text>
        <r>
          <rPr>
            <b/>
            <sz val="9"/>
            <color indexed="81"/>
            <rFont val="Tahoma"/>
            <family val="2"/>
          </rPr>
          <t>tnu:</t>
        </r>
        <r>
          <rPr>
            <sz val="9"/>
            <color indexed="81"/>
            <rFont val="Tahoma"/>
            <family val="2"/>
          </rPr>
          <t xml:space="preserve">
10k TDK NTC
</t>
        </r>
      </text>
    </comment>
    <comment ref="S203" authorId="2" shapeId="0" xr:uid="{C0216D7D-7495-4B27-A4A6-FD83B94B1D40}">
      <text>
        <r>
          <rPr>
            <b/>
            <sz val="9"/>
            <color indexed="81"/>
            <rFont val="Tahoma"/>
            <family val="2"/>
          </rPr>
          <t>tnu:</t>
        </r>
        <r>
          <rPr>
            <sz val="9"/>
            <color indexed="81"/>
            <rFont val="Tahoma"/>
            <family val="2"/>
          </rPr>
          <t xml:space="preserve">
10k TDK NTC</t>
        </r>
      </text>
    </comment>
    <comment ref="T203" authorId="2" shapeId="0" xr:uid="{DC01C012-70DD-47D1-BB17-261F06379106}">
      <text>
        <r>
          <rPr>
            <b/>
            <sz val="9"/>
            <color indexed="81"/>
            <rFont val="Tahoma"/>
            <family val="2"/>
          </rPr>
          <t>tnu:</t>
        </r>
        <r>
          <rPr>
            <sz val="9"/>
            <color indexed="81"/>
            <rFont val="Tahoma"/>
            <family val="2"/>
          </rPr>
          <t xml:space="preserve">
10k TDK NTC</t>
        </r>
      </text>
    </comment>
    <comment ref="S205" authorId="2" shapeId="0" xr:uid="{FD8D5978-B36D-44C8-A8DC-9AC29B1B11E5}">
      <text>
        <r>
          <rPr>
            <b/>
            <sz val="9"/>
            <color indexed="81"/>
            <rFont val="Tahoma"/>
            <family val="2"/>
          </rPr>
          <t>tnu:</t>
        </r>
        <r>
          <rPr>
            <sz val="9"/>
            <color indexed="81"/>
            <rFont val="Tahoma"/>
            <family val="2"/>
          </rPr>
          <t xml:space="preserve">
10k TDK NTC</t>
        </r>
      </text>
    </comment>
    <comment ref="T205" authorId="2" shapeId="0" xr:uid="{51D52325-FA4C-42FE-8EBC-E73DD72BC2A2}">
      <text>
        <r>
          <rPr>
            <b/>
            <sz val="9"/>
            <color indexed="81"/>
            <rFont val="Tahoma"/>
            <family val="2"/>
          </rPr>
          <t>tnu:</t>
        </r>
        <r>
          <rPr>
            <sz val="9"/>
            <color indexed="81"/>
            <rFont val="Tahoma"/>
            <family val="2"/>
          </rPr>
          <t xml:space="preserve">
10k TDK NTC</t>
        </r>
      </text>
    </comment>
  </commentList>
</comments>
</file>

<file path=xl/sharedStrings.xml><?xml version="1.0" encoding="utf-8"?>
<sst xmlns="http://schemas.openxmlformats.org/spreadsheetml/2006/main" count="2318" uniqueCount="768">
  <si>
    <t>Sheet</t>
  </si>
  <si>
    <t>Description</t>
  </si>
  <si>
    <t>NVRAM map</t>
  </si>
  <si>
    <t>EEPROM map / content creation</t>
  </si>
  <si>
    <t>MemoryView</t>
  </si>
  <si>
    <t>Table view for EEPROM. Automatic generation from sheet 'NVRAM map'.  Not intended for data entry (except for EEPROM content decoding - see column F)!</t>
  </si>
  <si>
    <t>FPC</t>
  </si>
  <si>
    <t>FPC file for the selected EEPROM content. Automatic generation from sheet 'NVRAM map'.  Not intended for data entry!</t>
  </si>
  <si>
    <t>Data name</t>
  </si>
  <si>
    <t>Contents</t>
  </si>
  <si>
    <t>Project location on home drive:</t>
  </si>
  <si>
    <t>EEPROM write location:</t>
  </si>
  <si>
    <t>Automatic data write out</t>
  </si>
  <si>
    <t>File location (doubleclick to export)</t>
  </si>
  <si>
    <t>Select EEPROM content to export:</t>
  </si>
  <si>
    <t>Sheet 'NVRAM map'</t>
  </si>
  <si>
    <t>Double-click here to export the selected memory content to Verilog:</t>
  </si>
  <si>
    <t>Double-click here to export the memory map to Verilog:</t>
  </si>
  <si>
    <t>Double-click here to export the memory defines to Verilog:</t>
  </si>
  <si>
    <t xml:space="preserve"> </t>
  </si>
  <si>
    <t>#</t>
  </si>
  <si>
    <t>No BitFieldNames are used twice:</t>
  </si>
  <si>
    <t>No addresses are used twice:</t>
  </si>
  <si>
    <t>No overlapping parameters:</t>
  </si>
  <si>
    <t>Possible contents to export:</t>
  </si>
  <si>
    <t>Decoded</t>
  </si>
  <si>
    <t>Based on given hex content (help column to go from hex to parameter values)</t>
  </si>
  <si>
    <t>// #(address, offset, Nbits, IsSigned)</t>
  </si>
  <si>
    <t>|</t>
  </si>
  <si>
    <t>Group</t>
  </si>
  <si>
    <t>Name</t>
  </si>
  <si>
    <t>BitFieldName</t>
  </si>
  <si>
    <t>Addr</t>
  </si>
  <si>
    <t>Nbits</t>
  </si>
  <si>
    <t>BitOfs</t>
  </si>
  <si>
    <t>Signed</t>
  </si>
  <si>
    <t>Type</t>
  </si>
  <si>
    <t>Range</t>
  </si>
  <si>
    <t>Min</t>
  </si>
  <si>
    <t>Max</t>
  </si>
  <si>
    <t>Overview</t>
  </si>
  <si>
    <t>---</t>
  </si>
  <si>
    <t>hex content</t>
  </si>
  <si>
    <t>Checks if no BitFieldNames are used twice</t>
  </si>
  <si>
    <t>Helper1</t>
  </si>
  <si>
    <t>Helper2</t>
  </si>
  <si>
    <t>Helper3</t>
  </si>
  <si>
    <t>NrBits</t>
  </si>
  <si>
    <t>Stop</t>
  </si>
  <si>
    <t>Start</t>
  </si>
  <si>
    <t>Max value</t>
  </si>
  <si>
    <t>Helper4</t>
  </si>
  <si>
    <t>Based on content</t>
  </si>
  <si>
    <t>Helper5</t>
  </si>
  <si>
    <t>Helper6</t>
  </si>
  <si>
    <t>Memory content:</t>
  </si>
  <si>
    <t>Memory mapping:</t>
  </si>
  <si>
    <t>For FPC generation:</t>
  </si>
  <si>
    <t>-</t>
  </si>
  <si>
    <t>= Start of EEPROM CONFIGURATION SECTOR</t>
  </si>
  <si>
    <t>BeginExportMemoryContent</t>
  </si>
  <si>
    <t>BeginExportMemoryMap</t>
  </si>
  <si>
    <t>0x1000</t>
  </si>
  <si>
    <t>ID</t>
  </si>
  <si>
    <t>CUST</t>
  </si>
  <si>
    <t>CRC</t>
  </si>
  <si>
    <t>General Control Bits</t>
  </si>
  <si>
    <t>EE_LOCK</t>
  </si>
  <si>
    <t>FIXED</t>
  </si>
  <si>
    <t>Selection of the temperature sensor that has to be used for the temperature compensation of the pressure signal:
- 0: internal die temperature sensor is used (based on VBE/VPTAT)
- 1: external MEMS temperature sensor is used (based on STEMP)</t>
  </si>
  <si>
    <t>PAVG_GAIN_SEL</t>
  </si>
  <si>
    <t>NTC_LOW_POWER_MODE</t>
  </si>
  <si>
    <t>Disable NTC buffer when not used (as defined by MADC SDATA table)</t>
  </si>
  <si>
    <t>FIX_NTC_RES</t>
  </si>
  <si>
    <t>Fix NTC in high resistance range (state)</t>
  </si>
  <si>
    <t>Calibration settings (mainly for pressure ADC)</t>
  </si>
  <si>
    <t>TRIMMED</t>
  </si>
  <si>
    <t>EE_P0</t>
  </si>
  <si>
    <t>Offset removal for pressure averaging</t>
  </si>
  <si>
    <t>Pressure ADC offset value for P_avg4 and P_mva16:
P_avg4 = [P_adc(k) + P_adc(k-1) + P_adc(k-2) + Padc(k-3) - 4*P0] / N
P_mva16 = [P_adc(k) + P_adc(k-1) + .. + Padc(k-15) - 16*P0] / N
Where:
P_adc(k), P_adc(k-1), ..., P_adc(k-15) = the last P_adc results (signed values)
N defined by PAVG_GAIN_SEL
P0 is pressure ADC offset (EEPROM parameter)</t>
  </si>
  <si>
    <t>EE_A0</t>
  </si>
  <si>
    <t>Temperature Compensation of Pressure Signal</t>
  </si>
  <si>
    <t>Temperature Compensation coefficient of Pressure Signal</t>
  </si>
  <si>
    <t>EE_A1</t>
  </si>
  <si>
    <t>EE_A2</t>
  </si>
  <si>
    <t>EE_A3</t>
  </si>
  <si>
    <t>EE_B0</t>
  </si>
  <si>
    <t>EE_B1</t>
  </si>
  <si>
    <t>EE_B2</t>
  </si>
  <si>
    <t>EE_B3</t>
  </si>
  <si>
    <t>EE_C0</t>
  </si>
  <si>
    <t>EE_C1</t>
  </si>
  <si>
    <t>EE_TINT_T0</t>
  </si>
  <si>
    <t>Internal temperature T0 parameter</t>
  </si>
  <si>
    <t>Reference temperature which is subtracted from division of PTAT and VirtualRef to get TMP_INT0.</t>
  </si>
  <si>
    <t>EE_TMEMS_T0</t>
  </si>
  <si>
    <t>Reference temperature at first calibration temperature for the MEMS temperature sensor.</t>
  </si>
  <si>
    <t>EE_TMEMS_D0</t>
  </si>
  <si>
    <t>Linearization of MEMS Temperature Signal</t>
  </si>
  <si>
    <t>Linearization coefficient for MEMS Temperature output</t>
  </si>
  <si>
    <t>EE_TMEMS_D1</t>
  </si>
  <si>
    <t>EE_TMEMS_D2</t>
  </si>
  <si>
    <t>EE_TMEMS_D3</t>
  </si>
  <si>
    <t>Limits for selftest pressure signal with 0 input</t>
  </si>
  <si>
    <t>PSFT0_THRESHOLD_RESERVED</t>
  </si>
  <si>
    <t>Psft0_threshold (unsigned) = PSFT0_THRESHOLD * 16 = [(0), 16, 32, .. 2032 (=127*16)]
PSFT0_THRESHOLD = 0 means that the check is disabled (disables also the check (Psft1+Psft2)/2).
LSL = base - threshold
USL = base + threshold
With base = 0
Next to Psft0, (Psft1+Psft2)/2 is checked the same thresholds</t>
  </si>
  <si>
    <t>EE_PSFT1_BASE</t>
  </si>
  <si>
    <t>Limits for selftest pressure signal with non 0 input</t>
  </si>
  <si>
    <t>Psft1_base = PSFT1_BASE * 16 = [0, 16, 32, .., 32752 (=2047*16)]
PSFT1_THRESHOLD = 0 means that the check is disabled
Psft1 and abs(Psft2) should be between:
LSL = Psft1_base + Psft1_slope * TMP_INT / 2^10 - threshold
USL = Psft1_base + Psft1_slope * TMP_INT / 2^10 + threshold
slope * TMP_INT should be sufficient to cover up to approximately +/-10 LSB/degC (while in practice we will need typ -2 or -3 LSB/degC).
TMP_INT changes roughly 100 LSB/degC (TMP_INT = internalTemperatureDsp.tInt = internal temperature).
Remark: There is also a separate (more accurate) check for (Psft1+Psft2)/2 --&gt; see also Psft0</t>
  </si>
  <si>
    <t>EE_PSFT1_LIMITS</t>
  </si>
  <si>
    <t>PSFT1_SLOPE</t>
  </si>
  <si>
    <t>Psft1_slope = PSFT1_SLOPE = [-128, -127, .. , 127]
PSFT1_THRESHOLD = 0 means that the check is disabled
Psft1 and abs(Psft2) should be between:
LSL = Psft1_base + Psft1_slope * TMP_INT / 2^10 - threshold
USL = Psft1_base + Psft1_slope * TMP_INT / 2^10 + threshold
slope * TMP_INT should be sufficient to cover up to approximately +/-10 LSB/degC (while in practice we will need typ -2 or -3 LSB/degC).
TMP_INT changes roughly 100 LSB/degC (TMP_INT = internalTemperatureDsp.tInt = internal temperature).
Remark: There is also a separate (more accurate) check for (Psft1+Psft2)/2 --&gt; see also Psft0</t>
  </si>
  <si>
    <t>PSFT1_LIMITS_RESERVED</t>
  </si>
  <si>
    <t>PSFT1_THRESHOLD</t>
  </si>
  <si>
    <t>Psft1_threshold = PSFT1_THRESHOLD * 16 = [(0), 16, 32, .., 2032 (=127*16)]
PSFT1_THRESHOLD = 0 means that the check is disabled
Psft1 and abs(Psft2) should be between:
LSL = Psft1_base + Psft1_slope * TMP_INT / 2^10 - threshold
USL = Psft1_base + Psft1_slope * TMP_INT / 2^10 + threshold
slope * TMP_INT should be sufficient to cover up to approximately +/-10 LSB/degC (while in practice we will need typ -2 or -3 LSB/degC).
TMP_INT changes roughly 100 LSB/degC (TMP_INT = internalTemperatureDsp.tInt = internal temperature).
Remark: There is also a separate (more accurate) check for (Psft1+Psft2)/2 --&gt; see also Psft0</t>
  </si>
  <si>
    <t>Global error mask</t>
  </si>
  <si>
    <t>EE_PATCH0_I</t>
  </si>
  <si>
    <t>Patch 0 instruction</t>
  </si>
  <si>
    <t>EE_PATCH0_A</t>
  </si>
  <si>
    <t>Patch 0 address</t>
  </si>
  <si>
    <t>EE_PATCH1_I</t>
  </si>
  <si>
    <t>Patch 1 instruction</t>
  </si>
  <si>
    <t>EE_PATCH1_A</t>
  </si>
  <si>
    <t>Patch 1 address</t>
  </si>
  <si>
    <t>EE_PATCH_AREA0</t>
  </si>
  <si>
    <t>Patch code</t>
  </si>
  <si>
    <t>EE_PATCH_AREA1</t>
  </si>
  <si>
    <t>EE_PATCH_AREA2</t>
  </si>
  <si>
    <t>EE_PATCH_AREA3</t>
  </si>
  <si>
    <t>EE_PATCH_AREA4</t>
  </si>
  <si>
    <t>EE_PATCH_AREA5</t>
  </si>
  <si>
    <t>EE_PATCH_AREA6</t>
  </si>
  <si>
    <t>EE_N0</t>
  </si>
  <si>
    <t>NTC output transfer curve</t>
  </si>
  <si>
    <t>Scaling and linearization coefficient for NTC temperature output</t>
  </si>
  <si>
    <t>EE_N1</t>
  </si>
  <si>
    <t>EE_N2</t>
  </si>
  <si>
    <t>EE_N3</t>
  </si>
  <si>
    <t>EE_SHA</t>
  </si>
  <si>
    <t>Digital representation of the a coefficient in the Stainhart – Hart NTC formula</t>
  </si>
  <si>
    <t>Sheinhart-Hart coefficient for NTC resistance to temperature conversion</t>
  </si>
  <si>
    <t>EE_SHB</t>
  </si>
  <si>
    <t>EE_SHC</t>
  </si>
  <si>
    <t>EE_NTC_CAL0</t>
  </si>
  <si>
    <t>NTC temperature calibration settings</t>
  </si>
  <si>
    <t>NTC_THRD_LR</t>
  </si>
  <si>
    <t>NTC_THRD_HR</t>
  </si>
  <si>
    <t>MLX</t>
  </si>
  <si>
    <t>EE_MLX_CHECKSUM</t>
  </si>
  <si>
    <t>16 bits of checksum for Melexis EEPROM area</t>
  </si>
  <si>
    <t>EE_TRIM0</t>
  </si>
  <si>
    <t>Trimming configurations</t>
  </si>
  <si>
    <t>TRIM_VDDA</t>
  </si>
  <si>
    <t>TRIM_VDDD</t>
  </si>
  <si>
    <t>Digital regulator trimming</t>
  </si>
  <si>
    <t>EE_TRIM1</t>
  </si>
  <si>
    <t>TRIM_OSC_CPU</t>
  </si>
  <si>
    <t>EE_TRIM2</t>
  </si>
  <si>
    <t>TRIM_OSC_ADC</t>
  </si>
  <si>
    <t>TRIM_IBIAS</t>
  </si>
  <si>
    <t>Trimming of bias current in BGAP_ADC</t>
  </si>
  <si>
    <t>Analog regulator trimming</t>
  </si>
  <si>
    <t>PADC configuration</t>
  </si>
  <si>
    <t>PADC_RTZ</t>
  </si>
  <si>
    <t>Selects the return to zero mode for the PADC:
- 0x: NRZ mode, using 100% gain
- 10: RTZ mode, using 50% gain
- 11: RTZ mode, using 99.5% gain</t>
  </si>
  <si>
    <t>PADC_INVERT_MODE</t>
  </si>
  <si>
    <t>Choosing where to do system-level chopping:
- 0: invert output bit stream
- 1: invert the bridge output signal</t>
  </si>
  <si>
    <t>PADC_INT1_CURR</t>
  </si>
  <si>
    <t>Selects current in 2nd stage of 1st integrator</t>
  </si>
  <si>
    <t>PADC_SEL_CHOP_INT_SYS</t>
  </si>
  <si>
    <t>Select the system (or external) chop clock for the PADC integrator</t>
  </si>
  <si>
    <t>PADC_SEL_COMP_CLK</t>
  </si>
  <si>
    <t>Defines the clock signal that is used to sample the output of the 2nd integrator at the comparator.
- 0: uses one of the non-overlapping clocks (same as 90337BA)
- 1: directly using ADC_CLK main clock</t>
  </si>
  <si>
    <t>PADC_DITHER</t>
  </si>
  <si>
    <t>DITHER[1:0]:
- 00: no dithering
- 01 ... 11: 3 levels of dithering</t>
  </si>
  <si>
    <t>EE_AFE_DIG0</t>
  </si>
  <si>
    <t>PADC_FIX_DEM</t>
  </si>
  <si>
    <t>When this bit is set, the DEM phases for the PADC are fixed to the value given by PADC_DEM_FIXED_VALUE.</t>
  </si>
  <si>
    <t>PADC_DEM_FIXED_VALUE</t>
  </si>
  <si>
    <t>The state of all the DEM phases for the PADC when PADC_FIX_DEM=1.</t>
  </si>
  <si>
    <t>PADC_EN_CLEAR_EOC</t>
  </si>
  <si>
    <t>Enable clear of decimation filter and reinitialization of analog part of PADC during (part of) blind time at EOC.</t>
  </si>
  <si>
    <t>PADC_N_BLIND_EOC</t>
  </si>
  <si>
    <t>Defines the time from falling clear_adc to falling blind_eoc (in number of PADC clock periods).
See also jira MLX90337-502.
At least a value of 1 should be used! Value of 0 does not generate adc_blind and adc_clear signals properly…</t>
  </si>
  <si>
    <t>AFE_DIG0_RESERVED</t>
  </si>
  <si>
    <t>PADC_FORCE_CHOP_INT</t>
  </si>
  <si>
    <t>00 = not forced; 
01 = forced to default value (0); 
10 = forced to 0; 
11 = forced to 1</t>
  </si>
  <si>
    <t>PADC_N_CHOP_INT</t>
  </si>
  <si>
    <t>Defines timing of internal chopping of PADC (first integrator)
Value + 1 is number of PADC clock periods per chopping phase
To be doubled to get chopping period.</t>
  </si>
  <si>
    <t>EE_AFE_DIG1</t>
  </si>
  <si>
    <t>PAND and MADC configurations</t>
  </si>
  <si>
    <t>PADC_N_BIT_SHIFT</t>
  </si>
  <si>
    <t>PADC_FORCE_CHOP_EXT</t>
  </si>
  <si>
    <t>00 = not forced; 
01 = forced to default value (defined by table in ROM); 
10 = forced to 0; 
11 = forced to 1</t>
  </si>
  <si>
    <t>MADC_EN_CLEAR_EOC</t>
  </si>
  <si>
    <t>Enable clear of decimation filter and reinitialization of analog part of MADC during (part of) blind time at EOC.</t>
  </si>
  <si>
    <t>MADC_N_BLIND_EOC</t>
  </si>
  <si>
    <t>Defines the time from falling clear_adc to falling blind_eoc (in number of MADC clock periods).
See also jira MLX90337-502.
At least a value of 1 should be used! Value of 0 does not generate adc_blind and adc_clear signals properly...</t>
  </si>
  <si>
    <t>AFE_DIG1_RESERVED0</t>
  </si>
  <si>
    <t>MADC_FORCE_CHOP_INT</t>
  </si>
  <si>
    <t>MADC_N_CHOP_INT</t>
  </si>
  <si>
    <t>Defines timing of internal chopping of MADC (first integrator)
Value + 1 is number of MADC clock periods per chopping phase
To be double to get chopping period.</t>
  </si>
  <si>
    <t>EE_MM0_HR</t>
  </si>
  <si>
    <t>Mismatch factor between Rpar and Rref temperature compensation coefficients for NTC high resistance state</t>
  </si>
  <si>
    <t>Temperature coefficient for mismatch calculation between high reference resistor and resistor parallel with NTC.</t>
  </si>
  <si>
    <t>EE_MM1_HR</t>
  </si>
  <si>
    <t>EE_MM2_HR</t>
  </si>
  <si>
    <t>EE_MM3_HR</t>
  </si>
  <si>
    <t>EE_MM0_LR</t>
  </si>
  <si>
    <t>Mismatch factor between Rpar and Rref temperature compensation coefficients for NTC low resistance state</t>
  </si>
  <si>
    <t>Temperature coefficient for mismatch calculation between low reference resistor and resistor parallel with NTC.</t>
  </si>
  <si>
    <t>EE_MM1_LR</t>
  </si>
  <si>
    <t>EE_MM2_LR</t>
  </si>
  <si>
    <t>EE_MM3_LR</t>
  </si>
  <si>
    <t>EE_RP0</t>
  </si>
  <si>
    <t>Parallel resistor (in parallel with NTC) temperature compensation coefficients</t>
  </si>
  <si>
    <t>Temperature coefficient for calculation of resistance parallel with NTC.</t>
  </si>
  <si>
    <t>EE_RP1</t>
  </si>
  <si>
    <t>EE_RP2</t>
  </si>
  <si>
    <t>EE_RP3</t>
  </si>
  <si>
    <t>EE_ANA_DIAG0</t>
  </si>
  <si>
    <t>Limits for analog regulator voltage</t>
  </si>
  <si>
    <t>VANA_BASE</t>
  </si>
  <si>
    <t>VANA_base = 8750 + VANA_BASE * 2^4   -&gt; 8750 + [-256, -255, .. 255] * 2^4 =  [4654, 4670, .. 12830]
VANA_threshold = VANA_THRD * 2^4  -&gt;  [0, 1, .. 127] * 2^4 = 0, 16, .. 2032
Threshold = 0 means that the check is disabled
LSL = base - threshold
USL = base + threshold</t>
  </si>
  <si>
    <t>VANA_THRD</t>
  </si>
  <si>
    <t>EE_ANA_DIAG1</t>
  </si>
  <si>
    <t xml:space="preserve">NTC Rref limits </t>
  </si>
  <si>
    <t>RREF_BASE</t>
  </si>
  <si>
    <t>The limits for NTC reference resistor
Rref_base = 2^14 + RREF_BASE * 32 = 2^14 + [-256, .. 255] * 32 = [8192, 8224, .. 24544]
RREF_THRD = 0 means that the check is disabled
LSL = base - threshold
USL = base + threshold</t>
  </si>
  <si>
    <t>RREF_THRD</t>
  </si>
  <si>
    <t>The limits for NTC reference resistor
Rref_threshold = RREF_THRD * 32 = [(0), 1, .. 127] * 32 = [(0), 32, .. 4064]
RREF_THRD = 0 means that the check is disabled
LSL = base - threshold
USL = base + threshold</t>
  </si>
  <si>
    <t>EE_VZERO_THRD</t>
  </si>
  <si>
    <t>MADC zero input voltage diagnostic limits</t>
  </si>
  <si>
    <t>VZERO_base = 0
VZERO_threshold = VZERO_THRD * 2^3  -&gt; [0, 1, .. 255] * 2^3 = 0, 8, .. 2040
Threshold = 0 means that the check is disabled
LSL = base - threshold
USL = base + threshold</t>
  </si>
  <si>
    <t>MLX_PROD</t>
  </si>
  <si>
    <t>EE_TRACEABILITY</t>
  </si>
  <si>
    <t>TRACEABILITY</t>
  </si>
  <si>
    <t>Used for Melexis traceability</t>
  </si>
  <si>
    <t>EE_MLX_ID0</t>
  </si>
  <si>
    <t>Melexis ID</t>
  </si>
  <si>
    <t>YPOS</t>
  </si>
  <si>
    <t>XPOS</t>
  </si>
  <si>
    <t>EE_MLX_ID1</t>
  </si>
  <si>
    <t>LOT_LSB</t>
  </si>
  <si>
    <t>WAFER</t>
  </si>
  <si>
    <t>EE_MLX_ID2</t>
  </si>
  <si>
    <t>CORDAT</t>
  </si>
  <si>
    <t>FAB</t>
  </si>
  <si>
    <t>LOT_MSB</t>
  </si>
  <si>
    <t># END</t>
  </si>
  <si>
    <t>EndExportMemoryContent</t>
  </si>
  <si>
    <t>EndExportMemoryMap</t>
  </si>
  <si>
    <t>Address</t>
  </si>
  <si>
    <t>16 bit Data</t>
  </si>
  <si>
    <t>Bit</t>
  </si>
  <si>
    <t>Zone</t>
  </si>
  <si>
    <t>Checks if no addresses are used twice</t>
  </si>
  <si>
    <t>Checks if no parameters are overlapping each other</t>
  </si>
  <si>
    <t>Just to have some coloring of same cells:</t>
  </si>
  <si>
    <t>Memory defines:</t>
  </si>
  <si>
    <t>Hex</t>
  </si>
  <si>
    <t>Dec</t>
  </si>
  <si>
    <t>MSBs</t>
  </si>
  <si>
    <t>LSBs</t>
  </si>
  <si>
    <t>Tot nr of bits:</t>
  </si>
  <si>
    <t>NrOfBitsOk?</t>
  </si>
  <si>
    <t>NrOfParams</t>
  </si>
  <si>
    <t>BeginExportMemoryDefines</t>
  </si>
  <si>
    <t>0x1002</t>
  </si>
  <si>
    <t>0x1004</t>
  </si>
  <si>
    <t>0x1006</t>
  </si>
  <si>
    <t>0x1008</t>
  </si>
  <si>
    <t>0x100A</t>
  </si>
  <si>
    <t>0x100C</t>
  </si>
  <si>
    <t>0x100E</t>
  </si>
  <si>
    <t>0x1010</t>
  </si>
  <si>
    <t>0x1012</t>
  </si>
  <si>
    <t>0x1014</t>
  </si>
  <si>
    <t>0x1016</t>
  </si>
  <si>
    <t>0x1018</t>
  </si>
  <si>
    <t>0x101A</t>
  </si>
  <si>
    <t>0x101C</t>
  </si>
  <si>
    <t>0x101E</t>
  </si>
  <si>
    <t>0x1020</t>
  </si>
  <si>
    <t>0x1022</t>
  </si>
  <si>
    <t>0x1024</t>
  </si>
  <si>
    <t>0x1026</t>
  </si>
  <si>
    <t>0x1028</t>
  </si>
  <si>
    <t>0x102A</t>
  </si>
  <si>
    <t>0x102C</t>
  </si>
  <si>
    <t>0x102E</t>
  </si>
  <si>
    <t>0x1030</t>
  </si>
  <si>
    <t>0x1032</t>
  </si>
  <si>
    <t>0x1034</t>
  </si>
  <si>
    <t>0x1036</t>
  </si>
  <si>
    <t>0x1038</t>
  </si>
  <si>
    <t>0x103A</t>
  </si>
  <si>
    <t>0x103C</t>
  </si>
  <si>
    <t>hex</t>
  </si>
  <si>
    <t>0x103E</t>
  </si>
  <si>
    <t>Checksum:</t>
  </si>
  <si>
    <t>dec</t>
  </si>
  <si>
    <t>0x1040</t>
  </si>
  <si>
    <t>0x1042</t>
  </si>
  <si>
    <t>0x1044</t>
  </si>
  <si>
    <t>0x1046</t>
  </si>
  <si>
    <t>0x1048</t>
  </si>
  <si>
    <t>0x104A</t>
  </si>
  <si>
    <t>0x104C</t>
  </si>
  <si>
    <t>0x104E</t>
  </si>
  <si>
    <t>0x1050</t>
  </si>
  <si>
    <t>0x1052</t>
  </si>
  <si>
    <t>0x1054</t>
  </si>
  <si>
    <t>0x1056</t>
  </si>
  <si>
    <t>0x1058</t>
  </si>
  <si>
    <t>0x105A</t>
  </si>
  <si>
    <t>0x105C</t>
  </si>
  <si>
    <t>0x105E</t>
  </si>
  <si>
    <t>0x1060</t>
  </si>
  <si>
    <t>0x1062</t>
  </si>
  <si>
    <t>0x1064</t>
  </si>
  <si>
    <t>0x1066</t>
  </si>
  <si>
    <t>0x1068</t>
  </si>
  <si>
    <t>0x106A</t>
  </si>
  <si>
    <t>0x106C</t>
  </si>
  <si>
    <t>0x106E</t>
  </si>
  <si>
    <t>0x1070</t>
  </si>
  <si>
    <t>0x1072</t>
  </si>
  <si>
    <t>0x1074</t>
  </si>
  <si>
    <t>0x1076</t>
  </si>
  <si>
    <t>0x1078</t>
  </si>
  <si>
    <t>0x107A</t>
  </si>
  <si>
    <t>0x107C</t>
  </si>
  <si>
    <t>0x107E</t>
  </si>
  <si>
    <t>0x1080</t>
  </si>
  <si>
    <t>0x1082</t>
  </si>
  <si>
    <t>0x1084</t>
  </si>
  <si>
    <t>0x1086</t>
  </si>
  <si>
    <t>0x1088</t>
  </si>
  <si>
    <t>0x108A</t>
  </si>
  <si>
    <t>0x108C</t>
  </si>
  <si>
    <t>0x108E</t>
  </si>
  <si>
    <t>0x1090</t>
  </si>
  <si>
    <t>0x1092</t>
  </si>
  <si>
    <t>0x1094</t>
  </si>
  <si>
    <t>0x1096</t>
  </si>
  <si>
    <t>0x1098</t>
  </si>
  <si>
    <t>0x109A</t>
  </si>
  <si>
    <t>0x109C</t>
  </si>
  <si>
    <t>0x109E</t>
  </si>
  <si>
    <t>0x10A0</t>
  </si>
  <si>
    <t>0x10A2</t>
  </si>
  <si>
    <t>0x10A4</t>
  </si>
  <si>
    <t>0x10A6</t>
  </si>
  <si>
    <t>0x10A8</t>
  </si>
  <si>
    <t>0x10AA</t>
  </si>
  <si>
    <t>0x10AC</t>
  </si>
  <si>
    <t>0x10AE</t>
  </si>
  <si>
    <t>0x10B0</t>
  </si>
  <si>
    <t>0x10B2</t>
  </si>
  <si>
    <t>0x10B4</t>
  </si>
  <si>
    <t>0x10B6</t>
  </si>
  <si>
    <t>0x10B8</t>
  </si>
  <si>
    <t>0x10BA</t>
  </si>
  <si>
    <t>0x10BC</t>
  </si>
  <si>
    <t>0x10BE</t>
  </si>
  <si>
    <t>0x10C0</t>
  </si>
  <si>
    <t>0x10C2</t>
  </si>
  <si>
    <t>0x10C4</t>
  </si>
  <si>
    <t>0x10C6</t>
  </si>
  <si>
    <t>EndExportMemoryDefines</t>
  </si>
  <si>
    <t>S[49:32]</t>
  </si>
  <si>
    <t>054F7</t>
  </si>
  <si>
    <t>22AED</t>
  </si>
  <si>
    <t>161DE</t>
  </si>
  <si>
    <t>098BF</t>
  </si>
  <si>
    <t>3867A</t>
  </si>
  <si>
    <t>381F9</t>
  </si>
  <si>
    <t>07F07</t>
  </si>
  <si>
    <t>S[31:0]</t>
  </si>
  <si>
    <t>C5C35996</t>
  </si>
  <si>
    <t>9C3C5553</t>
  </si>
  <si>
    <t>5999AC39</t>
  </si>
  <si>
    <t>CA55A3C9</t>
  </si>
  <si>
    <t>35CC9335</t>
  </si>
  <si>
    <t>33335CCC</t>
  </si>
  <si>
    <t>33333333</t>
  </si>
  <si>
    <t>Address (dec)</t>
  </si>
  <si>
    <t>Address (hex)</t>
  </si>
  <si>
    <t>MSWord</t>
  </si>
  <si>
    <t>LSWord</t>
  </si>
  <si>
    <t>32b hex</t>
  </si>
  <si>
    <t>DW_ADDRESS</t>
  </si>
  <si>
    <t>ECC[6]</t>
  </si>
  <si>
    <t>ECC[5]</t>
  </si>
  <si>
    <t>ECC[4]</t>
  </si>
  <si>
    <t>ECC[3]</t>
  </si>
  <si>
    <t>ECC[2]</t>
  </si>
  <si>
    <t>ECC[1]</t>
  </si>
  <si>
    <t>ECC[0]</t>
  </si>
  <si>
    <t>ECC (hex)</t>
  </si>
  <si>
    <t>DATA_39 (hex)2</t>
  </si>
  <si>
    <t>Parameter name</t>
  </si>
  <si>
    <t>Not include</t>
  </si>
  <si>
    <t>LTL</t>
  </si>
  <si>
    <t>UTL</t>
  </si>
  <si>
    <t>Value</t>
  </si>
  <si>
    <t>Comments</t>
  </si>
  <si>
    <t>Start code</t>
  </si>
  <si>
    <t>Byte Count</t>
  </si>
  <si>
    <t>Record Type</t>
  </si>
  <si>
    <t>Data</t>
  </si>
  <si>
    <t>Checksum</t>
  </si>
  <si>
    <t>Intel HEX Line</t>
  </si>
  <si>
    <t>:</t>
  </si>
  <si>
    <t>Intel HEX</t>
  </si>
  <si>
    <t>04</t>
  </si>
  <si>
    <t>02</t>
  </si>
  <si>
    <t>00</t>
  </si>
  <si>
    <t>0000</t>
  </si>
  <si>
    <t>01</t>
  </si>
  <si>
    <t>Double-click here to export Intel HEX file:</t>
  </si>
  <si>
    <t>Double-click here to export .MEMH file (without ECC):</t>
  </si>
  <si>
    <t>Double-click here to export .MEMH file (with ECC):</t>
  </si>
  <si>
    <t>BeginExportMemh</t>
  </si>
  <si>
    <t>EndExportMemh</t>
  </si>
  <si>
    <t>BeginExportMemhEcc</t>
  </si>
  <si>
    <t>EndExportMemhEcc</t>
  </si>
  <si>
    <t>EndExportIntelHex</t>
  </si>
  <si>
    <t>BeginExportIntelHex</t>
  </si>
  <si>
    <t>CRLF line ending:</t>
  </si>
  <si>
    <t>05</t>
  </si>
  <si>
    <t xml:space="preserve">Use absolute address: </t>
  </si>
  <si>
    <t>Reference temperature at first calibration temperature for the MEMS temperature sensor.
UQ2.14 format
For DSP processing:
   Tmems_T0 [Q16] = 4 * EE_TMEMS_T0</t>
  </si>
  <si>
    <t>Default PADC_N_BIT_SHIFT = 0
Higher values can be used to increase digital gain (but take care of overflow)
N_BIT_SHIFT = N_BIT_SHIFT_BASE + PADC_N_BIT_SHIFT
(base is configurerd by PRES_LOWNOISE_MODE)</t>
  </si>
  <si>
    <t>EE_CHECKSUM</t>
  </si>
  <si>
    <t>16 bits of checksum for full EEPROM area except TRACEABILITY, MLX_ID0, MLX_ID1, MLX_ID2 words</t>
  </si>
  <si>
    <t>EEPROM_CHECKSUM</t>
  </si>
  <si>
    <t>FUNCTIONAL_MODE</t>
  </si>
  <si>
    <t>EE_GEN_CTRL1</t>
  </si>
  <si>
    <t>EEPROM memory map and contents for 90343</t>
  </si>
  <si>
    <t>T:\projects\m90343\vAA</t>
  </si>
  <si>
    <t>EE_TRIM3</t>
  </si>
  <si>
    <t>SPI_CPOL</t>
  </si>
  <si>
    <t>SPI_CPHA</t>
  </si>
  <si>
    <t>Determines the clock phase.
0: data sampled on the rising edge and shifted out on the falling edge
1: data sampled on the falling edge and shifter out on the rising edge</t>
  </si>
  <si>
    <t>Determines the polarity of the clock signal during the idle state (CS=0).
0: clock polarity in idle state = low
1: clock polarity in idle state = high</t>
  </si>
  <si>
    <t>TRIG_INT_CONFIG</t>
  </si>
  <si>
    <t>I2C_ADDRESS</t>
  </si>
  <si>
    <t>ENABLE</t>
  </si>
  <si>
    <t xml:space="preserve">Communication mode:
0: auto-detection: I2C and SPI. 
1: SPI only
2: I2C only
3: auto-detection: I2C and SPI. </t>
  </si>
  <si>
    <t>EE_I2C_SPI_CONF</t>
  </si>
  <si>
    <t>General I2C/SPI configuration Bits</t>
  </si>
  <si>
    <t>TRIM_VBG_REG_TC</t>
  </si>
  <si>
    <t>Trimming of the temperature coefficient of the bandgap used for regulators</t>
  </si>
  <si>
    <t>TINT_FILT_DEPTH</t>
  </si>
  <si>
    <t>TMEMS_FILT_DEPTH</t>
  </si>
  <si>
    <t>WUT_CONFIG</t>
  </si>
  <si>
    <t>Trimming of main oscillator used by CPU (24MHz)</t>
  </si>
  <si>
    <t>Trimming of oscillator used for ADC. Is also used as 1MHz absolute clock. Note: the oscillator block has 9 trimming bits (LSB's are shorted to GND).</t>
  </si>
  <si>
    <t>Selection of division factor for P_mva16:
P_mva16 = [P_adc(k) + P_adc(k-1) + .. + Padc(k-15) - 16*P0] / N
PAVG_GAIN_SEL:
- 0: N = 16 for P_mva16 (normal average)
- 1: N = 8 for P_mva16 (double average)
Where:
P_adc(k), P_adc(k-1), ..., P_adc(k-15) = the last P_adc results (signed values)
P0 is pressure ADC offset (EEPROM parameter)</t>
  </si>
  <si>
    <t>WOC mode configuration</t>
  </si>
  <si>
    <t>WOC_BASE</t>
  </si>
  <si>
    <t>WOC_THRESHOLD</t>
  </si>
  <si>
    <t>TMEMS_SEL</t>
  </si>
  <si>
    <t>EE_PRESS_LSM</t>
  </si>
  <si>
    <t>Pressure filter lock state machine configuration</t>
  </si>
  <si>
    <t>P_THRD_LOCK_HIGH</t>
  </si>
  <si>
    <t>P_THRD_LOCK_LOW</t>
  </si>
  <si>
    <t>P_CNT_LOCK_STATE</t>
  </si>
  <si>
    <t>P_LPF_DEPTH</t>
  </si>
  <si>
    <t>EE_P0_2</t>
  </si>
  <si>
    <t>EE_A0_2</t>
  </si>
  <si>
    <t>EE_A1_2</t>
  </si>
  <si>
    <t>EE_A2_2</t>
  </si>
  <si>
    <t>EE_A3_2</t>
  </si>
  <si>
    <t>EE_B0_2</t>
  </si>
  <si>
    <t>EE_B1_2</t>
  </si>
  <si>
    <t>EE_B2_2</t>
  </si>
  <si>
    <t>EE_B3_2</t>
  </si>
  <si>
    <t>EE_C0_2</t>
  </si>
  <si>
    <t>EE_C1_2</t>
  </si>
  <si>
    <t>Offset removal for pressure averaging (for second pressure range)</t>
  </si>
  <si>
    <t>Temperature Compensation of Pressure Signal (for second pressure range)</t>
  </si>
  <si>
    <t>Temperature Compensation coefficient of Pressure Signal (for second pressure range)</t>
  </si>
  <si>
    <t>SEL_PRESSURE_RANGE</t>
  </si>
  <si>
    <t>NTC Threshold_low_res = NTC_THRD_LR x 128 x 64
Thresholds: 0, 128, 256, .. 1920 ohm
Used to switch from high to low resitance mode (used in continous mode)</t>
  </si>
  <si>
    <t>NTC Threshold_high_res = NTC_THRD_HR x 128 x 64
Thresholds: 0, 128, 256, .. 1920 ohm
Used to switch from low to high resistance mode (used in continous mode)</t>
  </si>
  <si>
    <t>INT_OUT_POL_CONF</t>
  </si>
  <si>
    <t>EE_DSP_CONF</t>
  </si>
  <si>
    <t>EE_NTC_ALPF</t>
  </si>
  <si>
    <t>Adaptive low pass filter configuration for NTC</t>
  </si>
  <si>
    <t>NTC_ALPF_DEPTH_DEC</t>
  </si>
  <si>
    <t>NTC_ALPF_DEPTH_MIN</t>
  </si>
  <si>
    <t>NTC_ALPF_DEPTH_MAX</t>
  </si>
  <si>
    <t>NTC_ALPF_THRESHOLD_MAX</t>
  </si>
  <si>
    <t>EE_VSUP_CTRL</t>
  </si>
  <si>
    <t>Over- &amp; Under-Voltage Detection</t>
  </si>
  <si>
    <t>V_SUP_HIGH</t>
  </si>
  <si>
    <t>V_SUP_LOW</t>
  </si>
  <si>
    <t>CONT_MODE_N_MEAS</t>
  </si>
  <si>
    <t>EE_WOC_BURST_CONT_CONF</t>
  </si>
  <si>
    <t xml:space="preserve">Additional WOC mode, burst mode and continous mode configuration </t>
  </si>
  <si>
    <t>PRES_LOWNOISE_MODE</t>
  </si>
  <si>
    <t>TNTC_OUT_N_BIT</t>
  </si>
  <si>
    <t>TDEV_OUT_N_BIT</t>
  </si>
  <si>
    <t>P_OUT_N_BIT</t>
  </si>
  <si>
    <t>Contains the inverted 16 bits sum of all bytes in customer EEPROM area except CUST_CHECKSUM word.
Check is disabled if checksum value is 0x0123=291d and no EEPROM DED.</t>
  </si>
  <si>
    <t>Configuration of the amount of bits for device temperature output after startup:
0: device temperature output reporting disabled
1: 8 bits device temperature output
2: 9 bits device temperature output
3: 10 bits device temperature output
4: 11 bits device temperature output
5: 12 bits device temperature output
6-7: 12 bits device temperature output
This configuration can be updated in RAM at runtime by an I2C/SPI memory write.
Depending on the setting of SEL_TEMP_SENS, the device temperature can be either internal die temperature or MEMS temperature.</t>
  </si>
  <si>
    <t>MADC_N_BIT_SHIFT_ADD</t>
  </si>
  <si>
    <t>Additional bit shift for the MADC measurements that have N_BIT_SHIFT_additional enabled in the SDATA table. Total bit shift is equal to N_BIT_SHIFT + N_BIT_SHIFT_ADD
0: extra shift of 0
1: extra shift of 1
2: extra shift of 2
3: extra shift of 3</t>
  </si>
  <si>
    <t>PRES_FILT_ERR_MASK</t>
  </si>
  <si>
    <t>NTC_FILT_ERR_MASK</t>
  </si>
  <si>
    <t>The mask for disabling of the NTC adaptive filter when a global error flag is set. 
If a bit is 1, the corresponding diagnostic global error will not cause the NTC filter to be disabled.
If a bit is 0, the corresponding diagnostic global error will cause the NTC filter to be disabled.</t>
  </si>
  <si>
    <t>The mask for disabling of the pressure filter when a global error flag is set. 
If a bit is 1, the corresponding diagnostic global error will not cause the pressure filter to be disabled.
If a bit is 0, the corresponding diagnostic global error will cause the pressure filter to be disabled.</t>
  </si>
  <si>
    <t>TMEMS_FILT_ERR_MASK</t>
  </si>
  <si>
    <t>TDIE_FILT_ERR_MASK</t>
  </si>
  <si>
    <t>The mask for disabling of the mems temperature filter when a global error flag is set. 
If a bit is 1, the corresponding diagnostic global error will not cause the mems temperature filter to be disabled.
If a bit is 0, the corresponding diagnostic global error will cause the mems temperature filter to be disabled.</t>
  </si>
  <si>
    <t>The mask for disabling of the die temperature filter when a global error flag is set. 
If a bit is 1, the corresponding diagnostic global error will not cause the die temperature filter to be disabled.
If a bit is 0, the corresponding diagnostic global error will cause the die temperature filter to be disabled.</t>
  </si>
  <si>
    <t>EE_FILT_MASK1</t>
  </si>
  <si>
    <t>EE_FILT_MASK0</t>
  </si>
  <si>
    <t>TRIM_SBYMODE_VDDDREG</t>
  </si>
  <si>
    <t>Digital standby mode regulator trimming</t>
  </si>
  <si>
    <t>OSC_ADC_AUTO_RESTART</t>
  </si>
  <si>
    <t>In case ADC oscillator is stuck:
0 - wait for digital reset, which will restart the oscillator
1 - enable analog monitoring that will restart the oscillator without digital reset (potentially better for EMC)</t>
  </si>
  <si>
    <t>TRIM_SUPSYS_SBY_WUT</t>
  </si>
  <si>
    <t>Delay in analog for switching in transitions between active and standby mode (ms_standby)
0: rising delay 5u, falling delay 40u
1: rising delay 5u, falling delay 80u
2: rising delay 10u, falling delay 80u
3: rising delay 10u, falling delay 160u</t>
  </si>
  <si>
    <t>Functional mode configuration of the chip after start-up,
0: Continuous mode
1: Single-measurement mode
2: Burst mode
3: WOC mode
Note: the functional mode can be changed during runtime with I2C/SPI commands (START_XXX_MODE)</t>
  </si>
  <si>
    <t>ENABLE_I2C_5VMODE</t>
  </si>
  <si>
    <t>TRIM_I2C_SLOPE</t>
  </si>
  <si>
    <t>I2C_DEBOUNCE_DISABLE</t>
  </si>
  <si>
    <t>Disables the debouncers for the I2C input schmit triggers.</t>
  </si>
  <si>
    <t>I2C_FMPLUS_DISABLE</t>
  </si>
  <si>
    <t>Disables I2C FMPLUS mode.</t>
  </si>
  <si>
    <t>Trimming settings for backend</t>
  </si>
  <si>
    <t>TRIM_SPI_SLOPE</t>
  </si>
  <si>
    <t>INTER_OPENDR_FMPLUS_DIS</t>
  </si>
  <si>
    <t>Trimming of the slope of the I2C output driver (open drain current)</t>
  </si>
  <si>
    <t>Trimming of the slope of the SPI output driver (push pull current)</t>
  </si>
  <si>
    <t>Disables FMPLUS mode for the TRIG/INT pin.</t>
  </si>
  <si>
    <t>INTER_TRIM_PUSHPULL</t>
  </si>
  <si>
    <t>Trimming of the slope of the TRIG/INT output driver (push pull current)</t>
  </si>
  <si>
    <t>INTER_TRIM_SLOPE_OD</t>
  </si>
  <si>
    <t>Trimming of the slope of the TRIG/INT output driver (open drain current)</t>
  </si>
  <si>
    <t>TRIGGER_DEB_DIS</t>
  </si>
  <si>
    <t>Disables the debouncer for the TRIG input schmit triggers.</t>
  </si>
  <si>
    <t>Puts the I2C drivers / inputs in 5V mode.
0: 3.3V mode
1: 5V mode</t>
  </si>
  <si>
    <t>EE_TMEMS_D4</t>
  </si>
  <si>
    <t>0x10C8</t>
  </si>
  <si>
    <t>0x10CA</t>
  </si>
  <si>
    <t>0x10CC</t>
  </si>
  <si>
    <t>0x10CE</t>
  </si>
  <si>
    <t>Configuration of the TRIG/INT pin:
00: TRIG/INT pin functionality disabled. This setting will configure the pin as an output in tristate.
01: Digital input (falling edge will trigger a measurement) 
10: Push pull digital output: interrupt output that indicates that a new measurement is available  
11: Bi-directional pin with open-drain output with both functionalities of other settings</t>
  </si>
  <si>
    <t>TRIM_OSC10K</t>
  </si>
  <si>
    <t>Trimming of the 10KHz low frequency oscillator</t>
  </si>
  <si>
    <t>TRIM_VDDA_3V</t>
  </si>
  <si>
    <t>Trimming of the 3V regulator (MEMS readout and EEPROM supply regulator)</t>
  </si>
  <si>
    <t>Filter depth of the IIR low-pass filter for the successive Tint data.
Tint,filt = ((2 ^ (DEPTH) - 1) * Tint,filt + Tint,raw) / 2 ^ (DEPTH)
Depth=0 means the filtering is disabled.
This configuration can be updated in RAM at runtime by an I2C/SPI memory write.</t>
  </si>
  <si>
    <t>Filter depth of the IIR low-pass filter for the successive TMEMS data
Tmems,filt = ((2 ^ (DEPTH) - 1) * Tmems,filt + Tmems,raw) / 2 ^ (DEPTH)
Depth=0 means the filtering is disabled.
This configuration can be updated in RAM at runtime by an I2C/SPI memory write.</t>
  </si>
  <si>
    <t>P_threshold_lock_high = P_THRD_LOCK_HIGH*4
 [0, 1, .. 62] * 4 = 0, 1, .., 248
Max setting 63*4 is reserved to bypass the pressure lock state machine and should assign always P_lpf to P_lock (always locked).
Min setting 0 means automatically that locking will never occur, so P_lock = P_mva8. It is only practically useful if DEM is disabled.
This configuration can be updated in RAM at runtime by an I2C/SPI memory write.</t>
  </si>
  <si>
    <t>P_threshold_lock_low = P_THRD_LOCK_LOW*2
 [0, 1, .. 31] * 2 = 0, 2, 4, .., 62
The range is halved compared to 90337CA, but the step size remains the same, so 1 bit less.
This configuration can be updated in RAM at runtime by an I2C/SPI memory write.</t>
  </si>
  <si>
    <t>P_count_lock_state = P_CNT_LOCK_STATE + 1
This configuration can be updated in RAM at runtime by an I2C/SPI memory write.</t>
  </si>
  <si>
    <t>Pressure low pass filter depth selection (P_lpf)
- 0: filter is disabled (depth = 0)
- 1: filter depth = 1
- 2: filter depth = 2
- 3: filter depth = 3
P_lpf(k) = P_lpf(k-1) + (P_mva16(k) - P_lpf(k-1)) / 2^P_lpf_depth
This configuration can be updated in RAM at runtime by an I2C/SPI memory write.</t>
  </si>
  <si>
    <t>depth_dec = NTC_depth_dec: 2-bit EEPROM parameter (1-4)
This configuration can be updated in RAM at runtime by an I2C/SPI memory write.</t>
  </si>
  <si>
    <t>depth_min = NTC_depth_min: 3-bit EEPROM parameter (0-7)
This configuration can be updated in RAM at runtime by an I2C/SPI memory write.</t>
  </si>
  <si>
    <t>depth_max = NTC_depth_max: 3-bit EEPROM parameter (0-7)
This configuration can be updated in RAM at runtime by an I2C/SPI memory write.</t>
  </si>
  <si>
    <t>threshold_max = NTC_threshold_max: 8-bit EEPROM parameter (0-255) 
threshold_min = NTC_threshold_min = NTC_threshold_max / 2
This configuration can be updated in RAM at runtime by an I2C/SPI memory write.</t>
  </si>
  <si>
    <t>EE_N_AVG_CONF</t>
  </si>
  <si>
    <t>PRES_N_AVG</t>
  </si>
  <si>
    <t>VSTEMP_N_AVG</t>
  </si>
  <si>
    <t>VSTEMP2_N_AVG</t>
  </si>
  <si>
    <t>VANA_DIV_N_AVG</t>
  </si>
  <si>
    <t>VPTAT_N_AVG</t>
  </si>
  <si>
    <t>VBE_N_AVG</t>
  </si>
  <si>
    <t>RNTC_N_AVG</t>
  </si>
  <si>
    <t>Determines the amount of samples used to calculate the average of the pressure ADC results in the ADC shell.
Number of samples = 2 ^ (PRES_N_AVG)
Number of samples = [1, 2, 4, 8]
This configuration can be updated in RAM at runtime by an I2C/SPI memory write.</t>
  </si>
  <si>
    <t>Determines the amount of samples used to calculate the average of the VBE ADC results in the ADC shell.
Number of samples = 2 ^ (VBE_N_AVG)
Number of samples = [1, 2, 4, 8]
This configuration can be updated in RAM at runtime by an I2C/SPI memory write.</t>
  </si>
  <si>
    <t>Determines the amount of samples used to calculate the average of the RNTC ADC results in the ADC shell.
Number of samples = 2 ^ (RNTC_N_AVG)
Number of samples = [1, 2, 4, 8, 16, 32]
Note: the maximum value for RNTC_N_AVG is 5, yielding a number of samples of 32. This is the maxumum that the filter size allows
This configuration can be updated in RAM at runtime by an I2C/SPI memory write.</t>
  </si>
  <si>
    <t>Determines the amount of samples used to calculate the average of the VPTAT ADC results in the ADC shell.
Number of samples = 2 ^ (VPTAT_N_AVG)
Number of samples = [1, 2, 4, 8, 16, 32]
Note: the maximum value for VPTAT_N_AVG is 5, yielding a number of samples of 32. This is the maxumum that the filter size allows
This configuration can be updated in RAM at runtime by an I2C/SPI memory write.</t>
  </si>
  <si>
    <t>N_AVG configuration for the ADC shell</t>
  </si>
  <si>
    <t>EE_OUT_FILT_CONF</t>
  </si>
  <si>
    <t>Configuration for the output and the filters</t>
  </si>
  <si>
    <t>GEN_CTRL1_RESERVED</t>
  </si>
  <si>
    <t>Reserved</t>
  </si>
  <si>
    <t>OUT_FILT_CONF_RESERVED</t>
  </si>
  <si>
    <t>I2C_SPI_CONF_RESERVED</t>
  </si>
  <si>
    <t>TRIM3_RESERVED</t>
  </si>
  <si>
    <t>EE_TRIM5</t>
  </si>
  <si>
    <t xml:space="preserve">Configuration of the amount of bits for NTC temperature output after startup:
0: NTC temperature output reporting disabled + disables NTC processing + disables NTC read-out circuit (no current consumption). This setting will set the DISABLE_NTC bit in the NTC_CONTROL PORT
1: 8 bits NTC temperature output
2: 9 bits NTC temperature output
3: 10 bits NTC temperature output
4: 11 bits NTC temperature output
5: 12 bits NTC temperature output
6-7: 12 bits NTC temperature output
Notes: 
- for setting 0, the temperature buffer in the analog frontend is still used for the MEMS temperature readout.
- in WOC mode, NTC will never be reported
This configuration can be updated in RAM at runtime by an I2C/SPI memory write.
</t>
  </si>
  <si>
    <t>EE_TDEV_D0</t>
  </si>
  <si>
    <t>EE_TDEV_D1</t>
  </si>
  <si>
    <t>EE_TDEV_D2</t>
  </si>
  <si>
    <t>Linearization coefficient for device Temperature output</t>
  </si>
  <si>
    <t>Linearization of device Temperature Signal</t>
  </si>
  <si>
    <t>VIRT_REF_K_MEMS</t>
  </si>
  <si>
    <t>VIRT_REF_K_INT</t>
  </si>
  <si>
    <t>EE_VIRT_REF_CONF</t>
  </si>
  <si>
    <t>KPTAT configuration for virtual reference calculation</t>
  </si>
  <si>
    <t>If Kptat_int = 0, then force VirtualRef = 2^15   
Else: VirtualRef = 4*Kptat_int * VPTAT_raw + VBE_raw  
 Kptat_int is EEPROM programmable with 7 bit: 1/128 .. 255/128 = VIRT_REF_K/2^7</t>
  </si>
  <si>
    <t>TMEMS_GAIN</t>
  </si>
  <si>
    <t>SEL_TEMP_SENS_PRES</t>
  </si>
  <si>
    <t>SEL_TEMP_SENS_TDEV</t>
  </si>
  <si>
    <t>Selection of the temperature sensor that has to be used for the device temperature reporting:
- 0: internal die temperature sensor is used (based on VBE/VPTAT)
- 1: external MEMS temperature sensor is used (based on STEMP)</t>
  </si>
  <si>
    <t>EE_GLBL_ERR_MSK0_PSFT0</t>
  </si>
  <si>
    <t>PRESS_HIGH_ERR_CODE_MASK</t>
  </si>
  <si>
    <t>TDEV_HIGH_ERR_CODE_MASK</t>
  </si>
  <si>
    <t>The mask for the global error flags to be reported by high error code ((2^NBIT)-1) in pressure output data
 - bit #0 masks SUPPLY_HIGH global error
 - bit #1 masks SUPPLY_LOW global error
 - bit #2 masks OTHER_INTERNAL_ERROR global error
 - bit #3 masks PRESSURE_ERROR global error
Note: the low error code always has priority over the high error code.</t>
  </si>
  <si>
    <t>The mask for the global error flags to be reported by a low error code (0)  in pressure output data
 - bit #0 masks SUPPLY_HIGH global error
 - bit #1 masks SUPPLY_LOW global error
 - bit #2 masks OTHER_INTERNAL_ERROR global error
 - bit #3 masks PRESSURE_ERROR global error
Note: the low error code always has priority over the high error code.</t>
  </si>
  <si>
    <t>EE_GLBL_ERR_MASK1</t>
  </si>
  <si>
    <t>TDEV_LOW_ERR_CODE_MASK</t>
  </si>
  <si>
    <t>TNTC_HIGH_ERR_CODE_MASK</t>
  </si>
  <si>
    <t>TNTC_LOW_ERR_CODE_MASK</t>
  </si>
  <si>
    <t>The mask for the global error flags to be reported by high error code ((2^NBIT)-1) in device temperature output data
 - bit #0 masks SUPPLY_HIGH global error
 - bit #1 masks SUPPLY_LOW global error
 - bit #2 masks OTHER_INTERNAL_ERROR global error
 - bit #3 masks TDEV_ERROR global error
Note: the low error code always has priority over the high error code.</t>
  </si>
  <si>
    <t>The mask for the global error flags to be reported by a low error code (0)  in device temperature output data
 - bit #0 masks SUPPLY_HIGH global error
 - bit #1 masks SUPPLY_LOW global error
 - bit #2 masks OTHER_INTERNAL_ERROR global error
 - bit #3 masks TDEV_ERROR global error
Note: the low error code always has priority over the high error code.</t>
  </si>
  <si>
    <t>The mask for the global error flags to be reported by high error code ((2^NBIT)-1) in NTC temperature output data
 - bit #0 masks SUPPLY_HIGH global error
 - bit #1 masks SUPPLY_LOW global error
 - bit #2 masks OTHER_INTERNAL_ERROR global error
 - bit #3 masks TNTC_ERROR global error
Note: the low error code always has priority over the high error code.</t>
  </si>
  <si>
    <t>PRESS_LOW_ERR_CODE_MASK</t>
  </si>
  <si>
    <t>PSFT0_THRESHOLD</t>
  </si>
  <si>
    <t>I2C_ST_FILT</t>
  </si>
  <si>
    <t>Trimming of the filtering of the Schmit Triggers for I2C,</t>
  </si>
  <si>
    <t>TRIM2_RESERVED</t>
  </si>
  <si>
    <t>TRIM1_RESERVED</t>
  </si>
  <si>
    <t>TRIM0_RESERVED</t>
  </si>
  <si>
    <t>TRIM5_RESERVED</t>
  </si>
  <si>
    <t>EE_TRACEABILITY_CP</t>
  </si>
  <si>
    <t>EE_MLX_ID0_CP</t>
  </si>
  <si>
    <t>EE_MLX_ID1_CP</t>
  </si>
  <si>
    <t>EE_MLX_ID2_CP</t>
  </si>
  <si>
    <t>Copy of traceability</t>
  </si>
  <si>
    <t>Copy of Melexis ID0</t>
  </si>
  <si>
    <t>Copy of Melexis ID1</t>
  </si>
  <si>
    <t>Copy of Melexis ID2</t>
  </si>
  <si>
    <t>Pressure base value for the WOC mode. Base is defined within the resolution of the pressure configuration. Amount of bits used for the base is the same as defined in P_OUT_CONF.
LSL = base - threshold
USL = base + threshold
threshold = (WOC_THRESHOLD + 1) * 2^4 = [16, 32, ..., 2048]
This configuration can be updated in RAM at runtime by an I2C/SPI memory write. The minimum threshold is 0.</t>
  </si>
  <si>
    <t>Extra gain factor in the calculation of TMP_SENS0:
Rpiezo configuration: TMP_SENS0 = (G * Vanadiv_avg) / Vstemp2_avg - N*T0_SENS
Rthungsten configuration: TMP_SENS0 = (G * Vstemp_avg) / Vstemp2_avg - N*T0_SENS
Diode configuration: N/A
where
  G - value in range [2^15 .. 2^17]
  N - fixed value of 4
TMEMS_GAIN:
- 0: G=1 * 2^15
- 1: G=1.5 * 2^15
- 2: G=2 * 2^15
- 3: G=2.5 * 2^15
- 4: G=3 * 2^15
- 5: G=3.5 * 2^15
- 6: G=4 * 2^15
- 7: G=4 * 2^15</t>
  </si>
  <si>
    <t>Configuration of the period of the internal wake-up timer for burst and WOC mode
0-31: 100us * 256 * 2^(WUT_CONFIG)
This configuration can be updated in RAM at runtime by an I2C/SPI memory write.</t>
  </si>
  <si>
    <t>TEST_BRIDGE_RANGE2</t>
  </si>
  <si>
    <t>PADC_RANGE2_SEL2</t>
  </si>
  <si>
    <t>PADC_RANGE2_SEL1</t>
  </si>
  <si>
    <t>PADC_RANGE1_SEL1</t>
  </si>
  <si>
    <t>PADC_RANGE1_SEL2</t>
  </si>
  <si>
    <t>PADC_RANGE1_CAP_SEL</t>
  </si>
  <si>
    <t>TEST_BRIDGE_RANGE1</t>
  </si>
  <si>
    <t>PADC_RANGE2_CAP_SEL</t>
  </si>
  <si>
    <t>EE_TRIM4_PADC_RANGE2</t>
  </si>
  <si>
    <t>EE_TRIM4_PADC_RANGE1</t>
  </si>
  <si>
    <t>Internal test bridge signal selection, used for self-test for the first pressure range
Note: INTERNAL_BRIDGE[3:0] (= input of PADC) is defined by:
- MSB: ms_padc_ana_sel[2] (from SDATA):
        MSB = 1: positive signal
        MSB = 0: negative signal
- LSB's: based on EEPROM setting: TEST_BRIDGE[2:0]
        000 : 0%
        001 : 1%
        010 : 2%
        011 : 3%
        100 : 4%
        101 : 5%
        110 : 6%
        111 : 7% 
If SEL_PRESSURE_RANGE is equal to 0, this value will be loaded to the trim port.
If SEL_PRESSURE_RANGE is equal to 1, the value from the EE_TRIM4_PADC_RANGE2 address will be loaded to the trim port.</t>
  </si>
  <si>
    <t>Defines the feedback current mirror for the first pressure range
--&gt; Defines the range/gain
LSBs of the 4-bit PADC range setting (e.g. in MATLAB model) 
If SEL_PRESSURE_RANGE is equal to 0, this value will be loaded to the trim port.
If SEL_PRESSURE_RANGE is equal to 1, the value from the EE_TRIM4_PADC_RANGE2 address will be loaded to the trim port.</t>
  </si>
  <si>
    <t>Selects the integrator capacitor of 1st integrator for the first pressure range
--&gt; Defines dependency of PADC_RANGE for 90337CA/90337DA !!
If SEL_PRESSURE_RANGE is equal to 0, this value will be loaded to the trim port.
If SEL_PRESSURE_RANGE is equal to 1, the value from the EE_TRIM4_PADC_RANGE2 address will be loaded to the trim port.</t>
  </si>
  <si>
    <t>Defines the bridge supply current mirror for the first pressure range
--&gt; Defines the range/gain
MSBs of the 4-bit PADC range setting (e.g. in MATLAB model)
If SEL_PRESSURE_RANGE is equal to 0, this value will be loaded to the trim port.
If SEL_PRESSURE_RANGE is equal to 1, the value from the EE_TRIM4_PADC_RANGE2 address will be loaded to the trim port.</t>
  </si>
  <si>
    <t>Internal test bridge signal selection, used for self-test for the second pressure range
Note: INTERNAL_BRIDGE[3:0] (= input of PADC) is defined by:
- MSB: ms_padc_ana_sel[2] (from SDATA):
        MSB = 1: positive signal
        MSB = 0: negative signal
- LSB's: based on EEPROM setting: TEST_BRIDGE[2:0]
        000 : 0%
        001 : 1%
        010 : 2%
        011 : 3%
        100 : 4%
        101 : 5%
        110 : 6%
        111 : 7% 
If SEL_PRESSURE_RANGE is equal to 0, the value from the EE_TRIM4_PADC_RANGE1 address will be loaded to the trim port.
If SEL_PRESSURE_RANGE is equal to 1, this value will be loaded to the trim port.</t>
  </si>
  <si>
    <t>Selects the integrator capacitor of 1st integrator for the second pressure range
--&gt; Defines dependency of PADC_RANGE for 90337CA/90337DA !!
If SEL_PRESSURE_RANGE is equal to 0, the value from the EE_TRIM4_PADC_RANGE1 address will be loaded to the trim port.
If SEL_PRESSURE_RANGE is equal to 1, this value will be loaded to the trim port.</t>
  </si>
  <si>
    <t>Defines the feedback current mirror for the second pressure range
--&gt; Defines the range/gain
LSBs of the 4-bit PADC range setting (e.g. in MATLAB model) 
If SEL_PRESSURE_RANGE is equal to 0, the value from the EE_TRIM4_PADC_RANGE1 address will be loaded to the trim port.
If SEL_PRESSURE_RANGE is equal to 1, this value will be loaded to the trim port.</t>
  </si>
  <si>
    <t>Defines the bridge supply current mirror for the second pressure range
--&gt; Defines the range/gain
MSBs of the 4-bit PADC range setting (e.g. in MATLAB model)
If SEL_PRESSURE_RANGE is equal to 0, the value from the EE_TRIM4_PADC_RANGE1 address will be loaded to the trim port.
If SEL_PRESSURE_RANGE is equal to 1, this value will be loaded to the trim port.</t>
  </si>
  <si>
    <t>TRIM4_PADC_RANGE2_RESERVED</t>
  </si>
  <si>
    <t>TEMP_MISMATCH_DIAG_THRD</t>
  </si>
  <si>
    <t>Configuration of the number of executed measurements before the data is copied into the measurement registers (only applicable for continuous mode).
0: (TRIG_INT_CONFIG == 1 or 3): TRIG_INT pin is used for measurement data transfer (IO port CSM.TRIG_MEAS_DATA_COPY  = 1) 
     else  (TRIG_INT_CONFIG == 0 or 2):   TRIG_INT pin is not used for measurement data transfer  (IO port CSM.TRIG_MEAS_DATA_COPY = 0) and measurement data are transferred into CSM buffer every pressure calculation period
1-11: TRIG_INT pin is not used for measurement data transfer  (IO port CSM.TRIG_MEAS_DATA_COPY = 0) and measurement data are transferred into CSM buffer every 2 ^ (CONT_MODE_N_MEAS -1) pressure calculation periods [1, 2, 4, 8, 16, 32, 64, ..., 1024]
12-15: TRIG_INT pin is not used for measurement data transfer  (IO port CSM.TRIG_MEAS_DATA_COPY = 0) and measurement data are transferred into CSM buffer every 1024 pressure calculation periods (value is clamped to 2^10)
This configuration can be updated in RAM at runtime by an I2C/SPI memory write.</t>
  </si>
  <si>
    <t>Under voltage diagnostic level
VSUP_LSL = 8533 + V_SUP_LOW * 37
= 8533 + [0,1, .. 255] * 37 = 8533, 8570, .. 17833
The range of the external supply matches with approximately 2,5V to 5.26V and with a resolution of 10,7mV.</t>
  </si>
  <si>
    <t>Over voltage diagnostic level
VSUP_USL = 10240 + V_SUP_HIGH * 37
= 10240 + [0,1, .. 255] * 37 = 10240, 10277, .. 19590
The range of the external supply matches with approximately 3V to 5.75V and with a resolution of 10,7mV.</t>
  </si>
  <si>
    <t>Default_mems_rpiezo</t>
  </si>
  <si>
    <t>Default_mems_diode</t>
  </si>
  <si>
    <t>Default_mems_tungsten</t>
  </si>
  <si>
    <t>Limits for mismatch diagnostic that compares the linearized mems temperature with the die temperature. The absolute value of the difference in temperature is compared to the threshold.
Base value is fixed to 0 because it is a comparison of a delta
Threshold = TEMP_MISMATCH_DIAG_THRD * 64  = [(0), 0.55 degC, 1.1 degC, ...., 17.1 degC]
The step of 0.55 degC is relevant for linearized temperature resolution of 116LSB per degree: 64/116 = 0.55
TEMP_MISMATCH_DIAG_THRD = 0 means that the check is disabled</t>
  </si>
  <si>
    <t>VIRT_REF_TDIE_DIAG_THRD</t>
  </si>
  <si>
    <t>Die temperature virtual reference diagnostic limits</t>
  </si>
  <si>
    <t>MEMS temperature virtual reference diagnostic limits</t>
  </si>
  <si>
    <t>VIRT_REF_TDIE_DIAG_BASE</t>
  </si>
  <si>
    <t>VIRT_REF_TMEMS_DIAG_BASE</t>
  </si>
  <si>
    <t>EE_RPOLY_THRD</t>
  </si>
  <si>
    <t>RPOLY_BASE</t>
  </si>
  <si>
    <t>RPOLY_THRD</t>
  </si>
  <si>
    <t>The limits for thungsten measurement poly reference resistor (vstemp2)
Rpoly_base = 2^12 + ROLY_BASE * 32 = 2^12 + [-256, .. 255] * 32 = [-4096, -4064, .. 12256]
RPOLY_THRD = 0 means that the check is disabled
LSL = base - threshold
USL = base + threshold</t>
  </si>
  <si>
    <t>VIRT_REF_TMEMS_DIAG_THRD</t>
  </si>
  <si>
    <t>Copy of the traceability word in MLX_PROD EEPROM area that is allowed to be read via I2C/SPI in idle mode</t>
  </si>
  <si>
    <t>Copy of the Melexis ID0 word in MLX_PROD EEPROM area that is allowed to be read via I2C/SPI in idle mode</t>
  </si>
  <si>
    <t>Copy of the Melexis ID1 word in MLX_PROD EEPROM area that is allowed to be read via I2C/SPI in idle mode</t>
  </si>
  <si>
    <t>Copy of the Melexis ID2 word in MLX_PROD EEPROM area that is allowed to be read via I2C/SPI in idle mode</t>
  </si>
  <si>
    <t>The limits for thungsten measurement poly reference resistor (vstemp2)
Rpoly_threshold = RPOLY_THRD * 32 = [(0), 1, .. 127] * 32 = [(0), 32, .. 4064]
RPOLY_THRD = 0 means that the check is disabled
LSL = base - threshold
USL = base + threshold</t>
  </si>
  <si>
    <t>EE_VIRT_REF_TDIE</t>
  </si>
  <si>
    <t>Limits for die temperature virtual reference diagnostic.
VirtRefDie_base =  2^15 + VIRT_REF_TDIE_DIAG_BASE * 32 = [24576 .. 40928]
VirtRefDie_threshold = VIRT_REF_TDIE_DIAG_THRD * 32 = [(0), 1, .. 255] * 32 = [(0), 32, .. 4064]
VIRT_REF_TDIE_DIAG_THRD = 0 means that the check is disabled
LSL = base - threshold
USL = base + threshold</t>
  </si>
  <si>
    <t>Limits for MEMS temperature virtual reference diagnostic.
VirtRefMEMS_base =  2^15 + VIRT_REF_TMEMS_DIAG_BASE * 32 = [24576 .. 40928]
VirtRefMEMS_threshold = VIRT_REF_TMEMS_DIAG_THRD * 32 = [(0), 1, .. 255] * 32 = [(0), 32, .. 8160]
VIRT_REF_TMEMS_DIAG_THRD = 0 means that the check is disabled
LSL = base - threshold
USL = base + threshold</t>
  </si>
  <si>
    <t>Enable pressure low noise mode:
 - 0: OSR = 64, N_BIT_SHIFT_BASE = 4
 - 1: OSR = 128, N_BIT_SHIFT_BASE = 1
N_BIT_SHIFT = N_BIT_SHIFT_BASE + PADC_N_BIT_SHIFT
(with PADC_N_BIT_SHIFT defined as separate EEPROM parameter)
Also increases current in the 1st stage of 1st integrator of PADC</t>
  </si>
  <si>
    <t>DIS_TEMP_BUFF</t>
  </si>
  <si>
    <t>Disables the temperature buffer completely if it is not needed for measurements. 
If MEMS temperature measurements or NTC measurements (which both require the buffer) are required, then this bit has no effect. 
If this bit is set and no MEMS/NTC measurement is required, then the VANA_DIV measurement with the buffer also gets disabled. This means that if this bit is set, no VANA_THRD diagnostic is executed.</t>
  </si>
  <si>
    <t>Determines the amount of samples used to calculate the average of the VANA_DIV ADC results in the ADC shell.
Number of samples = 2 ^ (VANA_DIV_N_AVG)
Number of samples = [1, 2, 4, 8, 16, 32]
This configuration can be updated in RAM at runtime by an I2C/SPI memory write.</t>
  </si>
  <si>
    <t>Determines the amount of samples used to calculate the average of the STEMP2 ADC results in the ADC shell.
Number of samples = 2 ^ (STEMP2_N_AVG)
Number of samples = [1, 2, 4, 8, 16, 32]
Note: the maximum value for VSTEMP2_N_AVG is 5, yielding a number of samples of 32. This is the maxumum that the filter size allows
This configuration can be updated in RAM at runtime by an I2C/SPI memory write.</t>
  </si>
  <si>
    <t>Determines the amount of samples used to calculate the average of the STEMP ADC results in the ADC shell.
Number of samples = 2 ^ (STEMP_N_AVG)
Number of samples = [1, 2, 4, 8, 16, 32]
Note: the maximum value for VSTEMP_N_AVG is 5, yielding a number of samples of 32. This is the maxumum that the filter size allows
This configuration can be updated in RAM at runtime by an I2C/SPI memory write.</t>
  </si>
  <si>
    <t>EE_WOC_VBE_NAVG_CONF</t>
  </si>
  <si>
    <t>Limits for die temperature virtual reference diagnostic.
VirtRefDie_base =  2^15 + VIRT_REF_TDIE_DIAG_BASE * 32 = [24576 .. 40928]
VirtRefDie_threshold = VIRT_REF_TDIE_DIAG_THRD * 32 = [(0), 1, .. 127] * 32 = [(0), 32, .. 4064]
VIRT_REF_TDIE_DIAG_THRD = 0 means that the check is disabled
LSL = base - threshold
USL = base + threshold</t>
  </si>
  <si>
    <t/>
  </si>
  <si>
    <t xml:space="preserve">            {
              "__class__": "MemoryVariableModel",
              "address": 178,
              "comment": "Digital standby mode regulator trimming",
              "name": "TRIM_SBYMODE_VDDDREG",
              "offset": 11,
              "size": 4,
              "uid": 1,
            },</t>
  </si>
  <si>
    <t xml:space="preserve">            {
              "__class__": "MemoryVariableModel",
              "address": 178,
              "comment": "Digital regulator trimming",
              "name": "TRIM_VDDD",
              "offset": 7,
              "size": 4,
              "uid": 1,
            },</t>
  </si>
  <si>
    <t xml:space="preserve">            {
              "__class__": "MemoryVariableModel",
              "address": 178,
              "comment": "Analog regulator trimming",
              "name": "TRIM_VDDA",
              "offset": 4,
              "size": 3,
              "uid": 1,
            },</t>
  </si>
  <si>
    <t xml:space="preserve">            {
              "__class__": "MemoryVariableModel",
              "address": 178,
              "comment": "Trimming of the temperature coefficient of the bandgap used for regulators",
              "name": "TRIM_VBG_REG_TC",
              "offset": 0,
              "size": 4,
              "uid": 1,
            },</t>
  </si>
  <si>
    <t xml:space="preserve">            {
              "__class__": "MemoryVariableModel",
              "address": 180,
              "comment": "Reserved",
              "name": "TRIM1_RESERVED",
              "offset": 15,
              "size": 1,
              "uid": 1,
            },</t>
  </si>
  <si>
    <t xml:space="preserve">            {
              "__class__": "MemoryVariableModel",
              "address": 180,
              "comment": "Trimming of main oscillator used by CPU (24MHz)",
              "name": "TRIM_OSC_CPU",
              "offset": 5,
              "size": 10,
              "uid": 1,
            },</t>
  </si>
  <si>
    <t xml:space="preserve">            {
              "__class__": "MemoryVariableModel",
              "address": 180,
              "comment": "Trimming of bias current in BGAP_ADC",
              "name": "TRIM_IBIAS",
              "offset": 0,
              "size": 5,
              "uid": 1,
            },</t>
  </si>
  <si>
    <t xml:space="preserve">            {
              "__class__": "MemoryVariableModel",
              "address": 182,
              "comment": "Reserved",
              "name": "TRIM2_RESERVED",
              "offset": 15,
              "size": 1,
              "uid": 1,
            },</t>
  </si>
  <si>
    <t xml:space="preserve">            {
              "__class__": "MemoryVariableModel",
              "address": 182,
              "comment": "Trimming of the 10KHz low frequency oscillator",
              "name": "TRIM_OSC10K",
              "offset": 10,
              "size": 5,
              "uid": 1,
            },</t>
  </si>
  <si>
    <t xml:space="preserve">            {
              "__class__": "MemoryVariableModel",
              "address": 182,
              "comment": "Trimming of oscillator used for ADC. Is also used as 1MHz absolute clock. Note: the oscillator block has 9 trimming bits (LSB's are shorted to GND).",
              "name": "TRIM_OSC_ADC",
              "offset": 0,
              "size": 7,
              "uid": 1,
            },</t>
  </si>
  <si>
    <t xml:space="preserve">            {
              "__class__": "MemoryVariableModel",
              "address": 184,
              "comment": "Reserved",
              "name": "TRIM3_RESERVED",
              "offset": 13,
              "size": 3,
              "uid": 1,
            },</t>
  </si>
  <si>
    <t xml:space="preserve">            {
              "__class__": "MemoryVariableModel",
              "address": 184,
              "comment": "Trimming of the 3V regulator (MEMS readout and EEPROM supply regulator)",
              "name": "TRIM_VDDA_3V",
              "offset": 10,
              "size": 3,
              "uid": 1,
            },</t>
  </si>
  <si>
    <t xml:space="preserve">            {
              "__class__": "MemoryVariableModel",
              "address": 184,
              "comment": "Selects current in 2nd stage of 1st integrator",
              "name": "PADC_INT1_CURR",
              "offset": 4,
              "size": 3,
              "uid": 1,
            },</t>
  </si>
  <si>
    <t xml:space="preserve">            {
              "__class__": "MemoryVariableModel",
              "address": 184,
              "comment": "Select the system (or external) chop clock for the PADC integrator",
              "name": "PADC_SEL_CHOP_INT_SYS",
              "offset": 3,
              "size": 1,
              "uid": 1,
            },</t>
  </si>
  <si>
    <t xml:space="preserve">            {
              "__class__": "MemoryVariableModel",
              "address": 186,
              "comment": "Trimming of the slope of the TRIG/INT output driver (push pull current)",
              "name": "INTER_TRIM_PUSHPULL",
              "offset": 13,
              "size": 3,
              "uid": 1,
            },</t>
  </si>
  <si>
    <t xml:space="preserve">            {
              "__class__": "MemoryVariableModel",
              "address": 186,
              "comment": "Trimming of the slope of the TRIG/INT output driver (open drain current)",
              "name": "INTER_TRIM_SLOPE_OD",
              "offset": 10,
              "size": 3,
              "uid": 1,
            },</t>
  </si>
  <si>
    <t xml:space="preserve">            {
              "__class__": "MemoryVariableModel",
              "address": 188,
              "comment": "Reserved",
              "name": "TRIM5_RESERVED",
              "offset": 15,
              "size": 1,
              "uid": 1,
            },</t>
  </si>
  <si>
    <t xml:space="preserve">            {
              "__class__": "MemoryVariableModel",
              "address": 188,
              "comment": "Disables the debouncer for the TRIG input schmit triggers.",
              "name": "TRIGGER_DEB_DIS",
              "offset": 14,
              "size": 1,
              "uid": 1,
            },</t>
  </si>
  <si>
    <t xml:space="preserve">            {
              "__class__": "MemoryVariableModel",
              "address": 188,
              "comment": "Disables FMPLUS mode for the TRIG/INT pin.",
              "name": "INTER_OPENDR_FMPLUS_DIS",
              "offset": 13,
              "size": 1,
              "uid": 1,
            },</t>
  </si>
  <si>
    <t xml:space="preserve">            {
              "__class__": "MemoryVariableModel",
              "address": 188,
              "comment": "Trimming of the slope of the SPI output driver (push pull current)",
              "name": "TRIM_SPI_SLOPE",
              "offset": 10,
              "size": 3,
              "uid": 1,
            },</t>
  </si>
  <si>
    <t xml:space="preserve">            {
              "__class__": "MemoryVariableModel",
              "address": 188,
              "comment": "Trimming of the filtering of the Schmit Triggers for I2C,",
              "name": "I2C_ST_FILT",
              "offset": 6,
              "size": 4,
              "uid": 1,
            },</t>
  </si>
  <si>
    <t xml:space="preserve">            {
              "__class__": "MemoryVariableModel",
              "address": 188,
              "comment": "Disables I2C FMPLUS mode.",
              "name": "I2C_FMPLUS_DISABLE",
              "offset": 5,
              "size": 1,
              "uid": 1,
            },</t>
  </si>
  <si>
    <t xml:space="preserve">            {
              "__class__": "MemoryVariableModel",
              "address": 188,
              "comment": "Disables the debouncers for the I2C input schmit triggers.",
              "name": "I2C_DEBOUNCE_DISABLE",
              "offset": 4,
              "size": 1,
              "uid": 1,
            },</t>
  </si>
  <si>
    <t xml:space="preserve">            {
              "__class__": "MemoryVariableModel",
              "address": 188,
              "comment": "Trimming of the slope of the I2C output driver (open drain current)",
              "name": "TRIM_I2C_SLOPE",
              "offset": 1,
              "size": 3,
              "uid": 1,
            },</t>
  </si>
  <si>
    <t>Delay in analog for switching in transitions between active and standby mode (ms_standby)</t>
  </si>
  <si>
    <t>In case ADC oscillator is stuck</t>
  </si>
  <si>
    <t>Selects the return to zero mode for the PADC</t>
  </si>
  <si>
    <t>Choosing where to do system-level chopping</t>
  </si>
  <si>
    <t>Defines the clock signal that is used to sample the output of the 2nd integrator at the comparator</t>
  </si>
  <si>
    <t>DITHER[1:0]</t>
  </si>
  <si>
    <t>Internal test bridge signal selection, used for self-test for the first pressure range</t>
  </si>
  <si>
    <t>Selects the integrator capacitor of 1st integrator for the first pressure range</t>
  </si>
  <si>
    <t>Defines the feedback current mirror for the first pressure range</t>
  </si>
  <si>
    <t>Defines the bridge supply current mirror for the first pressure range</t>
  </si>
  <si>
    <t>Puts the I2C drivers / inputs in 5V mode.</t>
  </si>
  <si>
    <t xml:space="preserve">            {
              "__class__": "MemoryVariableModel",
              "address": 182,
              "comment": "Delay in analog for switching in transitions between active and standby mode (ms_standby)",
              "name": "TRIM_SUPSYS_SBY_WUT",
              "offset": 8,
              "size": 2,
              "uid": 1,
            },</t>
  </si>
  <si>
    <t xml:space="preserve">            {
              "__class__": "MemoryVariableModel",
              "address": 182,
              "comment": "In case ADC oscillator is stuck",
              "name": "OSC_ADC_AUTO_RESTART",
              "offset": 7,
              "size": 1,
              "uid": 1,
            },</t>
  </si>
  <si>
    <t xml:space="preserve">            {
              "__class__": "MemoryVariableModel",
              "address": 184,
              "comment": "Selects the return to zero mode for the PADC",
              "name": "PADC_RTZ",
              "offset": 8,
              "size": 2,
              "uid": 1,
            },</t>
  </si>
  <si>
    <t xml:space="preserve">            {
              "__class__": "MemoryVariableModel",
              "address": 184,
              "comment": "Choosing where to do system-level chopping",
              "name": "PADC_INVERT_MODE",
              "offset": 7,
              "size": 1,
              "uid": 1,
            },</t>
  </si>
  <si>
    <t xml:space="preserve">            {
              "__class__": "MemoryVariableModel",
              "address": 184,
              "comment": "Defines the clock signal that is used to sample the output of the 2nd integrator at the comparator",
              "name": "PADC_SEL_COMP_CLK",
              "offset": 2,
              "size": 1,
              "uid": 1,
            },</t>
  </si>
  <si>
    <t xml:space="preserve">            {
              "__class__": "MemoryVariableModel",
              "address": 184,
              "comment": "DITHER[1:0]",
              "name": "PADC_DITHER",
              "offset": 0,
              "size": 2,
              "uid": 1,
            },</t>
  </si>
  <si>
    <t xml:space="preserve">            {
              "__class__": "MemoryVariableModel",
              "address": 186,
              "comment": "Internal test bridge signal selection, used for self-test for the first pressure range",
              "name": "TEST_BRIDGE_RANGE1",
              "offset": 7,
              "size": 3,
              "uid": 1,
            },</t>
  </si>
  <si>
    <t xml:space="preserve">            {
              "__class__": "MemoryVariableModel",
              "address": 186,
              "comment": "Selects the integrator capacitor of 1st integrator for the first pressure range",
              "name": "PADC_RANGE1_CAP_SEL",
              "offset": 4,
              "size": 3,
              "uid": 1,
            },</t>
  </si>
  <si>
    <t xml:space="preserve">            {
              "__class__": "MemoryVariableModel",
              "address": 186,
              "comment": "Defines the feedback current mirror for the first pressure range",
              "name": "PADC_RANGE1_SEL2",
              "offset": 2,
              "size": 2,
              "uid": 1,
            },</t>
  </si>
  <si>
    <t xml:space="preserve">            {
              "__class__": "MemoryVariableModel",
              "address": 186,
              "comment": "Defines the bridge supply current mirror for the first pressure range",
              "name": "PADC_RANGE1_SEL1",
              "offset": 0,
              "size": 2,
              "uid": 1,
            },</t>
  </si>
  <si>
    <t xml:space="preserve">            {
              "__class__": "MemoryVariableModel",
              "address": 188,
              "comment": "Puts the I2C drivers / inputs in 5V mode.",
              "name": "ENABLE_I2C_5VMODE",
              "offset": 0,
              "size": 1,
              "uid": 1,
            },</t>
  </si>
  <si>
    <t>Trimming of oscillator used for ADC. Is also used as 1MHz absolute clock.</t>
  </si>
  <si>
    <t>Pressure threshold value for the WOC mode. Base is defined within the resolution of the pressure configuration. Amount of bits used for the base is the same as defined in P_OUT_CONF.
LSL = base - threshold
USL = base + threshold
base = WOC_BASE in absolute WOC mode
threshold = (WOC_THRESHOLD + 1) * 2^4 = [16, 32, ..., 2048]
This configuration can be updated in RAM at runtime by an I2C/SPI memory write. The minimum threshold is 0.</t>
  </si>
  <si>
    <t>I2C slave address. If this field is 0, the default I2C address will be programmed.
Default I2C address = 7'h33 = 7'b 011_0011</t>
  </si>
  <si>
    <t>Contains the inverted 16 bits sum of all bytes in Melexis EEPROM area except MLX_CHECKSUM word, TRACEABILITY word and MLX ID words (not the copies)</t>
  </si>
  <si>
    <t>Double-click here to export all fileformats:</t>
  </si>
  <si>
    <t>EMC_mem_fetch_patch</t>
  </si>
  <si>
    <t>Digital regulator (active mode) trimming</t>
  </si>
  <si>
    <t>Digital regulator (standby mode) trimming</t>
  </si>
  <si>
    <t>PRES_ptat_TDEV_tung_diff</t>
  </si>
  <si>
    <t>Mem_fetch</t>
  </si>
  <si>
    <t>EE_bug</t>
  </si>
  <si>
    <t>Diff_flattening</t>
  </si>
  <si>
    <t>P_lownoise</t>
  </si>
  <si>
    <t>Patch</t>
  </si>
  <si>
    <t>Enables the MEMORY_FETCH I2C/SPI command in all functional modes. Without the patch it is only allowed in IDLE mode.</t>
  </si>
  <si>
    <t>Can be a workaround for the EEPROM bug. This patch will write 0x0180 to TEST_PORT3 to enable the DAC.</t>
  </si>
  <si>
    <t>With this patch, the diffusion measurement will be flattened with the PTAT measurement before being used for TMEMS calculation</t>
  </si>
  <si>
    <t>This patch will set the bit PADC_LOW_NOISE in the ports to have increased current in the first integrator of the PADC.</t>
  </si>
  <si>
    <t>Trimming of the slope of the SPI output driver (push pull current)
0: highest current (fastest)
6: lowest current (slowest)
7: do not use (all FETS disabled)</t>
  </si>
  <si>
    <t>Trimming of the slope of the I2C output driver (open drain current)
0: lowest current (slowest)
7: highest current (fastest)</t>
  </si>
  <si>
    <t>Lock bits for the customer part of the EEPROM:
- 01 --&gt; customer part of EEPROM is unlocked
- all other codes --&gt; customer part of EEPROM is locked
Note: the customer part of the EEPROM is only locked if also the checksum is correct (no bypass marker).
Locking routine:
Write to the virtual memory address 0xFF1A. SW calls the EEPROM lock function with input parameter, if EEPROM lock key is correct. 
The correctness of EEPROM checksum is not checked before locking EEPROM, if input pararameter (forceLock) != 0.
Result of the function execution is written into RAM variable.
The eeprom checksum covers also the lock bits.</t>
  </si>
  <si>
    <t>Selection of which pressure range should be used. Determines which set of pressure linearization coefficients will be used. 
- 0: first set of pressure linearization coefficients is used (P0_1,...)
- 1: second set of pressure linearization coefficients is used (P0_2,….)
Also determines which settings are loaded into trim port 4: EE_TRIM4_PADC_RANGE1 or EE_TRIM4_PADC_RANGE2</t>
  </si>
  <si>
    <t>Configuration of the amount of bits for pressure output after startup:
0: 10 bits pressure output
1: 10 bits pressure output
2: 11 bits pressure output
3: 12 bits pressure output
4: 13 bits pressure output
5: 14 bits pressure output
6-7: 14 bits pressure output
Note: pressure output is always enabled.
This configuration can be updated in RAM at runtime by an I2C/SPI memory write.</t>
  </si>
  <si>
    <t>Trimming of the slope of the TRIG/INT output driver (push pull current)
0: highest current (fastest)
6: lowest current (slowest)
7: do not use (all FETS disabled)</t>
  </si>
  <si>
    <t>Trimming of the slope of the TRIG/INT output driver (open drain current)
0: lowest current (slowest)
7: highest current (fastest)</t>
  </si>
  <si>
    <t xml:space="preserve"> The mask for the global error flags to be reported by a low error code (0)  in NTC temperature output data
 - bit #0 masks SUPPLY_HIGH global error
 - bit #1 masks SUPPLY_LOW global error
 - bit #2 masks OTHER_INTERNAL_ERROR global error
 - bit #3 masks TNTC_ERROR global error
Note: the low error code always has priority over the high error code.</t>
  </si>
  <si>
    <t>Selection signal for the MEMS temperature measurement
0: Diode readout
1: Tungsten readout with a poly resistor as reference measurement
2: Rpiezo readout (similar as 90337/90332)
3: Tungsten readout with a diffusion resistor as reference measurement
Note: 
- if SEL_TEMP_SENS_PRES is equal to 1, the measurement defined by TMEMS_SEL is used for pressure temperature compensation.
- if SEL_TEMP_SENS_TDEV is equal to 1, the measurement defined by TMEMS_SEL is used for device temperature.</t>
  </si>
  <si>
    <t>If Kptat_mems = 0, then force VirtualRef = 2^15   
Else: VirtualRef = 4*Kptat_mems * Vstemp_raw + Vstemp2_raw  
 Kptat_mems is EEPROM programmable with 7 bit: 1/128 .. 255/128 = VIRT_REF_K/2^7
Only applicable if TMEMS_SEL = 0 (diode configuration)</t>
  </si>
  <si>
    <t>90343AAK_diff_flat</t>
  </si>
  <si>
    <t>90343AAK_ptat</t>
  </si>
  <si>
    <t>Configuration of the polarity of TRIG/INT pin in push pull digital output mode (INT functionality):
0: transition to 1 will indicate that new data is ready and transition to 0 will indicate that data is read
1: transition to 0 will indicate that new data is ready and transition to 1 will indicate that data is read
Only used when TRIG_INT_CONFIG = 2</t>
  </si>
  <si>
    <t>mupet_warm</t>
  </si>
  <si>
    <t>This patch disables the timeout for the warm MUPeT entry window. Only for debugging purposes!</t>
  </si>
  <si>
    <t>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</si>
</sst>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
      <scheme val="minor"/>
    </font>
    <font>
      <sz val="11"/>
      <color theme="1"/>
      <name val="Calibri"/>
      <family val="2"/>
      <scheme val="minor"/>
    </font>
    <font>
      <sz val="11"/>
      <color theme="1"/>
      <name val="Calibri"/>
      <family val="2"/>
      <scheme val="minor"/>
    </font>
    <font>
      <b/>
      <sz val="15"/>
      <color rgb="FF1F497D"/>
      <name val="Calibri"/>
      <family val="2"/>
      <charset val="1"/>
    </font>
    <font>
      <sz val="10"/>
      <color rgb="FF000000"/>
      <name val="Arial"/>
      <family val="2"/>
    </font>
    <font>
      <b/>
      <sz val="11"/>
      <color rgb="FF1F497D"/>
      <name val="Calibri"/>
      <family val="2"/>
      <charset val="1"/>
    </font>
    <font>
      <u/>
      <sz val="11"/>
      <color rgb="FF0000FF"/>
      <name val="Calibri"/>
      <family val="2"/>
      <charset val="1"/>
    </font>
    <font>
      <sz val="10"/>
      <color rgb="FF000000"/>
      <name val="Arial"/>
      <family val="2"/>
      <charset val="1"/>
    </font>
    <font>
      <sz val="11"/>
      <color rgb="FF3F3F76"/>
      <name val="Calibri"/>
      <family val="2"/>
      <charset val="1"/>
    </font>
    <font>
      <sz val="10"/>
      <color rgb="FF3F3F76"/>
      <name val="Arial"/>
      <family val="2"/>
      <charset val="1"/>
    </font>
    <font>
      <sz val="11"/>
      <name val="Calibri"/>
      <family val="2"/>
      <charset val="1"/>
    </font>
    <font>
      <i/>
      <sz val="11"/>
      <color rgb="FF000000"/>
      <name val="Calibri"/>
      <family val="2"/>
      <charset val="1"/>
    </font>
    <font>
      <sz val="10"/>
      <color rgb="FF000000"/>
      <name val="Arial"/>
      <family val="2"/>
    </font>
    <font>
      <sz val="9"/>
      <color rgb="FF000000"/>
      <name val="Tahoma"/>
      <family val="2"/>
      <charset val="1"/>
    </font>
    <font>
      <b/>
      <sz val="10"/>
      <color rgb="FF000000"/>
      <name val="Arial"/>
      <family val="2"/>
      <charset val="1"/>
    </font>
    <font>
      <sz val="10"/>
      <name val="Arial"/>
      <family val="2"/>
      <charset val="1"/>
    </font>
    <font>
      <b/>
      <sz val="10"/>
      <color rgb="FFFFFFFF"/>
      <name val="Arial"/>
      <family val="2"/>
      <charset val="1"/>
    </font>
    <font>
      <sz val="10"/>
      <color rgb="FFFFFFFF"/>
      <name val="Arial"/>
      <family val="2"/>
      <charset val="1"/>
    </font>
    <font>
      <b/>
      <sz val="10"/>
      <name val="Arial"/>
      <family val="2"/>
      <charset val="1"/>
    </font>
    <font>
      <b/>
      <sz val="10"/>
      <color rgb="FF000000"/>
      <name val="Arial"/>
      <family val="2"/>
    </font>
    <font>
      <sz val="10"/>
      <color rgb="FF000000"/>
      <name val="Arial Unicode MS"/>
    </font>
    <font>
      <b/>
      <sz val="10"/>
      <color rgb="FF000000"/>
      <name val="Consolas"/>
      <family val="3"/>
    </font>
    <font>
      <sz val="10"/>
      <color rgb="FF000000"/>
      <name val="Consolas"/>
      <family val="3"/>
    </font>
    <font>
      <sz val="11"/>
      <color theme="1"/>
      <name val="Consolas"/>
      <family val="3"/>
    </font>
    <font>
      <b/>
      <sz val="10"/>
      <color rgb="FFFF0000"/>
      <name val="Arial"/>
      <family val="2"/>
    </font>
    <font>
      <sz val="9"/>
      <color indexed="81"/>
      <name val="Tahoma"/>
      <family val="2"/>
    </font>
    <font>
      <b/>
      <sz val="9"/>
      <color indexed="81"/>
      <name val="Tahoma"/>
      <family val="2"/>
    </font>
    <font>
      <b/>
      <sz val="11"/>
      <color theme="1"/>
      <name val="Calibri"/>
      <family val="2"/>
      <scheme val="minor"/>
    </font>
  </fonts>
  <fills count="22">
    <fill>
      <patternFill patternType="none"/>
    </fill>
    <fill>
      <patternFill patternType="gray125"/>
    </fill>
    <fill>
      <patternFill patternType="solid">
        <fgColor rgb="FFFFCC99"/>
        <bgColor rgb="FFFAC090"/>
      </patternFill>
    </fill>
    <fill>
      <patternFill patternType="solid">
        <fgColor rgb="FFDBEEF4"/>
        <bgColor rgb="FFDCE6F2"/>
      </patternFill>
    </fill>
    <fill>
      <patternFill patternType="solid">
        <fgColor rgb="FFFFF2CC"/>
        <bgColor rgb="FFFDEADA"/>
      </patternFill>
    </fill>
    <fill>
      <patternFill patternType="solid">
        <fgColor rgb="FF000000"/>
        <bgColor rgb="FF003300"/>
      </patternFill>
    </fill>
    <fill>
      <patternFill patternType="solid">
        <fgColor rgb="FFCFE2F3"/>
        <bgColor rgb="FFDCE6F2"/>
      </patternFill>
    </fill>
    <fill>
      <patternFill patternType="solid">
        <fgColor rgb="FFFDEADA"/>
        <bgColor rgb="FFFFF2CC"/>
      </patternFill>
    </fill>
    <fill>
      <patternFill patternType="solid">
        <fgColor rgb="FFFFC000"/>
        <bgColor rgb="FFFF9900"/>
      </patternFill>
    </fill>
    <fill>
      <patternFill patternType="solid">
        <fgColor rgb="FFBFBFBF"/>
        <bgColor rgb="FFB3A2C7"/>
      </patternFill>
    </fill>
    <fill>
      <patternFill patternType="solid">
        <fgColor rgb="FFFFFF00"/>
        <bgColor rgb="FFDCE6F2"/>
      </patternFill>
    </fill>
    <fill>
      <patternFill patternType="solid">
        <fgColor rgb="FFD9D9D9"/>
        <bgColor rgb="FFCFE2F3"/>
      </patternFill>
    </fill>
    <fill>
      <patternFill patternType="solid">
        <fgColor rgb="FFFFFFFF"/>
        <bgColor rgb="FFFFF2CC"/>
      </patternFill>
    </fill>
    <fill>
      <patternFill patternType="solid">
        <fgColor theme="4"/>
        <bgColor theme="4"/>
      </patternFill>
    </fill>
    <fill>
      <patternFill patternType="solid">
        <fgColor theme="7"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AFAF"/>
        <bgColor indexed="64"/>
      </patternFill>
    </fill>
    <fill>
      <patternFill patternType="solid">
        <fgColor rgb="FF93FFFF"/>
        <bgColor indexed="64"/>
      </patternFill>
    </fill>
    <fill>
      <patternFill patternType="solid">
        <fgColor theme="0" tint="-0.249977111117893"/>
        <bgColor indexed="64"/>
      </patternFill>
    </fill>
    <fill>
      <patternFill patternType="solid">
        <fgColor theme="4" tint="0.59999389629810485"/>
        <bgColor indexed="64"/>
      </patternFill>
    </fill>
  </fills>
  <borders count="29">
    <border>
      <left/>
      <right/>
      <top/>
      <bottom/>
      <diagonal/>
    </border>
    <border>
      <left style="thin">
        <color rgb="FF7F7F7F"/>
      </left>
      <right style="thin">
        <color rgb="FF7F7F7F"/>
      </right>
      <top style="thin">
        <color rgb="FF7F7F7F"/>
      </top>
      <bottom style="thin">
        <color rgb="FF7F7F7F"/>
      </bottom>
      <diagonal/>
    </border>
    <border>
      <left/>
      <right/>
      <top/>
      <bottom style="thick">
        <color rgb="FF4F81BD"/>
      </bottom>
      <diagonal/>
    </border>
    <border>
      <left/>
      <right/>
      <top/>
      <bottom style="medium">
        <color rgb="FF95B3D7"/>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n">
        <color rgb="FF7F7F7F"/>
      </bottom>
      <diagonal/>
    </border>
    <border>
      <left/>
      <right style="medium">
        <color auto="1"/>
      </right>
      <top style="thin">
        <color auto="1"/>
      </top>
      <bottom/>
      <diagonal/>
    </border>
    <border>
      <left style="medium">
        <color auto="1"/>
      </left>
      <right/>
      <top style="thin">
        <color auto="1"/>
      </top>
      <bottom/>
      <diagonal/>
    </border>
    <border>
      <left/>
      <right style="thin">
        <color auto="1"/>
      </right>
      <top style="thin">
        <color auto="1"/>
      </top>
      <bottom/>
      <diagonal/>
    </border>
    <border>
      <left/>
      <right style="medium">
        <color auto="1"/>
      </right>
      <top/>
      <bottom/>
      <diagonal/>
    </border>
    <border>
      <left style="medium">
        <color auto="1"/>
      </left>
      <right/>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medium">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s>
  <cellStyleXfs count="8">
    <xf numFmtId="0" fontId="0" fillId="0" borderId="0"/>
    <xf numFmtId="0" fontId="3" fillId="0" borderId="2" applyProtection="0"/>
    <xf numFmtId="0" fontId="4" fillId="0" borderId="0"/>
    <xf numFmtId="0" fontId="5" fillId="0" borderId="3" applyProtection="0"/>
    <xf numFmtId="0" fontId="6" fillId="0" borderId="0" applyBorder="0" applyProtection="0"/>
    <xf numFmtId="0" fontId="8" fillId="2" borderId="1" applyProtection="0"/>
    <xf numFmtId="0" fontId="10" fillId="0" borderId="0" applyBorder="0" applyProtection="0"/>
    <xf numFmtId="0" fontId="7" fillId="0" borderId="0"/>
  </cellStyleXfs>
  <cellXfs count="182">
    <xf numFmtId="0" fontId="0" fillId="0" borderId="0" xfId="0"/>
    <xf numFmtId="0" fontId="3" fillId="0" borderId="2" xfId="1" applyFont="1" applyAlignment="1" applyProtection="1"/>
    <xf numFmtId="0" fontId="4" fillId="0" borderId="0" xfId="2"/>
    <xf numFmtId="0" fontId="5" fillId="0" borderId="3" xfId="3" applyFont="1" applyAlignment="1" applyProtection="1"/>
    <xf numFmtId="0" fontId="6" fillId="0" borderId="0" xfId="4" applyFont="1" applyBorder="1" applyAlignment="1" applyProtection="1">
      <alignment horizontal="right"/>
    </xf>
    <xf numFmtId="0" fontId="7" fillId="0" borderId="0" xfId="2" applyFont="1"/>
    <xf numFmtId="0" fontId="4" fillId="0" borderId="0" xfId="2" applyFont="1" applyAlignment="1">
      <alignment horizontal="right"/>
    </xf>
    <xf numFmtId="0" fontId="9" fillId="2" borderId="1" xfId="5" applyFont="1" applyAlignment="1" applyProtection="1">
      <alignment vertical="center"/>
    </xf>
    <xf numFmtId="0" fontId="9" fillId="3" borderId="4" xfId="5" applyFont="1" applyFill="1" applyBorder="1" applyAlignment="1" applyProtection="1">
      <alignment vertical="center"/>
    </xf>
    <xf numFmtId="0" fontId="10" fillId="0" borderId="0" xfId="6" applyBorder="1" applyAlignment="1" applyProtection="1"/>
    <xf numFmtId="0" fontId="7" fillId="0" borderId="0" xfId="2" applyFont="1" applyAlignment="1">
      <alignment horizontal="right" vertical="center"/>
    </xf>
    <xf numFmtId="0" fontId="11" fillId="0" borderId="0" xfId="2" applyFont="1"/>
    <xf numFmtId="0" fontId="7" fillId="0" borderId="0" xfId="2" applyFont="1" applyAlignment="1">
      <alignment vertical="center"/>
    </xf>
    <xf numFmtId="0" fontId="14" fillId="4" borderId="5" xfId="2" applyFont="1" applyFill="1" applyBorder="1" applyAlignment="1">
      <alignment vertical="center" wrapText="1"/>
    </xf>
    <xf numFmtId="0" fontId="14" fillId="4" borderId="6" xfId="2" applyFont="1" applyFill="1" applyBorder="1" applyAlignment="1">
      <alignment horizontal="center" vertical="center" wrapText="1"/>
    </xf>
    <xf numFmtId="0" fontId="7" fillId="4" borderId="6" xfId="2" applyFont="1" applyFill="1" applyBorder="1" applyAlignment="1">
      <alignment horizontal="right" vertical="center" wrapText="1"/>
    </xf>
    <xf numFmtId="0" fontId="7" fillId="0" borderId="4" xfId="2" applyFont="1" applyBorder="1" applyAlignment="1">
      <alignment vertical="center"/>
    </xf>
    <xf numFmtId="0" fontId="7" fillId="4" borderId="6" xfId="2" applyFont="1" applyFill="1" applyBorder="1" applyAlignment="1">
      <alignment horizontal="center" vertical="center" wrapText="1"/>
    </xf>
    <xf numFmtId="0" fontId="7" fillId="5" borderId="4" xfId="2" applyFont="1" applyFill="1" applyBorder="1" applyAlignment="1">
      <alignment horizontal="left" vertical="center" wrapText="1"/>
    </xf>
    <xf numFmtId="0" fontId="7" fillId="5" borderId="10" xfId="2" applyFont="1" applyFill="1" applyBorder="1" applyAlignment="1">
      <alignment horizontal="left" vertical="center" wrapText="1"/>
    </xf>
    <xf numFmtId="0" fontId="7" fillId="4" borderId="11" xfId="2" applyFont="1" applyFill="1" applyBorder="1" applyAlignment="1">
      <alignment horizontal="center" wrapText="1"/>
    </xf>
    <xf numFmtId="0" fontId="7" fillId="5" borderId="12" xfId="2" applyFont="1" applyFill="1" applyBorder="1" applyAlignment="1">
      <alignment horizontal="left" vertical="center" wrapText="1"/>
    </xf>
    <xf numFmtId="0" fontId="7" fillId="0" borderId="0" xfId="2" applyFont="1" applyAlignment="1">
      <alignment horizontal="center" vertical="center"/>
    </xf>
    <xf numFmtId="0" fontId="7" fillId="0" borderId="0" xfId="7" applyFont="1" applyAlignment="1">
      <alignment vertical="center"/>
    </xf>
    <xf numFmtId="0" fontId="7" fillId="0" borderId="0" xfId="2" applyFont="1" applyBorder="1" applyAlignment="1">
      <alignment vertical="center"/>
    </xf>
    <xf numFmtId="0" fontId="14" fillId="6" borderId="4" xfId="2" applyFont="1" applyFill="1" applyBorder="1" applyAlignment="1">
      <alignment horizontal="center" vertical="center" wrapText="1"/>
    </xf>
    <xf numFmtId="0" fontId="7" fillId="6" borderId="4" xfId="2" applyFont="1" applyFill="1" applyBorder="1" applyAlignment="1">
      <alignment horizontal="center" vertical="center" wrapText="1"/>
    </xf>
    <xf numFmtId="49" fontId="7" fillId="6" borderId="4" xfId="2" applyNumberFormat="1" applyFont="1" applyFill="1" applyBorder="1" applyAlignment="1">
      <alignment horizontal="center" vertical="center" wrapText="1"/>
    </xf>
    <xf numFmtId="49" fontId="7" fillId="5" borderId="0" xfId="2" applyNumberFormat="1" applyFont="1" applyFill="1" applyBorder="1" applyAlignment="1">
      <alignment horizontal="left" vertical="center" wrapText="1"/>
    </xf>
    <xf numFmtId="49" fontId="9" fillId="2" borderId="1" xfId="5" applyNumberFormat="1" applyFont="1" applyBorder="1" applyAlignment="1" applyProtection="1">
      <alignment horizontal="center" vertical="center" wrapText="1"/>
    </xf>
    <xf numFmtId="49" fontId="7" fillId="5" borderId="13" xfId="2" applyNumberFormat="1" applyFont="1" applyFill="1" applyBorder="1" applyAlignment="1">
      <alignment horizontal="left" vertical="center" wrapText="1"/>
    </xf>
    <xf numFmtId="0" fontId="7" fillId="4" borderId="14" xfId="2" applyFont="1" applyFill="1" applyBorder="1" applyAlignment="1">
      <alignment horizontal="center" vertical="top" wrapText="1"/>
    </xf>
    <xf numFmtId="49" fontId="7" fillId="5" borderId="15" xfId="2" applyNumberFormat="1" applyFont="1" applyFill="1" applyBorder="1" applyAlignment="1">
      <alignment horizontal="left" vertical="center" wrapText="1"/>
    </xf>
    <xf numFmtId="0" fontId="7" fillId="0" borderId="0" xfId="2" applyFont="1" applyAlignment="1">
      <alignment vertical="center" wrapText="1"/>
    </xf>
    <xf numFmtId="0" fontId="15" fillId="3" borderId="0" xfId="7" applyFont="1" applyFill="1" applyAlignment="1" applyProtection="1">
      <alignment vertical="center"/>
      <protection locked="0"/>
    </xf>
    <xf numFmtId="0" fontId="15" fillId="7" borderId="0" xfId="7" applyFont="1" applyFill="1" applyAlignment="1" applyProtection="1">
      <alignment vertical="center"/>
      <protection locked="0"/>
    </xf>
    <xf numFmtId="0" fontId="16" fillId="5" borderId="16" xfId="2" applyFont="1" applyFill="1" applyBorder="1" applyAlignment="1">
      <alignment horizontal="left" vertical="center" wrapText="1"/>
    </xf>
    <xf numFmtId="0" fontId="16" fillId="5" borderId="0" xfId="2" applyFont="1" applyFill="1" applyBorder="1" applyAlignment="1">
      <alignment horizontal="left" vertical="center" wrapText="1"/>
    </xf>
    <xf numFmtId="0" fontId="17" fillId="5" borderId="0" xfId="2" applyFont="1" applyFill="1" applyBorder="1" applyAlignment="1">
      <alignment horizontal="left" vertical="center" wrapText="1"/>
    </xf>
    <xf numFmtId="0" fontId="17" fillId="5" borderId="0" xfId="2" applyFont="1" applyFill="1" applyBorder="1" applyAlignment="1">
      <alignment horizontal="center" vertical="center" wrapText="1"/>
    </xf>
    <xf numFmtId="49" fontId="17" fillId="5" borderId="0" xfId="2" applyNumberFormat="1" applyFont="1" applyFill="1" applyBorder="1" applyAlignment="1">
      <alignment horizontal="center" vertical="center" wrapText="1"/>
    </xf>
    <xf numFmtId="49" fontId="17" fillId="5" borderId="0" xfId="2" applyNumberFormat="1" applyFont="1" applyFill="1" applyBorder="1" applyAlignment="1">
      <alignment horizontal="left" vertical="center" wrapText="1"/>
    </xf>
    <xf numFmtId="49" fontId="17" fillId="5" borderId="13" xfId="2" applyNumberFormat="1" applyFont="1" applyFill="1" applyBorder="1" applyAlignment="1">
      <alignment horizontal="left" vertical="center" wrapText="1"/>
    </xf>
    <xf numFmtId="49" fontId="17" fillId="5" borderId="15" xfId="2" applyNumberFormat="1" applyFont="1" applyFill="1" applyBorder="1" applyAlignment="1">
      <alignment horizontal="left" vertical="center" wrapText="1"/>
    </xf>
    <xf numFmtId="0" fontId="7" fillId="0" borderId="0" xfId="2" applyFont="1" applyAlignment="1">
      <alignment horizontal="center" vertical="center" wrapText="1"/>
    </xf>
    <xf numFmtId="0" fontId="7" fillId="8" borderId="0" xfId="2" applyFont="1" applyFill="1" applyAlignment="1">
      <alignment vertical="center" wrapText="1"/>
    </xf>
    <xf numFmtId="0" fontId="7" fillId="8" borderId="0" xfId="2" applyFont="1" applyFill="1" applyAlignment="1">
      <alignment vertical="center"/>
    </xf>
    <xf numFmtId="0" fontId="15" fillId="7" borderId="5" xfId="7" applyFont="1" applyFill="1" applyBorder="1" applyAlignment="1">
      <alignment horizontal="left" vertical="center" wrapText="1"/>
    </xf>
    <xf numFmtId="0" fontId="15" fillId="7" borderId="4" xfId="2" applyFont="1" applyFill="1" applyBorder="1" applyAlignment="1">
      <alignment horizontal="left" vertical="center" wrapText="1"/>
    </xf>
    <xf numFmtId="0" fontId="7" fillId="7" borderId="4" xfId="2" applyFont="1" applyFill="1" applyBorder="1" applyAlignment="1">
      <alignment horizontal="center" vertical="center" wrapText="1"/>
    </xf>
    <xf numFmtId="0" fontId="7" fillId="9" borderId="4" xfId="2" applyFont="1" applyFill="1" applyBorder="1" applyAlignment="1">
      <alignment horizontal="center" vertical="center" wrapText="1"/>
    </xf>
    <xf numFmtId="0" fontId="15" fillId="7" borderId="4" xfId="7" applyFont="1" applyFill="1" applyBorder="1" applyAlignment="1">
      <alignment vertical="center" wrapText="1"/>
    </xf>
    <xf numFmtId="0" fontId="7" fillId="7" borderId="17" xfId="2" applyFont="1" applyFill="1" applyBorder="1" applyAlignment="1">
      <alignment horizontal="center" vertical="center" wrapText="1"/>
    </xf>
    <xf numFmtId="0" fontId="7" fillId="3" borderId="0" xfId="2" applyFont="1" applyFill="1" applyAlignment="1">
      <alignment vertical="center"/>
    </xf>
    <xf numFmtId="0" fontId="7" fillId="7" borderId="0" xfId="2" applyFont="1" applyFill="1" applyAlignment="1">
      <alignment vertical="center"/>
    </xf>
    <xf numFmtId="0" fontId="15" fillId="3" borderId="18" xfId="7" applyFont="1" applyFill="1" applyBorder="1" applyAlignment="1">
      <alignment horizontal="left" vertical="center" wrapText="1"/>
    </xf>
    <xf numFmtId="0" fontId="15" fillId="3" borderId="4" xfId="2" applyFont="1" applyFill="1" applyBorder="1" applyAlignment="1">
      <alignment vertical="center"/>
    </xf>
    <xf numFmtId="0" fontId="7" fillId="3" borderId="4" xfId="2" applyFont="1" applyFill="1" applyBorder="1" applyAlignment="1">
      <alignment horizontal="center" vertical="center" wrapText="1"/>
    </xf>
    <xf numFmtId="0" fontId="15" fillId="3" borderId="4" xfId="7" applyFont="1" applyFill="1" applyBorder="1" applyAlignment="1">
      <alignment vertical="center" wrapText="1"/>
    </xf>
    <xf numFmtId="49" fontId="7" fillId="5" borderId="4" xfId="2" applyNumberFormat="1" applyFont="1" applyFill="1" applyBorder="1" applyAlignment="1">
      <alignment horizontal="left" vertical="center" wrapText="1"/>
    </xf>
    <xf numFmtId="0" fontId="7" fillId="7" borderId="7" xfId="2" applyFont="1" applyFill="1" applyBorder="1" applyAlignment="1">
      <alignment horizontal="center" vertical="center" wrapText="1"/>
    </xf>
    <xf numFmtId="0" fontId="15" fillId="10" borderId="4" xfId="7" applyFont="1" applyFill="1" applyBorder="1" applyAlignment="1">
      <alignment vertical="center" wrapText="1"/>
    </xf>
    <xf numFmtId="0" fontId="16" fillId="5" borderId="18" xfId="2" applyFont="1" applyFill="1" applyBorder="1" applyAlignment="1">
      <alignment horizontal="left" vertical="center" wrapText="1"/>
    </xf>
    <xf numFmtId="0" fontId="16" fillId="5" borderId="20" xfId="2" applyFont="1" applyFill="1" applyBorder="1" applyAlignment="1">
      <alignment horizontal="left" vertical="center" wrapText="1"/>
    </xf>
    <xf numFmtId="0" fontId="17" fillId="5" borderId="20" xfId="2" applyFont="1" applyFill="1" applyBorder="1" applyAlignment="1">
      <alignment horizontal="left" vertical="center" wrapText="1"/>
    </xf>
    <xf numFmtId="0" fontId="16" fillId="5" borderId="20" xfId="2" applyFont="1" applyFill="1" applyBorder="1" applyAlignment="1">
      <alignment horizontal="center" vertical="center" wrapText="1"/>
    </xf>
    <xf numFmtId="0" fontId="17" fillId="5" borderId="20" xfId="2" applyFont="1" applyFill="1" applyBorder="1" applyAlignment="1">
      <alignment horizontal="center" vertical="center" wrapText="1"/>
    </xf>
    <xf numFmtId="49" fontId="17" fillId="5" borderId="20" xfId="2" applyNumberFormat="1" applyFont="1" applyFill="1" applyBorder="1" applyAlignment="1">
      <alignment horizontal="center" vertical="center" wrapText="1"/>
    </xf>
    <xf numFmtId="49" fontId="17" fillId="5" borderId="20" xfId="2" applyNumberFormat="1" applyFont="1" applyFill="1" applyBorder="1" applyAlignment="1">
      <alignment horizontal="left" vertical="center" wrapText="1"/>
    </xf>
    <xf numFmtId="49" fontId="17" fillId="5" borderId="21" xfId="2" applyNumberFormat="1" applyFont="1" applyFill="1" applyBorder="1" applyAlignment="1">
      <alignment horizontal="left" vertical="center" wrapText="1"/>
    </xf>
    <xf numFmtId="49" fontId="17" fillId="5" borderId="22" xfId="2" applyNumberFormat="1" applyFont="1" applyFill="1" applyBorder="1" applyAlignment="1">
      <alignment horizontal="left" vertical="center" wrapText="1"/>
    </xf>
    <xf numFmtId="0" fontId="18" fillId="8" borderId="23" xfId="7" applyFont="1" applyFill="1" applyBorder="1" applyAlignment="1">
      <alignment horizontal="center" vertical="center"/>
    </xf>
    <xf numFmtId="0" fontId="18" fillId="8" borderId="4" xfId="7" applyFont="1" applyFill="1" applyBorder="1" applyAlignment="1">
      <alignment horizontal="center" vertical="center"/>
    </xf>
    <xf numFmtId="0" fontId="18" fillId="8" borderId="4" xfId="7" applyFont="1" applyFill="1" applyBorder="1" applyAlignment="1" applyProtection="1">
      <alignment horizontal="center" vertical="center" wrapText="1"/>
      <protection locked="0"/>
    </xf>
    <xf numFmtId="0" fontId="14" fillId="8" borderId="24" xfId="2" applyFont="1" applyFill="1" applyBorder="1" applyAlignment="1">
      <alignment horizontal="center" vertical="center" wrapText="1"/>
    </xf>
    <xf numFmtId="0" fontId="14" fillId="8" borderId="4" xfId="2" applyFont="1" applyFill="1" applyBorder="1" applyAlignment="1">
      <alignment horizontal="center" vertical="center" wrapText="1"/>
    </xf>
    <xf numFmtId="0" fontId="14" fillId="8" borderId="25" xfId="2" applyFont="1" applyFill="1" applyBorder="1" applyAlignment="1">
      <alignment horizontal="center" vertical="center" wrapText="1"/>
    </xf>
    <xf numFmtId="0" fontId="14" fillId="8" borderId="26" xfId="2" applyFont="1" applyFill="1" applyBorder="1" applyAlignment="1">
      <alignment horizontal="center" vertical="center" wrapText="1"/>
    </xf>
    <xf numFmtId="0" fontId="14" fillId="8" borderId="23" xfId="2" applyFont="1" applyFill="1" applyBorder="1" applyAlignment="1">
      <alignment horizontal="center" vertical="center" wrapText="1"/>
    </xf>
    <xf numFmtId="0" fontId="7" fillId="0" borderId="16" xfId="2" applyFont="1" applyBorder="1" applyAlignment="1">
      <alignment horizontal="center" vertical="center"/>
    </xf>
    <xf numFmtId="0" fontId="7" fillId="0" borderId="0" xfId="2" applyFont="1" applyBorder="1" applyAlignment="1">
      <alignment horizontal="center" vertical="center"/>
    </xf>
    <xf numFmtId="0" fontId="7" fillId="0" borderId="15" xfId="2" applyFont="1" applyBorder="1" applyAlignment="1">
      <alignment horizontal="center" vertical="center"/>
    </xf>
    <xf numFmtId="0" fontId="12" fillId="0" borderId="4" xfId="2" applyFont="1" applyBorder="1" applyAlignment="1">
      <alignment horizontal="center" vertical="center" wrapText="1"/>
    </xf>
    <xf numFmtId="0" fontId="7" fillId="11" borderId="4" xfId="2" applyFont="1" applyFill="1" applyBorder="1" applyAlignment="1">
      <alignment horizontal="center" vertical="center"/>
    </xf>
    <xf numFmtId="0" fontId="7" fillId="11" borderId="4" xfId="2" applyFont="1" applyFill="1" applyBorder="1" applyAlignment="1">
      <alignment horizontal="center" vertical="center" wrapText="1"/>
    </xf>
    <xf numFmtId="0" fontId="9" fillId="2" borderId="1" xfId="5" applyFont="1" applyAlignment="1" applyProtection="1">
      <alignment horizontal="center" vertical="center" wrapText="1"/>
    </xf>
    <xf numFmtId="0" fontId="7" fillId="0" borderId="25" xfId="2" applyFont="1" applyBorder="1" applyAlignment="1">
      <alignment vertical="center"/>
    </xf>
    <xf numFmtId="0" fontId="7" fillId="12" borderId="24" xfId="2" applyFont="1" applyFill="1" applyBorder="1" applyAlignment="1">
      <alignment horizontal="center" vertical="center" wrapText="1"/>
    </xf>
    <xf numFmtId="0" fontId="7" fillId="0" borderId="4" xfId="2" applyFont="1" applyBorder="1" applyAlignment="1">
      <alignment horizontal="center" vertical="center" wrapText="1"/>
    </xf>
    <xf numFmtId="0" fontId="7" fillId="0" borderId="16" xfId="2" applyFont="1" applyBorder="1" applyAlignment="1">
      <alignment horizontal="center" vertical="center" wrapText="1"/>
    </xf>
    <xf numFmtId="0" fontId="7" fillId="0" borderId="0" xfId="2" applyFont="1" applyAlignment="1">
      <alignment horizontal="left" vertical="center" wrapText="1"/>
    </xf>
    <xf numFmtId="49" fontId="4" fillId="0" borderId="0" xfId="2" applyNumberFormat="1"/>
    <xf numFmtId="0" fontId="19" fillId="0" borderId="0" xfId="2" applyFont="1"/>
    <xf numFmtId="0" fontId="19" fillId="13" borderId="27" xfId="2" applyFont="1" applyFill="1" applyBorder="1"/>
    <xf numFmtId="0" fontId="4" fillId="0" borderId="0" xfId="2" applyNumberFormat="1"/>
    <xf numFmtId="0" fontId="20" fillId="0" borderId="0" xfId="2" applyFont="1" applyAlignment="1">
      <alignment vertical="center"/>
    </xf>
    <xf numFmtId="49" fontId="15" fillId="12" borderId="4" xfId="2" applyNumberFormat="1" applyFont="1" applyFill="1" applyBorder="1" applyAlignment="1" applyProtection="1">
      <alignment vertical="center"/>
    </xf>
    <xf numFmtId="49" fontId="15" fillId="12" borderId="4" xfId="2" applyNumberFormat="1" applyFont="1" applyFill="1" applyBorder="1" applyAlignment="1" applyProtection="1">
      <alignment horizontal="center" vertical="center"/>
    </xf>
    <xf numFmtId="0" fontId="4" fillId="0" borderId="0" xfId="2" applyAlignment="1">
      <alignment vertical="center"/>
    </xf>
    <xf numFmtId="0" fontId="4" fillId="0" borderId="4" xfId="2" applyBorder="1" applyAlignment="1">
      <alignment vertical="center"/>
    </xf>
    <xf numFmtId="0" fontId="4" fillId="0" borderId="4" xfId="2" applyBorder="1" applyAlignment="1">
      <alignment horizontal="center" vertical="center"/>
    </xf>
    <xf numFmtId="0" fontId="4" fillId="0" borderId="0" xfId="2" applyAlignment="1">
      <alignment horizontal="center" vertical="center"/>
    </xf>
    <xf numFmtId="0" fontId="21" fillId="0" borderId="0" xfId="2" applyFont="1"/>
    <xf numFmtId="0" fontId="22" fillId="0" borderId="0" xfId="2" applyFont="1"/>
    <xf numFmtId="0" fontId="12" fillId="14" borderId="0" xfId="2" applyFont="1" applyFill="1"/>
    <xf numFmtId="0" fontId="12" fillId="16" borderId="0" xfId="2" applyFont="1" applyFill="1"/>
    <xf numFmtId="0" fontId="12" fillId="16" borderId="0" xfId="2" quotePrefix="1" applyFont="1" applyFill="1"/>
    <xf numFmtId="0" fontId="4" fillId="16" borderId="0" xfId="2" applyFill="1"/>
    <xf numFmtId="0" fontId="12" fillId="17" borderId="0" xfId="2" applyFont="1" applyFill="1"/>
    <xf numFmtId="0" fontId="12" fillId="17" borderId="0" xfId="2" quotePrefix="1" applyFont="1" applyFill="1"/>
    <xf numFmtId="0" fontId="12" fillId="18" borderId="0" xfId="2" applyFont="1" applyFill="1"/>
    <xf numFmtId="0" fontId="12" fillId="18" borderId="0" xfId="2" quotePrefix="1" applyFont="1" applyFill="1"/>
    <xf numFmtId="0" fontId="12" fillId="19" borderId="0" xfId="2" applyFont="1" applyFill="1"/>
    <xf numFmtId="0" fontId="4" fillId="19" borderId="0" xfId="2" applyFill="1"/>
    <xf numFmtId="0" fontId="12" fillId="20" borderId="0" xfId="2" applyFont="1" applyFill="1"/>
    <xf numFmtId="0" fontId="4" fillId="20" borderId="0" xfId="2" applyFill="1"/>
    <xf numFmtId="0" fontId="22" fillId="15" borderId="0" xfId="2" applyFont="1" applyFill="1"/>
    <xf numFmtId="0" fontId="23" fillId="0" borderId="0" xfId="0" applyFont="1"/>
    <xf numFmtId="0" fontId="23" fillId="15" borderId="0" xfId="0" applyFont="1" applyFill="1"/>
    <xf numFmtId="0" fontId="21" fillId="13" borderId="28" xfId="2" applyFont="1" applyFill="1" applyBorder="1"/>
    <xf numFmtId="0" fontId="22" fillId="15" borderId="0" xfId="2" applyNumberFormat="1" applyFont="1" applyFill="1"/>
    <xf numFmtId="0" fontId="4" fillId="16" borderId="0" xfId="2" quotePrefix="1" applyFill="1"/>
    <xf numFmtId="0" fontId="4" fillId="0" borderId="0" xfId="2" applyAlignment="1">
      <alignment horizontal="right"/>
    </xf>
    <xf numFmtId="0" fontId="4" fillId="21" borderId="4" xfId="2" applyFill="1" applyBorder="1"/>
    <xf numFmtId="0" fontId="24" fillId="3" borderId="4" xfId="2" applyFont="1" applyFill="1" applyBorder="1" applyAlignment="1">
      <alignment horizontal="center" vertical="center" wrapText="1"/>
    </xf>
    <xf numFmtId="0" fontId="24" fillId="7" borderId="17" xfId="2" applyFont="1" applyFill="1" applyBorder="1" applyAlignment="1">
      <alignment horizontal="center" vertical="center" wrapText="1"/>
    </xf>
    <xf numFmtId="0" fontId="7" fillId="11" borderId="4" xfId="2" applyFont="1" applyFill="1" applyBorder="1" applyAlignment="1">
      <alignment horizontal="center" vertical="center"/>
    </xf>
    <xf numFmtId="0" fontId="7" fillId="11" borderId="4" xfId="2" applyFont="1" applyFill="1" applyBorder="1" applyAlignment="1">
      <alignment horizontal="center" vertical="center"/>
    </xf>
    <xf numFmtId="0" fontId="15" fillId="10" borderId="4" xfId="2" applyFont="1" applyFill="1" applyBorder="1" applyAlignment="1">
      <alignment vertical="center"/>
    </xf>
    <xf numFmtId="0" fontId="7" fillId="11" borderId="4" xfId="2" applyFont="1" applyFill="1" applyBorder="1" applyAlignment="1">
      <alignment horizontal="center" vertical="center"/>
    </xf>
    <xf numFmtId="0" fontId="7" fillId="11" borderId="4" xfId="2" applyFont="1" applyFill="1" applyBorder="1" applyAlignment="1">
      <alignment horizontal="center" vertical="center"/>
    </xf>
    <xf numFmtId="0" fontId="4" fillId="0" borderId="4" xfId="2" applyFont="1" applyBorder="1" applyAlignment="1">
      <alignment horizontal="center" vertical="center" wrapText="1"/>
    </xf>
    <xf numFmtId="0" fontId="4" fillId="0" borderId="0" xfId="2"/>
    <xf numFmtId="0" fontId="7" fillId="0" borderId="0" xfId="2" applyFont="1" applyAlignment="1">
      <alignment vertical="center"/>
    </xf>
    <xf numFmtId="0" fontId="7" fillId="0" borderId="0" xfId="2" applyFont="1" applyAlignment="1">
      <alignment horizontal="center" vertical="center"/>
    </xf>
    <xf numFmtId="49" fontId="7" fillId="5" borderId="15" xfId="2" applyNumberFormat="1" applyFont="1" applyFill="1" applyBorder="1" applyAlignment="1">
      <alignment horizontal="left" vertical="center" wrapText="1"/>
    </xf>
    <xf numFmtId="0" fontId="15" fillId="7" borderId="5" xfId="7" applyFont="1" applyFill="1" applyBorder="1" applyAlignment="1">
      <alignment horizontal="left" vertical="center" wrapText="1"/>
    </xf>
    <xf numFmtId="0" fontId="15" fillId="7" borderId="4" xfId="2" applyFont="1" applyFill="1" applyBorder="1" applyAlignment="1">
      <alignment horizontal="left" vertical="center" wrapText="1"/>
    </xf>
    <xf numFmtId="0" fontId="7" fillId="7" borderId="4" xfId="2" applyFont="1" applyFill="1" applyBorder="1" applyAlignment="1">
      <alignment horizontal="center" vertical="center" wrapText="1"/>
    </xf>
    <xf numFmtId="0" fontId="7" fillId="9" borderId="4" xfId="2" applyFont="1" applyFill="1" applyBorder="1" applyAlignment="1">
      <alignment horizontal="center" vertical="center" wrapText="1"/>
    </xf>
    <xf numFmtId="0" fontId="7" fillId="7" borderId="17" xfId="2" applyFont="1" applyFill="1" applyBorder="1" applyAlignment="1">
      <alignment horizontal="center" vertical="center" wrapText="1"/>
    </xf>
    <xf numFmtId="0" fontId="7" fillId="3" borderId="0" xfId="2" applyFont="1" applyFill="1" applyAlignment="1">
      <alignment vertical="center"/>
    </xf>
    <xf numFmtId="0" fontId="7" fillId="7" borderId="0" xfId="2" applyFont="1" applyFill="1" applyAlignment="1">
      <alignment vertical="center"/>
    </xf>
    <xf numFmtId="0" fontId="15" fillId="3" borderId="4" xfId="2" applyFont="1" applyFill="1" applyBorder="1" applyAlignment="1">
      <alignment vertical="center"/>
    </xf>
    <xf numFmtId="0" fontId="7" fillId="7" borderId="7" xfId="2" applyFont="1" applyFill="1" applyBorder="1" applyAlignment="1">
      <alignment horizontal="center" vertical="center" wrapText="1"/>
    </xf>
    <xf numFmtId="0" fontId="15" fillId="7" borderId="5" xfId="7" applyFont="1" applyFill="1" applyBorder="1" applyAlignment="1">
      <alignment horizontal="left" vertical="center" wrapText="1"/>
    </xf>
    <xf numFmtId="0" fontId="15" fillId="7" borderId="5" xfId="7" applyFont="1" applyFill="1" applyBorder="1" applyAlignment="1">
      <alignment horizontal="left" vertical="center" wrapText="1"/>
    </xf>
    <xf numFmtId="0" fontId="4" fillId="0" borderId="0" xfId="2"/>
    <xf numFmtId="0" fontId="7" fillId="0" borderId="0" xfId="2" applyFont="1" applyAlignment="1">
      <alignment vertical="center"/>
    </xf>
    <xf numFmtId="0" fontId="7" fillId="0" borderId="0" xfId="2" applyFont="1" applyAlignment="1">
      <alignment horizontal="center" vertical="center"/>
    </xf>
    <xf numFmtId="49" fontId="7" fillId="5" borderId="15" xfId="2" applyNumberFormat="1" applyFont="1" applyFill="1" applyBorder="1" applyAlignment="1">
      <alignment horizontal="left" vertical="center" wrapText="1"/>
    </xf>
    <xf numFmtId="0" fontId="7" fillId="9" borderId="4" xfId="2" applyFont="1" applyFill="1" applyBorder="1" applyAlignment="1">
      <alignment horizontal="center" vertical="center" wrapText="1"/>
    </xf>
    <xf numFmtId="0" fontId="15" fillId="7" borderId="4" xfId="7" applyFont="1" applyFill="1" applyBorder="1" applyAlignment="1">
      <alignment vertical="center" wrapText="1"/>
    </xf>
    <xf numFmtId="0" fontId="7" fillId="3" borderId="0" xfId="2" applyFont="1" applyFill="1" applyAlignment="1">
      <alignment vertical="center"/>
    </xf>
    <xf numFmtId="0" fontId="7" fillId="7" borderId="0" xfId="2" applyFont="1" applyFill="1" applyAlignment="1">
      <alignment vertical="center"/>
    </xf>
    <xf numFmtId="0" fontId="15" fillId="3" borderId="18" xfId="7" applyFont="1" applyFill="1" applyBorder="1" applyAlignment="1">
      <alignment horizontal="left" vertical="center" wrapText="1"/>
    </xf>
    <xf numFmtId="0" fontId="15" fillId="3" borderId="4" xfId="2" applyFont="1" applyFill="1" applyBorder="1" applyAlignment="1">
      <alignment vertical="center"/>
    </xf>
    <xf numFmtId="0" fontId="7" fillId="3" borderId="4" xfId="2" applyFont="1" applyFill="1" applyBorder="1" applyAlignment="1">
      <alignment horizontal="center" vertical="center" wrapText="1"/>
    </xf>
    <xf numFmtId="49" fontId="7" fillId="5" borderId="4" xfId="2" applyNumberFormat="1" applyFont="1" applyFill="1" applyBorder="1" applyAlignment="1">
      <alignment horizontal="left" vertical="center" wrapText="1"/>
    </xf>
    <xf numFmtId="0" fontId="15" fillId="10" borderId="4" xfId="7" applyFont="1" applyFill="1" applyBorder="1" applyAlignment="1">
      <alignment vertical="center" wrapText="1"/>
    </xf>
    <xf numFmtId="0" fontId="0" fillId="0" borderId="0" xfId="0" applyAlignment="1">
      <alignment wrapText="1"/>
    </xf>
    <xf numFmtId="0" fontId="0" fillId="0" borderId="0" xfId="0" applyAlignment="1"/>
    <xf numFmtId="49" fontId="17" fillId="5" borderId="0" xfId="2" applyNumberFormat="1" applyFont="1" applyFill="1" applyBorder="1" applyAlignment="1">
      <alignment horizontal="center" vertical="center" wrapText="1"/>
    </xf>
    <xf numFmtId="0" fontId="7" fillId="3" borderId="4" xfId="2" applyFont="1" applyFill="1" applyBorder="1" applyAlignment="1">
      <alignment horizontal="center" vertical="center" wrapText="1"/>
    </xf>
    <xf numFmtId="49" fontId="9" fillId="2" borderId="0" xfId="5" applyNumberFormat="1" applyFont="1" applyBorder="1" applyAlignment="1" applyProtection="1">
      <alignment horizontal="center" vertical="center" wrapText="1"/>
    </xf>
    <xf numFmtId="0" fontId="7" fillId="7" borderId="0" xfId="2" applyFont="1" applyFill="1" applyBorder="1" applyAlignment="1">
      <alignment horizontal="center" vertical="center" wrapText="1"/>
    </xf>
    <xf numFmtId="0" fontId="7" fillId="0" borderId="0" xfId="7" applyAlignment="1">
      <alignment horizontal="right"/>
    </xf>
    <xf numFmtId="0" fontId="4" fillId="21" borderId="0" xfId="2" applyFill="1"/>
    <xf numFmtId="0" fontId="27" fillId="0" borderId="0" xfId="0" applyFont="1" applyAlignment="1">
      <alignment wrapText="1"/>
    </xf>
    <xf numFmtId="0" fontId="27" fillId="0" borderId="0" xfId="0" applyFont="1"/>
    <xf numFmtId="0" fontId="2" fillId="0" borderId="0" xfId="0" applyFont="1" applyAlignment="1">
      <alignment wrapText="1"/>
    </xf>
    <xf numFmtId="0" fontId="0" fillId="0" borderId="0" xfId="0"/>
    <xf numFmtId="0" fontId="1" fillId="0" borderId="0" xfId="0" applyFont="1" applyAlignment="1">
      <alignment wrapText="1"/>
    </xf>
    <xf numFmtId="0" fontId="7" fillId="0" borderId="19" xfId="2" applyFont="1" applyBorder="1" applyAlignment="1">
      <alignment horizontal="center" vertical="center"/>
    </xf>
    <xf numFmtId="0" fontId="7" fillId="11" borderId="4" xfId="2" applyFont="1" applyFill="1" applyBorder="1" applyAlignment="1">
      <alignment horizontal="center" vertical="center"/>
    </xf>
    <xf numFmtId="0" fontId="18" fillId="8" borderId="4" xfId="7" applyFont="1" applyFill="1" applyBorder="1" applyAlignment="1">
      <alignment horizontal="center" vertical="center"/>
    </xf>
    <xf numFmtId="0" fontId="14" fillId="8" borderId="4" xfId="2" applyFont="1" applyFill="1" applyBorder="1" applyAlignment="1">
      <alignment horizontal="center" vertical="center" wrapText="1"/>
    </xf>
    <xf numFmtId="0" fontId="7" fillId="4" borderId="7" xfId="2" applyFont="1" applyFill="1" applyBorder="1" applyAlignment="1">
      <alignment horizontal="center" vertical="center" wrapText="1"/>
    </xf>
    <xf numFmtId="0" fontId="7" fillId="4" borderId="8" xfId="2" applyFont="1" applyFill="1" applyBorder="1" applyAlignment="1">
      <alignment horizontal="center" vertical="center" wrapText="1"/>
    </xf>
    <xf numFmtId="0" fontId="7" fillId="4" borderId="9" xfId="2" applyFont="1" applyFill="1" applyBorder="1" applyAlignment="1">
      <alignment horizontal="center" vertical="center" wrapText="1"/>
    </xf>
    <xf numFmtId="0" fontId="7" fillId="0" borderId="0" xfId="2" applyFont="1" applyBorder="1" applyAlignment="1">
      <alignment horizontal="center" vertical="center" wrapText="1"/>
    </xf>
    <xf numFmtId="0" fontId="19" fillId="0" borderId="0" xfId="2" applyFont="1" applyAlignment="1">
      <alignment horizontal="center"/>
    </xf>
  </cellXfs>
  <cellStyles count="8">
    <cellStyle name="Excel Built-in Heading 1" xfId="1" xr:uid="{00000000-0005-0000-0000-000000000000}"/>
    <cellStyle name="Excel Built-in Heading 3" xfId="3" xr:uid="{00000000-0005-0000-0000-000001000000}"/>
    <cellStyle name="Excel Built-in Input" xfId="5" xr:uid="{00000000-0005-0000-0000-000002000000}"/>
    <cellStyle name="Hyperlink" xfId="4" builtinId="8"/>
    <cellStyle name="Normal" xfId="0" builtinId="0"/>
    <cellStyle name="Normal 2" xfId="2" xr:uid="{00000000-0005-0000-0000-000005000000}"/>
    <cellStyle name="Normal 2 2" xfId="7" xr:uid="{00000000-0005-0000-0000-000006000000}"/>
    <cellStyle name="Warning Text 2" xfId="6" xr:uid="{00000000-0005-0000-0000-000007000000}"/>
  </cellStyles>
  <dxfs count="1635">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ont>
        <strike val="0"/>
        <outline val="0"/>
        <shadow val="0"/>
        <u val="none"/>
        <vertAlign val="baseline"/>
        <name val="Consolas"/>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name val="Consolas"/>
        <scheme val="none"/>
      </font>
    </dxf>
    <dxf>
      <numFmt numFmtId="0" formatCode="General"/>
    </dxf>
    <dxf>
      <numFmt numFmtId="0" formatCode="General"/>
    </dxf>
    <dxf>
      <numFmt numFmtId="0" formatCode="General"/>
    </dxf>
    <dxf>
      <font>
        <b/>
        <i val="0"/>
        <strike val="0"/>
        <condense val="0"/>
        <extend val="0"/>
        <outline val="0"/>
        <shadow val="0"/>
        <u val="none"/>
        <vertAlign val="baseline"/>
        <sz val="10"/>
        <color rgb="FF000000"/>
        <name val="Arial"/>
        <scheme val="none"/>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B3A2C7"/>
        </patternFill>
      </fill>
    </dxf>
    <dxf>
      <fill>
        <patternFill>
          <bgColor rgb="FF93CDDD"/>
        </patternFill>
      </fill>
    </dxf>
    <dxf>
      <fill>
        <patternFill>
          <bgColor rgb="FFFAC09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AC090"/>
        </patternFill>
      </fill>
    </dxf>
    <dxf>
      <fill>
        <patternFill>
          <bgColor rgb="FF93CDDD"/>
        </patternFill>
      </fill>
    </dxf>
    <dxf>
      <fill>
        <patternFill>
          <bgColor rgb="FFB3A2C7"/>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DCE6F2"/>
        </patternFill>
      </fill>
    </dxf>
    <dxf>
      <fill>
        <patternFill>
          <bgColor rgb="FFF2DCDB"/>
        </patternFill>
      </fill>
    </dxf>
    <dxf>
      <fill>
        <patternFill>
          <bgColor rgb="FFFF0000"/>
        </patternFill>
      </fill>
    </dxf>
    <dxf>
      <fill>
        <patternFill>
          <bgColor rgb="FF00B050"/>
        </patternFill>
      </fill>
    </dxf>
    <dxf>
      <fill>
        <patternFill>
          <bgColor rgb="FF00B050"/>
        </patternFill>
      </fill>
    </dxf>
    <dxf>
      <fill>
        <patternFill>
          <bgColor rgb="FFFF0000"/>
        </patternFill>
      </fill>
    </dxf>
  </dxfs>
  <tableStyles count="0" defaultTableStyle="TableStyleMedium2" defaultPivotStyle="PivotStyleLight16"/>
  <colors>
    <mruColors>
      <color rgb="FF93FFFF"/>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2</xdr:col>
      <xdr:colOff>360</xdr:colOff>
      <xdr:row>0</xdr:row>
      <xdr:rowOff>0</xdr:rowOff>
    </xdr:from>
    <xdr:to>
      <xdr:col>9</xdr:col>
      <xdr:colOff>360899</xdr:colOff>
      <xdr:row>6</xdr:row>
      <xdr:rowOff>630898</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1441810" y="0"/>
          <a:ext cx="7897989" cy="2401460"/>
        </a:xfrm>
        <a:prstGeom prst="rect">
          <a:avLst/>
        </a:prstGeom>
        <a:solidFill>
          <a:srgbClr val="FFFFFF"/>
        </a:solidFill>
        <a:ln w="9360">
          <a:round/>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360</xdr:colOff>
      <xdr:row>0</xdr:row>
      <xdr:rowOff>0</xdr:rowOff>
    </xdr:from>
    <xdr:to>
      <xdr:col>11</xdr:col>
      <xdr:colOff>333000</xdr:colOff>
      <xdr:row>2</xdr:row>
      <xdr:rowOff>161640</xdr:rowOff>
    </xdr:to>
    <xdr:sp macro="" textlink="">
      <xdr:nvSpPr>
        <xdr:cNvPr id="8" name="CustomShape 1" hidden="1">
          <a:extLst>
            <a:ext uri="{FF2B5EF4-FFF2-40B4-BE49-F238E27FC236}">
              <a16:creationId xmlns:a16="http://schemas.microsoft.com/office/drawing/2014/main" id="{00000000-0008-0000-0100-000008000000}"/>
            </a:ext>
          </a:extLst>
        </xdr:cNvPr>
        <xdr:cNvSpPr/>
      </xdr:nvSpPr>
      <xdr:spPr>
        <a:xfrm>
          <a:off x="1441810" y="0"/>
          <a:ext cx="9197240" cy="65059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O58" totalsRowShown="0" headerRowDxfId="22">
  <autoFilter ref="A3:O58" xr:uid="{00000000-0009-0000-0100-000001000000}"/>
  <tableColumns count="15">
    <tableColumn id="1" xr3:uid="{00000000-0010-0000-0000-000001000000}" name="Address (dec)">
      <calculatedColumnFormula>HEX2DEC(MID(Table1[[#This Row],[Address (hex)]],3,4))</calculatedColumnFormula>
    </tableColumn>
    <tableColumn id="2" xr3:uid="{00000000-0010-0000-0000-000002000000}" name="Address (hex)" dataDxfId="21">
      <calculatedColumnFormula>"0x" &amp; DEC2HEX(Table1[[#This Row],[Address (dec)]],4)</calculatedColumnFormula>
    </tableColumn>
    <tableColumn id="3" xr3:uid="{00000000-0010-0000-0000-000003000000}" name="MSWord" dataDxfId="20">
      <calculatedColumnFormula>DEC2HEX(SUMIFS(MemoryView!$D$4:$D$103,MemoryView!$A$4:$A$103,"0x"&amp;DEC2HEX(Output!$A4+2,4)),4)</calculatedColumnFormula>
    </tableColumn>
    <tableColumn id="4" xr3:uid="{00000000-0010-0000-0000-000004000000}" name="LSWord" dataDxfId="19">
      <calculatedColumnFormula>DEC2HEX(SUMIFS(MemoryView!$D$4:$D$103,MemoryView!$A$4:$A$103,"0x"&amp;DEC2HEX(Output!$A4,4)),4)</calculatedColumnFormula>
    </tableColumn>
    <tableColumn id="5" xr3:uid="{00000000-0010-0000-0000-000005000000}" name="32b hex" dataDxfId="18">
      <calculatedColumnFormula>LOWER(CONCATENATE(C4,D4))</calculatedColumnFormula>
    </tableColumn>
    <tableColumn id="7" xr3:uid="{00000000-0010-0000-0000-000007000000}" name="DW_ADDRESS"/>
    <tableColumn id="10" xr3:uid="{00000000-0010-0000-0000-00000A000000}" name="ECC[6]" dataDxfId="17">
      <calculatedColumnFormula>MOD(LEN(SUBSTITUTE( SUBSTITUTE( SUBSTITUTE( SUBSTITUTE( SUBSTITUTE( SUBSTITUTE( SUBSTITUTE( SUBSTITUTE(
    DEC2HEX(_xlfn.BITAND(QUOTIENT(Table1[[#This Row],[Address (dec)]],4),HEX2DEC(G$1)),5)&amp;DEC2HEX(_xlfn.BITAND(HEX2DEC(Table1[[#This Row],[32b hex]]),HEX2DEC(G$2)),8),
"0", ""), "3", ""), "5", ""), "6", ""), "9", ""), "A", ""), "C", ""), "F", "")),2)</calculatedColumnFormula>
    </tableColumn>
    <tableColumn id="11" xr3:uid="{00000000-0010-0000-0000-00000B000000}" name="ECC[5]" dataDxfId="16">
      <calculatedColumnFormula>MOD(LEN(SUBSTITUTE( SUBSTITUTE( SUBSTITUTE( SUBSTITUTE( SUBSTITUTE( SUBSTITUTE( SUBSTITUTE( SUBSTITUTE(
    DEC2HEX(_xlfn.BITAND(QUOTIENT(Table1[[#This Row],[Address (dec)]],4),HEX2DEC(H$1)),5)&amp;DEC2HEX(_xlfn.BITAND(HEX2DEC(Table1[[#This Row],[32b hex]]),HEX2DEC(H$2)),8),
"0", ""), "3", ""), "5", ""), "6", ""), "9", ""), "A", ""), "C", ""), "F", "")),2)</calculatedColumnFormula>
    </tableColumn>
    <tableColumn id="12" xr3:uid="{00000000-0010-0000-0000-00000C000000}" name="ECC[4]" dataDxfId="15">
      <calculatedColumnFormula>MOD(LEN(SUBSTITUTE( SUBSTITUTE( SUBSTITUTE( SUBSTITUTE( SUBSTITUTE( SUBSTITUTE( SUBSTITUTE( SUBSTITUTE(
    DEC2HEX(_xlfn.BITAND(QUOTIENT(Table1[[#This Row],[Address (dec)]],4),HEX2DEC(I$1)),5)&amp;DEC2HEX(_xlfn.BITAND(HEX2DEC(Table1[[#This Row],[32b hex]]),HEX2DEC(I$2)),8),
"0", ""), "3", ""), "5", ""), "6", ""), "9", ""), "A", ""), "C", ""), "F", "")),2)</calculatedColumnFormula>
    </tableColumn>
    <tableColumn id="13" xr3:uid="{00000000-0010-0000-0000-00000D000000}" name="ECC[3]" dataDxfId="14">
      <calculatedColumnFormula>MOD(LEN(SUBSTITUTE( SUBSTITUTE( SUBSTITUTE( SUBSTITUTE( SUBSTITUTE( SUBSTITUTE( SUBSTITUTE( SUBSTITUTE(
    DEC2HEX(_xlfn.BITAND(QUOTIENT(Table1[[#This Row],[Address (dec)]],4),HEX2DEC(J$1)),5)&amp;DEC2HEX(_xlfn.BITAND(HEX2DEC(Table1[[#This Row],[32b hex]]),HEX2DEC(J$2)),8),
"0", ""), "3", ""), "5", ""), "6", ""), "9", ""), "A", ""), "C", ""), "F", "")),2)</calculatedColumnFormula>
    </tableColumn>
    <tableColumn id="14" xr3:uid="{00000000-0010-0000-0000-00000E000000}" name="ECC[2]" dataDxfId="13">
      <calculatedColumnFormula>MOD(LEN(SUBSTITUTE( SUBSTITUTE( SUBSTITUTE( SUBSTITUTE( SUBSTITUTE( SUBSTITUTE( SUBSTITUTE( SUBSTITUTE(
    DEC2HEX(_xlfn.BITAND(QUOTIENT(Table1[[#This Row],[Address (dec)]],4),HEX2DEC(K$1)),5)&amp;DEC2HEX(_xlfn.BITAND(HEX2DEC(Table1[[#This Row],[32b hex]]),HEX2DEC(K$2)),8),
"0", ""), "3", ""), "5", ""), "6", ""), "9", ""), "A", ""), "C", ""), "F", "")),2)</calculatedColumnFormula>
    </tableColumn>
    <tableColumn id="15" xr3:uid="{00000000-0010-0000-0000-00000F000000}" name="ECC[1]" dataDxfId="12">
      <calculatedColumnFormula>MOD(LEN(SUBSTITUTE( SUBSTITUTE( SUBSTITUTE( SUBSTITUTE( SUBSTITUTE( SUBSTITUTE( SUBSTITUTE( SUBSTITUTE(
    DEC2HEX(_xlfn.BITAND(QUOTIENT(Table1[[#This Row],[Address (dec)]],4),HEX2DEC(L$1)),5)&amp;DEC2HEX(_xlfn.BITAND(HEX2DEC(Table1[[#This Row],[32b hex]]),HEX2DEC(L$2)),8),
"0", ""), "3", ""), "5", ""), "6", ""), "9", ""), "A", ""), "C", ""), "F", "")),2)</calculatedColumnFormula>
    </tableColumn>
    <tableColumn id="16" xr3:uid="{00000000-0010-0000-0000-000010000000}" name="ECC[0]" dataDxfId="11">
      <calculatedColumnFormula>MOD(LEN(SUBSTITUTE( SUBSTITUTE( SUBSTITUTE( SUBSTITUTE( SUBSTITUTE( SUBSTITUTE( SUBSTITUTE( SUBSTITUTE(
    DEC2HEX(_xlfn.BITAND(QUOTIENT(Table1[[#This Row],[Address (dec)]],4),HEX2DEC(M$1)),5)&amp;DEC2HEX(_xlfn.BITAND(HEX2DEC(Table1[[#This Row],[32b hex]]),HEX2DEC(M$2)),8),
"0", ""), "3", ""), "5", ""), "6", ""), "9", ""), "A", ""), "C", ""), "F", "")),2)</calculatedColumnFormula>
    </tableColumn>
    <tableColumn id="17" xr3:uid="{00000000-0010-0000-0000-000011000000}" name="ECC (hex)" dataDxfId="10">
      <calculatedColumnFormula>BIN2HEX(Table1[[#This Row],[ECC'[6']]]&amp;Table1[[#This Row],[ECC'[5']]]&amp;Table1[[#This Row],[ECC'[4']]]&amp;Table1[[#This Row],[ECC'[3']]]&amp;Table1[[#This Row],[ECC'[2']]]&amp;Table1[[#This Row],[ECC'[1']]]&amp;Table1[[#This Row],[ECC'[0']]],2)</calculatedColumnFormula>
    </tableColumn>
    <tableColumn id="18" xr3:uid="{00000000-0010-0000-0000-000012000000}" name="DATA_39 (hex)2" dataDxfId="9">
      <calculatedColumnFormula>Table1[[#This Row],[ECC (hex)]]&amp;Table1[[#This Row],[32b hex]]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4:I85"/>
  <sheetViews>
    <sheetView topLeftCell="A4" zoomScaleNormal="100" workbookViewId="0">
      <selection activeCell="C30" sqref="C30"/>
    </sheetView>
  </sheetViews>
  <sheetFormatPr defaultColWidth="8.85546875" defaultRowHeight="12.75"/>
  <cols>
    <col min="1" max="1" width="8.85546875" style="2"/>
    <col min="2" max="2" width="60.85546875" style="2" customWidth="1"/>
    <col min="3" max="3" width="134.85546875" style="2" customWidth="1"/>
    <col min="4" max="16384" width="8.85546875" style="2"/>
  </cols>
  <sheetData>
    <row r="4" spans="2:3" ht="20.25" thickBot="1">
      <c r="B4" s="1" t="s">
        <v>440</v>
      </c>
      <c r="C4" s="1"/>
    </row>
    <row r="6" spans="2:3" ht="15.75" thickBot="1">
      <c r="B6" s="3" t="s">
        <v>0</v>
      </c>
      <c r="C6" s="3" t="s">
        <v>1</v>
      </c>
    </row>
    <row r="7" spans="2:3" ht="12.75" customHeight="1"/>
    <row r="8" spans="2:3" ht="12.75" customHeight="1">
      <c r="B8" s="4" t="s">
        <v>2</v>
      </c>
      <c r="C8" s="2" t="s">
        <v>3</v>
      </c>
    </row>
    <row r="9" spans="2:3" ht="12.75" customHeight="1">
      <c r="B9" s="4" t="s">
        <v>4</v>
      </c>
      <c r="C9" s="5" t="s">
        <v>5</v>
      </c>
    </row>
    <row r="10" spans="2:3" ht="12.75" customHeight="1">
      <c r="B10" s="4" t="s">
        <v>6</v>
      </c>
      <c r="C10" s="5" t="s">
        <v>7</v>
      </c>
    </row>
    <row r="11" spans="2:3" ht="12.75" customHeight="1"/>
    <row r="12" spans="2:3" ht="12.75" customHeight="1"/>
    <row r="13" spans="2:3" ht="12.75" customHeight="1"/>
    <row r="14" spans="2:3" ht="12.75" customHeight="1"/>
    <row r="15" spans="2:3" ht="12.75" customHeight="1"/>
    <row r="16" spans="2:3" ht="12.75" customHeight="1"/>
    <row r="17" spans="2:7" ht="12.75" customHeight="1"/>
    <row r="18" spans="2:7" ht="15.75" thickBot="1">
      <c r="B18" s="3" t="s">
        <v>8</v>
      </c>
      <c r="C18" s="3" t="s">
        <v>9</v>
      </c>
    </row>
    <row r="19" spans="2:7" ht="12.75" customHeight="1"/>
    <row r="20" spans="2:7" ht="12.75" customHeight="1">
      <c r="B20" s="6" t="s">
        <v>10</v>
      </c>
      <c r="C20" s="7" t="str">
        <f ca="1">LEFT(CELL("filename",A1),FIND("[",CELL("filename",A1))-1)</f>
        <v>C:\Users\iic\Downloads\</v>
      </c>
      <c r="E20" s="2" t="s">
        <v>441</v>
      </c>
    </row>
    <row r="21" spans="2:7" ht="12.75" customHeight="1">
      <c r="B21" s="6" t="s">
        <v>11</v>
      </c>
      <c r="C21" s="8" t="str">
        <f ca="1">C20&amp;C30</f>
        <v>C:\Users\iic\Downloads\PRES_ptat_TDEV_tung_diff</v>
      </c>
    </row>
    <row r="22" spans="2:7" ht="12.75" customHeight="1">
      <c r="B22" s="6" t="s">
        <v>430</v>
      </c>
      <c r="C22" s="8" t="b">
        <v>0</v>
      </c>
    </row>
    <row r="23" spans="2:7" ht="12.75" customHeight="1">
      <c r="C23" s="5"/>
    </row>
    <row r="24" spans="2:7" ht="12.75" customHeight="1">
      <c r="C24" s="2" t="str">
        <f ca="1">LEFT(CELL("filename",A1),FIND("[",CELL("filename",A1))-1)</f>
        <v>C:\Users\iic\Downloads\</v>
      </c>
    </row>
    <row r="25" spans="2:7" ht="12.75" customHeight="1">
      <c r="G25" s="9"/>
    </row>
    <row r="26" spans="2:7" ht="12.75" customHeight="1"/>
    <row r="27" spans="2:7" ht="12.75" customHeight="1"/>
    <row r="28" spans="2:7" ht="15.75" thickBot="1">
      <c r="B28" s="3" t="s">
        <v>12</v>
      </c>
      <c r="C28" s="3" t="s">
        <v>13</v>
      </c>
    </row>
    <row r="29" spans="2:7" ht="12.75" customHeight="1"/>
    <row r="30" spans="2:7" ht="12.75" customHeight="1">
      <c r="B30" s="10" t="s">
        <v>14</v>
      </c>
      <c r="C30" s="29" t="s">
        <v>742</v>
      </c>
      <c r="E30" s="11" t="s">
        <v>15</v>
      </c>
    </row>
    <row r="31" spans="2:7" ht="12.75" customHeight="1">
      <c r="B31" s="10" t="s">
        <v>16</v>
      </c>
      <c r="C31" s="8" t="str">
        <f ca="1">C21&amp;"\eeprom_"&amp;LOWER(C30)&amp;".sv"</f>
        <v>C:\Users\iic\Downloads\PRES_ptat_TDEV_tung_diff\eeprom_pres_ptat_tdev_tung_diff.sv</v>
      </c>
      <c r="E31" s="11" t="s">
        <v>15</v>
      </c>
    </row>
    <row r="32" spans="2:7" ht="12.75" customHeight="1">
      <c r="B32" s="10" t="s">
        <v>17</v>
      </c>
      <c r="C32" s="8" t="str">
        <f ca="1">C21&amp;"\eeprom_map.sv"</f>
        <v>C:\Users\iic\Downloads\PRES_ptat_TDEV_tung_diff\eeprom_map.sv</v>
      </c>
      <c r="E32" s="11" t="s">
        <v>15</v>
      </c>
    </row>
    <row r="33" spans="2:9" ht="12.75" customHeight="1">
      <c r="B33" s="10" t="s">
        <v>18</v>
      </c>
      <c r="C33" s="8" t="str">
        <f ca="1">C21&amp;"\eeprom_defines.v"</f>
        <v>C:\Users\iic\Downloads\PRES_ptat_TDEV_tung_diff\eeprom_defines.v</v>
      </c>
      <c r="E33" s="11" t="s">
        <v>15</v>
      </c>
      <c r="I33" s="2" t="s">
        <v>19</v>
      </c>
    </row>
    <row r="34" spans="2:9" ht="12.75" customHeight="1">
      <c r="B34" s="10" t="s">
        <v>421</v>
      </c>
      <c r="C34" s="8" t="str">
        <f ca="1">$C$21&amp;"\eeprom_"&amp;LOWER($C$30)&amp;".hex"</f>
        <v>C:\Users\iic\Downloads\PRES_ptat_TDEV_tung_diff\eeprom_pres_ptat_tdev_tung_diff.hex</v>
      </c>
    </row>
    <row r="35" spans="2:9" ht="12.75" customHeight="1">
      <c r="B35" s="10" t="s">
        <v>422</v>
      </c>
      <c r="C35" s="8" t="str">
        <f ca="1">$C$21&amp;"\eeprom_"&amp;LOWER($C$30)&amp;".memh"</f>
        <v>C:\Users\iic\Downloads\PRES_ptat_TDEV_tung_diff\eeprom_pres_ptat_tdev_tung_diff.memh</v>
      </c>
    </row>
    <row r="36" spans="2:9" ht="12.75" customHeight="1">
      <c r="B36" s="10" t="s">
        <v>423</v>
      </c>
      <c r="C36" s="8" t="str">
        <f ca="1">$C$21&amp;"\eeprom_"&amp;LOWER($C$30)&amp;"_ecc.memh"</f>
        <v>C:\Users\iic\Downloads\PRES_ptat_TDEV_tung_diff\eeprom_pres_ptat_tdev_tung_diff_ecc.memh</v>
      </c>
    </row>
    <row r="37" spans="2:9" ht="12.75" customHeight="1">
      <c r="B37" s="166" t="s">
        <v>738</v>
      </c>
      <c r="C37" s="167" t="str">
        <f ca="1">C21&amp;"\"</f>
        <v>C:\Users\iic\Downloads\PRES_ptat_TDEV_tung_diff\</v>
      </c>
    </row>
    <row r="38" spans="2:9" ht="12.75" customHeight="1"/>
    <row r="39" spans="2:9" ht="12.75" customHeight="1"/>
    <row r="40" spans="2:9" ht="12.75" customHeight="1"/>
    <row r="41" spans="2:9" ht="12.75" customHeight="1"/>
    <row r="42" spans="2:9" ht="12.75" customHeight="1"/>
    <row r="43" spans="2:9" ht="12.75" customHeight="1"/>
    <row r="44" spans="2:9" ht="12.75" customHeight="1"/>
    <row r="45" spans="2:9" ht="12.75" customHeight="1"/>
    <row r="46" spans="2:9" ht="12.75" customHeight="1"/>
    <row r="47" spans="2:9" ht="12.75" customHeight="1"/>
    <row r="48" spans="2: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sheetData>
  <hyperlinks>
    <hyperlink ref="B8" location="'NVRAM map'!A1" display="NVRAM map" xr:uid="{00000000-0004-0000-0000-000000000000}"/>
    <hyperlink ref="B9" location="MemoryView!A1" display="MemoryView" xr:uid="{00000000-0004-0000-0000-000001000000}"/>
    <hyperlink ref="B10" location="FPC!A1" display="FPC" xr:uid="{00000000-0004-0000-0000-000002000000}"/>
  </hyperlinks>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ErrorMessage="1" errorTitle="Invalid entry" error="Please select from the drop down list" xr:uid="{EA685DAE-2417-48FC-90B5-2809FC9F7D88}">
          <x14:formula1>
            <xm:f>'NVRAM map'!$O$2:$V$2</xm:f>
          </x14:formula1>
          <xm:sqref>C30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MJ108"/>
  <sheetViews>
    <sheetView zoomScale="85" zoomScaleNormal="85" workbookViewId="0">
      <pane ySplit="3" topLeftCell="A4" activePane="bottomLeft" state="frozen"/>
      <selection pane="bottomLeft" activeCell="D1" sqref="D1:E1"/>
    </sheetView>
  </sheetViews>
  <sheetFormatPr defaultColWidth="9.140625" defaultRowHeight="12.75"/>
  <cols>
    <col min="1" max="3" width="9.140625" style="12"/>
    <col min="4" max="6" width="9.140625" style="22"/>
    <col min="7" max="7" width="36.140625" style="12" customWidth="1"/>
    <col min="8" max="23" width="16.7109375" style="44" customWidth="1"/>
    <col min="24" max="28" width="9.140625" style="44"/>
    <col min="29" max="38" width="9.140625" style="12"/>
    <col min="39" max="54" width="3.140625" style="12" customWidth="1"/>
    <col min="55" max="56" width="9.140625" style="12"/>
    <col min="57" max="57" width="17.5703125" style="12" customWidth="1"/>
    <col min="58" max="58" width="9.140625" style="12"/>
    <col min="59" max="59" width="62.140625" style="12" customWidth="1"/>
    <col min="60" max="1024" width="9.140625" style="12"/>
    <col min="1025" max="16384" width="9.140625" style="2"/>
  </cols>
  <sheetData>
    <row r="1" spans="1:59">
      <c r="D1" s="174" t="str">
        <f>'NVRAM map'!M1</f>
        <v>PRES_ptat_TDEV_tung_diff</v>
      </c>
      <c r="E1" s="174"/>
    </row>
    <row r="2" spans="1:59" ht="12.75" customHeight="1">
      <c r="A2" s="175" t="s">
        <v>252</v>
      </c>
      <c r="B2" s="175"/>
      <c r="C2" s="175"/>
      <c r="D2" s="175" t="s">
        <v>253</v>
      </c>
      <c r="E2" s="175"/>
      <c r="F2" s="71"/>
      <c r="G2" s="176" t="s">
        <v>30</v>
      </c>
      <c r="H2" s="176" t="s">
        <v>254</v>
      </c>
      <c r="I2" s="176"/>
      <c r="J2" s="176"/>
      <c r="K2" s="176"/>
      <c r="L2" s="176"/>
      <c r="M2" s="176"/>
      <c r="N2" s="176"/>
      <c r="O2" s="176"/>
      <c r="P2" s="176"/>
      <c r="Q2" s="176"/>
      <c r="R2" s="176"/>
      <c r="S2" s="176"/>
      <c r="T2" s="176"/>
      <c r="U2" s="176"/>
      <c r="V2" s="176"/>
      <c r="W2" s="176"/>
      <c r="X2" s="176" t="s">
        <v>255</v>
      </c>
      <c r="AC2" s="12" t="b">
        <f ca="1">AND(AC3:AC108)</f>
        <v>1</v>
      </c>
      <c r="AD2" s="12" t="s">
        <v>256</v>
      </c>
      <c r="AJ2" s="12" t="b">
        <f ca="1">AND(AJ3:AJ108)</f>
        <v>1</v>
      </c>
      <c r="AK2" s="12" t="s">
        <v>257</v>
      </c>
      <c r="AM2" s="173" t="s">
        <v>258</v>
      </c>
      <c r="AN2" s="173"/>
      <c r="AO2" s="173"/>
      <c r="AP2" s="173"/>
      <c r="AQ2" s="173"/>
      <c r="AR2" s="173"/>
      <c r="AS2" s="173"/>
      <c r="AT2" s="173"/>
      <c r="AU2" s="173"/>
      <c r="AV2" s="173"/>
      <c r="AW2" s="173"/>
      <c r="AX2" s="173"/>
      <c r="AY2" s="173"/>
      <c r="AZ2" s="173"/>
      <c r="BA2" s="173"/>
      <c r="BB2" s="173"/>
      <c r="BG2" s="34" t="s">
        <v>259</v>
      </c>
    </row>
    <row r="3" spans="1:59">
      <c r="A3" s="72" t="s">
        <v>260</v>
      </c>
      <c r="B3" s="72" t="s">
        <v>261</v>
      </c>
      <c r="C3" s="72" t="s">
        <v>261</v>
      </c>
      <c r="D3" s="73" t="s">
        <v>261</v>
      </c>
      <c r="E3" s="73" t="s">
        <v>260</v>
      </c>
      <c r="F3" s="73" t="s">
        <v>260</v>
      </c>
      <c r="G3" s="176"/>
      <c r="H3" s="74">
        <v>15</v>
      </c>
      <c r="I3" s="75">
        <v>14</v>
      </c>
      <c r="J3" s="75">
        <v>13</v>
      </c>
      <c r="K3" s="76">
        <v>12</v>
      </c>
      <c r="L3" s="74">
        <v>11</v>
      </c>
      <c r="M3" s="75">
        <v>10</v>
      </c>
      <c r="N3" s="75">
        <v>9</v>
      </c>
      <c r="O3" s="77">
        <v>8</v>
      </c>
      <c r="P3" s="78">
        <v>7</v>
      </c>
      <c r="Q3" s="75">
        <v>6</v>
      </c>
      <c r="R3" s="75">
        <v>5</v>
      </c>
      <c r="S3" s="77">
        <v>4</v>
      </c>
      <c r="T3" s="78">
        <v>3</v>
      </c>
      <c r="U3" s="75">
        <v>2</v>
      </c>
      <c r="V3" s="75">
        <v>1</v>
      </c>
      <c r="W3" s="77">
        <v>0</v>
      </c>
      <c r="X3" s="176"/>
      <c r="AF3" s="12" t="s">
        <v>262</v>
      </c>
      <c r="AG3" s="12" t="s">
        <v>263</v>
      </c>
      <c r="AI3" s="12" t="s">
        <v>264</v>
      </c>
      <c r="AJ3" s="12" t="s">
        <v>265</v>
      </c>
      <c r="AK3" s="12" t="s">
        <v>266</v>
      </c>
      <c r="AM3" s="79">
        <v>15</v>
      </c>
      <c r="AN3" s="80">
        <v>14</v>
      </c>
      <c r="AO3" s="80">
        <v>13</v>
      </c>
      <c r="AP3" s="80">
        <v>12</v>
      </c>
      <c r="AQ3" s="80">
        <v>11</v>
      </c>
      <c r="AR3" s="80">
        <v>10</v>
      </c>
      <c r="AS3" s="80">
        <v>9</v>
      </c>
      <c r="AT3" s="80">
        <v>8</v>
      </c>
      <c r="AU3" s="80">
        <v>7</v>
      </c>
      <c r="AV3" s="80">
        <v>6</v>
      </c>
      <c r="AW3" s="80">
        <v>5</v>
      </c>
      <c r="AX3" s="80">
        <v>4</v>
      </c>
      <c r="AY3" s="80">
        <v>3</v>
      </c>
      <c r="AZ3" s="80">
        <v>2</v>
      </c>
      <c r="BA3" s="80">
        <v>1</v>
      </c>
      <c r="BB3" s="81">
        <v>0</v>
      </c>
      <c r="BG3" s="45" t="s">
        <v>267</v>
      </c>
    </row>
    <row r="4" spans="1:59" ht="25.5">
      <c r="A4" s="82" t="s">
        <v>62</v>
      </c>
      <c r="B4" s="82">
        <v>0</v>
      </c>
      <c r="C4" s="82">
        <v>0</v>
      </c>
      <c r="D4" s="83">
        <f ca="1">SUMIF('NVRAM map'!$AF$3:$AF$319,A4,'NVRAM map'!$AN$3:$AN$319)</f>
        <v>291</v>
      </c>
      <c r="E4" s="84" t="str">
        <f t="shared" ref="E4:E67" ca="1" si="0">DEC2HEX(D4,4)</f>
        <v>0123</v>
      </c>
      <c r="F4" s="85" t="str">
        <f t="shared" ref="F4:F6" ca="1" si="1">E4</f>
        <v>0123</v>
      </c>
      <c r="G4" s="86" t="str">
        <f>VLOOKUP(MemoryView!A4,'NVRAM map'!$AD$3:$AE$319,2,0)</f>
        <v>EE_CHECKSUM</v>
      </c>
      <c r="H4" s="87" t="str">
        <f t="array" aca="1" ref="H4" ca="1">IF(ISNA(INDEX('NVRAM map'!$AF$3:$AG$319,MATCH(1,('NVRAM map'!$AF$3:$AF$319=$A4)*('NVRAM map'!$AI$3:$AI$319&gt;=H$3)*('NVRAM map'!$AJ$3:$AJ$319&lt;=H$3),0),2)),"-",INDEX('NVRAM map'!$AF$3:$AG$319,MATCH(1,('NVRAM map'!$AF$3:$AF$319=$A4)*('NVRAM map'!$AI$3:$AI$319&gt;=H$3)*('NVRAM map'!$AJ$3:$AJ$319&lt;=H$3),0),2))</f>
        <v>EEPROM_CHECKSUM</v>
      </c>
      <c r="I4" s="87" t="str">
        <f t="array" aca="1" ref="I4" ca="1">IF(ISNA(INDEX('NVRAM map'!$AF$3:$AG$319,MATCH(1,('NVRAM map'!$AF$3:$AF$319=$A4)*('NVRAM map'!$AI$3:$AI$319&gt;=I$3)*('NVRAM map'!$AJ$3:$AJ$319&lt;=I$3),0),2)),"-",INDEX('NVRAM map'!$AF$3:$AG$319,MATCH(1,('NVRAM map'!$AF$3:$AF$319=$A4)*('NVRAM map'!$AI$3:$AI$319&gt;=I$3)*('NVRAM map'!$AJ$3:$AJ$319&lt;=I$3),0),2))</f>
        <v>EEPROM_CHECKSUM</v>
      </c>
      <c r="J4" s="87" t="str">
        <f t="array" aca="1" ref="J4" ca="1">IF(ISNA(INDEX('NVRAM map'!$AF$3:$AG$319,MATCH(1,('NVRAM map'!$AF$3:$AF$319=$A4)*('NVRAM map'!$AI$3:$AI$319&gt;=J$3)*('NVRAM map'!$AJ$3:$AJ$319&lt;=J$3),0),2)),"-",INDEX('NVRAM map'!$AF$3:$AG$319,MATCH(1,('NVRAM map'!$AF$3:$AF$319=$A4)*('NVRAM map'!$AI$3:$AI$319&gt;=J$3)*('NVRAM map'!$AJ$3:$AJ$319&lt;=J$3),0),2))</f>
        <v>EEPROM_CHECKSUM</v>
      </c>
      <c r="K4" s="87" t="str">
        <f t="array" aca="1" ref="K4" ca="1">IF(ISNA(INDEX('NVRAM map'!$AF$3:$AG$319,MATCH(1,('NVRAM map'!$AF$3:$AF$319=$A4)*('NVRAM map'!$AI$3:$AI$319&gt;=K$3)*('NVRAM map'!$AJ$3:$AJ$319&lt;=K$3),0),2)),"-",INDEX('NVRAM map'!$AF$3:$AG$319,MATCH(1,('NVRAM map'!$AF$3:$AF$319=$A4)*('NVRAM map'!$AI$3:$AI$319&gt;=K$3)*('NVRAM map'!$AJ$3:$AJ$319&lt;=K$3),0),2))</f>
        <v>EEPROM_CHECKSUM</v>
      </c>
      <c r="L4" s="87" t="str">
        <f t="array" aca="1" ref="L4" ca="1">IF(ISNA(INDEX('NVRAM map'!$AF$3:$AG$319,MATCH(1,('NVRAM map'!$AF$3:$AF$319=$A4)*('NVRAM map'!$AI$3:$AI$319&gt;=L$3)*('NVRAM map'!$AJ$3:$AJ$319&lt;=L$3),0),2)),"-",INDEX('NVRAM map'!$AF$3:$AG$319,MATCH(1,('NVRAM map'!$AF$3:$AF$319=$A4)*('NVRAM map'!$AI$3:$AI$319&gt;=L$3)*('NVRAM map'!$AJ$3:$AJ$319&lt;=L$3),0),2))</f>
        <v>EEPROM_CHECKSUM</v>
      </c>
      <c r="M4" s="87" t="str">
        <f t="array" aca="1" ref="M4" ca="1">IF(ISNA(INDEX('NVRAM map'!$AF$3:$AG$319,MATCH(1,('NVRAM map'!$AF$3:$AF$319=$A4)*('NVRAM map'!$AI$3:$AI$319&gt;=M$3)*('NVRAM map'!$AJ$3:$AJ$319&lt;=M$3),0),2)),"-",INDEX('NVRAM map'!$AF$3:$AG$319,MATCH(1,('NVRAM map'!$AF$3:$AF$319=$A4)*('NVRAM map'!$AI$3:$AI$319&gt;=M$3)*('NVRAM map'!$AJ$3:$AJ$319&lt;=M$3),0),2))</f>
        <v>EEPROM_CHECKSUM</v>
      </c>
      <c r="N4" s="87" t="str">
        <f t="array" aca="1" ref="N4" ca="1">IF(ISNA(INDEX('NVRAM map'!$AF$3:$AG$319,MATCH(1,('NVRAM map'!$AF$3:$AF$319=$A4)*('NVRAM map'!$AI$3:$AI$319&gt;=N$3)*('NVRAM map'!$AJ$3:$AJ$319&lt;=N$3),0),2)),"-",INDEX('NVRAM map'!$AF$3:$AG$319,MATCH(1,('NVRAM map'!$AF$3:$AF$319=$A4)*('NVRAM map'!$AI$3:$AI$319&gt;=N$3)*('NVRAM map'!$AJ$3:$AJ$319&lt;=N$3),0),2))</f>
        <v>EEPROM_CHECKSUM</v>
      </c>
      <c r="O4" s="87" t="str">
        <f t="array" aca="1" ref="O4" ca="1">IF(ISNA(INDEX('NVRAM map'!$AF$3:$AG$319,MATCH(1,('NVRAM map'!$AF$3:$AF$319=$A4)*('NVRAM map'!$AI$3:$AI$319&gt;=O$3)*('NVRAM map'!$AJ$3:$AJ$319&lt;=O$3),0),2)),"-",INDEX('NVRAM map'!$AF$3:$AG$319,MATCH(1,('NVRAM map'!$AF$3:$AF$319=$A4)*('NVRAM map'!$AI$3:$AI$319&gt;=O$3)*('NVRAM map'!$AJ$3:$AJ$319&lt;=O$3),0),2))</f>
        <v>EEPROM_CHECKSUM</v>
      </c>
      <c r="P4" s="87" t="str">
        <f t="array" aca="1" ref="P4" ca="1">IF(ISNA(INDEX('NVRAM map'!$AF$3:$AG$319,MATCH(1,('NVRAM map'!$AF$3:$AF$319=$A4)*('NVRAM map'!$AI$3:$AI$319&gt;=P$3)*('NVRAM map'!$AJ$3:$AJ$319&lt;=P$3),0),2)),"-",INDEX('NVRAM map'!$AF$3:$AG$319,MATCH(1,('NVRAM map'!$AF$3:$AF$319=$A4)*('NVRAM map'!$AI$3:$AI$319&gt;=P$3)*('NVRAM map'!$AJ$3:$AJ$319&lt;=P$3),0),2))</f>
        <v>EEPROM_CHECKSUM</v>
      </c>
      <c r="Q4" s="87" t="str">
        <f t="array" aca="1" ref="Q4" ca="1">IF(ISNA(INDEX('NVRAM map'!$AF$3:$AG$319,MATCH(1,('NVRAM map'!$AF$3:$AF$319=$A4)*('NVRAM map'!$AI$3:$AI$319&gt;=Q$3)*('NVRAM map'!$AJ$3:$AJ$319&lt;=Q$3),0),2)),"-",INDEX('NVRAM map'!$AF$3:$AG$319,MATCH(1,('NVRAM map'!$AF$3:$AF$319=$A4)*('NVRAM map'!$AI$3:$AI$319&gt;=Q$3)*('NVRAM map'!$AJ$3:$AJ$319&lt;=Q$3),0),2))</f>
        <v>EEPROM_CHECKSUM</v>
      </c>
      <c r="R4" s="87" t="str">
        <f t="array" aca="1" ref="R4" ca="1">IF(ISNA(INDEX('NVRAM map'!$AF$3:$AG$319,MATCH(1,('NVRAM map'!$AF$3:$AF$319=$A4)*('NVRAM map'!$AI$3:$AI$319&gt;=R$3)*('NVRAM map'!$AJ$3:$AJ$319&lt;=R$3),0),2)),"-",INDEX('NVRAM map'!$AF$3:$AG$319,MATCH(1,('NVRAM map'!$AF$3:$AF$319=$A4)*('NVRAM map'!$AI$3:$AI$319&gt;=R$3)*('NVRAM map'!$AJ$3:$AJ$319&lt;=R$3),0),2))</f>
        <v>EEPROM_CHECKSUM</v>
      </c>
      <c r="S4" s="87" t="str">
        <f t="array" aca="1" ref="S4" ca="1">IF(ISNA(INDEX('NVRAM map'!$AF$3:$AG$319,MATCH(1,('NVRAM map'!$AF$3:$AF$319=$A4)*('NVRAM map'!$AI$3:$AI$319&gt;=S$3)*('NVRAM map'!$AJ$3:$AJ$319&lt;=S$3),0),2)),"-",INDEX('NVRAM map'!$AF$3:$AG$319,MATCH(1,('NVRAM map'!$AF$3:$AF$319=$A4)*('NVRAM map'!$AI$3:$AI$319&gt;=S$3)*('NVRAM map'!$AJ$3:$AJ$319&lt;=S$3),0),2))</f>
        <v>EEPROM_CHECKSUM</v>
      </c>
      <c r="T4" s="87" t="str">
        <f t="array" aca="1" ref="T4" ca="1">IF(ISNA(INDEX('NVRAM map'!$AF$3:$AG$319,MATCH(1,('NVRAM map'!$AF$3:$AF$319=$A4)*('NVRAM map'!$AI$3:$AI$319&gt;=T$3)*('NVRAM map'!$AJ$3:$AJ$319&lt;=T$3),0),2)),"-",INDEX('NVRAM map'!$AF$3:$AG$319,MATCH(1,('NVRAM map'!$AF$3:$AF$319=$A4)*('NVRAM map'!$AI$3:$AI$319&gt;=T$3)*('NVRAM map'!$AJ$3:$AJ$319&lt;=T$3),0),2))</f>
        <v>EEPROM_CHECKSUM</v>
      </c>
      <c r="U4" s="87" t="str">
        <f t="array" aca="1" ref="U4" ca="1">IF(ISNA(INDEX('NVRAM map'!$AF$3:$AG$319,MATCH(1,('NVRAM map'!$AF$3:$AF$319=$A4)*('NVRAM map'!$AI$3:$AI$319&gt;=U$3)*('NVRAM map'!$AJ$3:$AJ$319&lt;=U$3),0),2)),"-",INDEX('NVRAM map'!$AF$3:$AG$319,MATCH(1,('NVRAM map'!$AF$3:$AF$319=$A4)*('NVRAM map'!$AI$3:$AI$319&gt;=U$3)*('NVRAM map'!$AJ$3:$AJ$319&lt;=U$3),0),2))</f>
        <v>EEPROM_CHECKSUM</v>
      </c>
      <c r="V4" s="87" t="str">
        <f t="array" aca="1" ref="V4" ca="1">IF(ISNA(INDEX('NVRAM map'!$AF$3:$AG$319,MATCH(1,('NVRAM map'!$AF$3:$AF$319=$A4)*('NVRAM map'!$AI$3:$AI$319&gt;=V$3)*('NVRAM map'!$AJ$3:$AJ$319&lt;=V$3),0),2)),"-",INDEX('NVRAM map'!$AF$3:$AG$319,MATCH(1,('NVRAM map'!$AF$3:$AF$319=$A4)*('NVRAM map'!$AI$3:$AI$319&gt;=V$3)*('NVRAM map'!$AJ$3:$AJ$319&lt;=V$3),0),2))</f>
        <v>EEPROM_CHECKSUM</v>
      </c>
      <c r="W4" s="87" t="str">
        <f t="array" aca="1" ref="W4" ca="1">IF(ISNA(INDEX('NVRAM map'!$AF$3:$AG$319,MATCH(1,('NVRAM map'!$AF$3:$AF$319=$A4)*('NVRAM map'!$AI$3:$AI$319&gt;=W$3)*('NVRAM map'!$AJ$3:$AJ$319&lt;=W$3),0),2)),"-",INDEX('NVRAM map'!$AF$3:$AG$319,MATCH(1,('NVRAM map'!$AF$3:$AF$319=$A4)*('NVRAM map'!$AI$3:$AI$319&gt;=W$3)*('NVRAM map'!$AJ$3:$AJ$319&lt;=W$3),0),2))</f>
        <v>EEPROM_CHECKSUM</v>
      </c>
      <c r="X4" s="88" t="str">
        <f>INDEX('NVRAM map'!$B$3:$B$319,MATCH(A4,'NVRAM map'!$E$3:$E$319,0))</f>
        <v>CUST</v>
      </c>
      <c r="AB4" s="44">
        <f t="shared" ref="AB4:AB67" ca="1" si="2">BIN2DEC(LEFT(BE4,8))+BIN2DEC(RIGHT(BE4,8))</f>
        <v>36</v>
      </c>
      <c r="AC4" s="12" t="b">
        <f ca="1">COUNTIF('NVRAM map'!$AD$3:$AE$319,A4)&lt;2</f>
        <v>1</v>
      </c>
      <c r="AD4" s="12">
        <f ca="1">SUMIF('NVRAM map'!$AF$3:$AF$319,A4,'NVRAM map'!$AK$3:$AK$319)</f>
        <v>65535</v>
      </c>
      <c r="AE4" s="12" t="str">
        <f t="shared" ref="AE4:AE67" ca="1" si="3">DEC2HEX(AD4,4)</f>
        <v>FFFF</v>
      </c>
      <c r="AF4" s="12" t="str">
        <f t="shared" ref="AF4:AF67" ca="1" si="4">HEX2BIN(LEFT(AE4,2),8)</f>
        <v>11111111</v>
      </c>
      <c r="AG4" s="12" t="str">
        <f t="shared" ref="AG4:AG67" ca="1" si="5">HEX2BIN(RIGHT(AE4,2),8)</f>
        <v>11111111</v>
      </c>
      <c r="AH4" s="12">
        <f t="shared" ref="AH4:AH67" ca="1" si="6">LEN(SUBSTITUTE(AF4,0,""))+LEN(SUBSTITUTE(AG4,0,""))</f>
        <v>16</v>
      </c>
      <c r="AI4" s="12">
        <f ca="1">SUMIF('NVRAM map'!$AF$3:$AF$319,A4,'NVRAM map'!$AH$3:$AH$319)</f>
        <v>16</v>
      </c>
      <c r="AJ4" s="12" t="b">
        <f t="shared" ref="AJ4:AJ67" ca="1" si="7">IF(ISNUMBER(AH4),AI4=AH4,0)</f>
        <v>1</v>
      </c>
      <c r="AK4" s="12">
        <f ca="1">COUNTIF('NVRAM map'!$AF$3:$AF$319,A4)</f>
        <v>1</v>
      </c>
      <c r="AM4" s="89">
        <v>0</v>
      </c>
      <c r="AN4" s="80">
        <f t="shared" ref="AN4:BB20" ca="1" si="8">IF(I4=H4,AM4,IF(AM4=1,0,1))</f>
        <v>0</v>
      </c>
      <c r="AO4" s="80">
        <f t="shared" ca="1" si="8"/>
        <v>0</v>
      </c>
      <c r="AP4" s="80">
        <f t="shared" ca="1" si="8"/>
        <v>0</v>
      </c>
      <c r="AQ4" s="80">
        <f t="shared" ca="1" si="8"/>
        <v>0</v>
      </c>
      <c r="AR4" s="80">
        <f t="shared" ca="1" si="8"/>
        <v>0</v>
      </c>
      <c r="AS4" s="80">
        <f t="shared" ca="1" si="8"/>
        <v>0</v>
      </c>
      <c r="AT4" s="80">
        <f t="shared" ca="1" si="8"/>
        <v>0</v>
      </c>
      <c r="AU4" s="80">
        <f t="shared" ca="1" si="8"/>
        <v>0</v>
      </c>
      <c r="AV4" s="80">
        <f t="shared" ca="1" si="8"/>
        <v>0</v>
      </c>
      <c r="AW4" s="80">
        <f t="shared" ca="1" si="8"/>
        <v>0</v>
      </c>
      <c r="AX4" s="80">
        <f t="shared" ca="1" si="8"/>
        <v>0</v>
      </c>
      <c r="AY4" s="80">
        <f t="shared" ca="1" si="8"/>
        <v>0</v>
      </c>
      <c r="AZ4" s="80">
        <f t="shared" ca="1" si="8"/>
        <v>0</v>
      </c>
      <c r="BA4" s="80">
        <f t="shared" ca="1" si="8"/>
        <v>0</v>
      </c>
      <c r="BB4" s="81">
        <f t="shared" ca="1" si="8"/>
        <v>0</v>
      </c>
      <c r="BD4" s="12" t="str">
        <f t="shared" ref="BD4:BD67" si="9">A4</f>
        <v>0x1000</v>
      </c>
      <c r="BE4" s="12" t="str">
        <f t="shared" ref="BE4:BE67" ca="1" si="10">HEX2BIN(LEFT(F4,2),8)&amp;HEX2BIN(RIGHT(F4,2),8)</f>
        <v>0000000100100011</v>
      </c>
      <c r="BG4" s="53" t="str">
        <f t="shared" ref="BG4:BG67" si="11">IF(ISNA(G4),"-",CONCATENATE("`define ",G4," ",C4))</f>
        <v>`define EE_CHECKSUM 0</v>
      </c>
    </row>
    <row r="5" spans="1:59" ht="25.5">
      <c r="A5" s="82" t="s">
        <v>268</v>
      </c>
      <c r="B5" s="82">
        <v>2</v>
      </c>
      <c r="C5" s="82">
        <v>0</v>
      </c>
      <c r="D5" s="83">
        <f ca="1">SUMIF('NVRAM map'!$AF$3:$AF$319,A5,'NVRAM map'!$AN$3:$AN$319)</f>
        <v>18952</v>
      </c>
      <c r="E5" s="84" t="str">
        <f t="shared" ca="1" si="0"/>
        <v>4A08</v>
      </c>
      <c r="F5" s="85" t="str">
        <f t="shared" ca="1" si="1"/>
        <v>4A08</v>
      </c>
      <c r="G5" s="86" t="str">
        <f ca="1">VLOOKUP(MemoryView!A5,'NVRAM map'!$AD$3:$AE$319,2,0)</f>
        <v>EE_GEN_CTRL1</v>
      </c>
      <c r="H5" s="87" t="str">
        <f t="array" aca="1" ref="H5" ca="1">IF(ISNA(INDEX('NVRAM map'!$AF$3:$AG$319,MATCH(1,('NVRAM map'!$AF$3:$AF$319=$A5)*('NVRAM map'!$AI$3:$AI$319&gt;=H$3)*('NVRAM map'!$AJ$3:$AJ$319&lt;=H$3),0),2)),"-",INDEX('NVRAM map'!$AF$3:$AG$319,MATCH(1,('NVRAM map'!$AF$3:$AF$319=$A5)*('NVRAM map'!$AI$3:$AI$319&gt;=H$3)*('NVRAM map'!$AJ$3:$AJ$319&lt;=H$3),0),2))</f>
        <v>EE_LOCK</v>
      </c>
      <c r="I5" s="87" t="str">
        <f t="array" aca="1" ref="I5" ca="1">IF(ISNA(INDEX('NVRAM map'!$AF$3:$AG$319,MATCH(1,('NVRAM map'!$AF$3:$AF$319=$A5)*('NVRAM map'!$AI$3:$AI$319&gt;=I$3)*('NVRAM map'!$AJ$3:$AJ$319&lt;=I$3),0),2)),"-",INDEX('NVRAM map'!$AF$3:$AG$319,MATCH(1,('NVRAM map'!$AF$3:$AF$319=$A5)*('NVRAM map'!$AI$3:$AI$319&gt;=I$3)*('NVRAM map'!$AJ$3:$AJ$319&lt;=I$3),0),2))</f>
        <v>EE_LOCK</v>
      </c>
      <c r="J5" s="87" t="str">
        <f t="array" aca="1" ref="J5" ca="1">IF(ISNA(INDEX('NVRAM map'!$AF$3:$AG$319,MATCH(1,('NVRAM map'!$AF$3:$AF$319=$A5)*('NVRAM map'!$AI$3:$AI$319&gt;=J$3)*('NVRAM map'!$AJ$3:$AJ$319&lt;=J$3),0),2)),"-",INDEX('NVRAM map'!$AF$3:$AG$319,MATCH(1,('NVRAM map'!$AF$3:$AF$319=$A5)*('NVRAM map'!$AI$3:$AI$319&gt;=J$3)*('NVRAM map'!$AJ$3:$AJ$319&lt;=J$3),0),2))</f>
        <v>GEN_CTRL1_RESERVED</v>
      </c>
      <c r="K5" s="87" t="str">
        <f t="array" aca="1" ref="K5" ca="1">IF(ISNA(INDEX('NVRAM map'!$AF$3:$AG$319,MATCH(1,('NVRAM map'!$AF$3:$AF$319=$A5)*('NVRAM map'!$AI$3:$AI$319&gt;=K$3)*('NVRAM map'!$AJ$3:$AJ$319&lt;=K$3),0),2)),"-",INDEX('NVRAM map'!$AF$3:$AG$319,MATCH(1,('NVRAM map'!$AF$3:$AF$319=$A5)*('NVRAM map'!$AI$3:$AI$319&gt;=K$3)*('NVRAM map'!$AJ$3:$AJ$319&lt;=K$3),0),2))</f>
        <v>DIS_TEMP_BUFF</v>
      </c>
      <c r="L5" s="87" t="str">
        <f t="array" aca="1" ref="L5" ca="1">IF(ISNA(INDEX('NVRAM map'!$AF$3:$AG$319,MATCH(1,('NVRAM map'!$AF$3:$AF$319=$A5)*('NVRAM map'!$AI$3:$AI$319&gt;=L$3)*('NVRAM map'!$AJ$3:$AJ$319&lt;=L$3),0),2)),"-",INDEX('NVRAM map'!$AF$3:$AG$319,MATCH(1,('NVRAM map'!$AF$3:$AF$319=$A5)*('NVRAM map'!$AI$3:$AI$319&gt;=L$3)*('NVRAM map'!$AJ$3:$AJ$319&lt;=L$3),0),2))</f>
        <v>PAVG_GAIN_SEL</v>
      </c>
      <c r="M5" s="87" t="str">
        <f t="array" aca="1" ref="M5" ca="1">IF(ISNA(INDEX('NVRAM map'!$AF$3:$AG$319,MATCH(1,('NVRAM map'!$AF$3:$AF$319=$A5)*('NVRAM map'!$AI$3:$AI$319&gt;=M$3)*('NVRAM map'!$AJ$3:$AJ$319&lt;=M$3),0),2)),"-",INDEX('NVRAM map'!$AF$3:$AG$319,MATCH(1,('NVRAM map'!$AF$3:$AF$319=$A5)*('NVRAM map'!$AI$3:$AI$319&gt;=M$3)*('NVRAM map'!$AJ$3:$AJ$319&lt;=M$3),0),2))</f>
        <v>SEL_PRESSURE_RANGE</v>
      </c>
      <c r="N5" s="87" t="str">
        <f t="array" aca="1" ref="N5" ca="1">IF(ISNA(INDEX('NVRAM map'!$AF$3:$AG$319,MATCH(1,('NVRAM map'!$AF$3:$AF$319=$A5)*('NVRAM map'!$AI$3:$AI$319&gt;=N$3)*('NVRAM map'!$AJ$3:$AJ$319&lt;=N$3),0),2)),"-",INDEX('NVRAM map'!$AF$3:$AG$319,MATCH(1,('NVRAM map'!$AF$3:$AF$319=$A5)*('NVRAM map'!$AI$3:$AI$319&gt;=N$3)*('NVRAM map'!$AJ$3:$AJ$319&lt;=N$3),0),2))</f>
        <v>SEL_TEMP_SENS_TDEV</v>
      </c>
      <c r="O5" s="87" t="str">
        <f t="array" aca="1" ref="O5" ca="1">IF(ISNA(INDEX('NVRAM map'!$AF$3:$AG$319,MATCH(1,('NVRAM map'!$AF$3:$AF$319=$A5)*('NVRAM map'!$AI$3:$AI$319&gt;=O$3)*('NVRAM map'!$AJ$3:$AJ$319&lt;=O$3),0),2)),"-",INDEX('NVRAM map'!$AF$3:$AG$319,MATCH(1,('NVRAM map'!$AF$3:$AF$319=$A5)*('NVRAM map'!$AI$3:$AI$319&gt;=O$3)*('NVRAM map'!$AJ$3:$AJ$319&lt;=O$3),0),2))</f>
        <v>SEL_TEMP_SENS_PRES</v>
      </c>
      <c r="P5" s="87" t="str">
        <f t="array" aca="1" ref="P5" ca="1">IF(ISNA(INDEX('NVRAM map'!$AF$3:$AG$319,MATCH(1,('NVRAM map'!$AF$3:$AF$319=$A5)*('NVRAM map'!$AI$3:$AI$319&gt;=P$3)*('NVRAM map'!$AJ$3:$AJ$319&lt;=P$3),0),2)),"-",INDEX('NVRAM map'!$AF$3:$AG$319,MATCH(1,('NVRAM map'!$AF$3:$AF$319=$A5)*('NVRAM map'!$AI$3:$AI$319&gt;=P$3)*('NVRAM map'!$AJ$3:$AJ$319&lt;=P$3),0),2))</f>
        <v>NTC_LOW_POWER_MODE</v>
      </c>
      <c r="Q5" s="87" t="str">
        <f t="array" aca="1" ref="Q5" ca="1">IF(ISNA(INDEX('NVRAM map'!$AF$3:$AG$319,MATCH(1,('NVRAM map'!$AF$3:$AF$319=$A5)*('NVRAM map'!$AI$3:$AI$319&gt;=Q$3)*('NVRAM map'!$AJ$3:$AJ$319&lt;=Q$3),0),2)),"-",INDEX('NVRAM map'!$AF$3:$AG$319,MATCH(1,('NVRAM map'!$AF$3:$AF$319=$A5)*('NVRAM map'!$AI$3:$AI$319&gt;=Q$3)*('NVRAM map'!$AJ$3:$AJ$319&lt;=Q$3),0),2))</f>
        <v>FIX_NTC_RES</v>
      </c>
      <c r="R5" s="87" t="str">
        <f t="array" aca="1" ref="R5" ca="1">IF(ISNA(INDEX('NVRAM map'!$AF$3:$AG$319,MATCH(1,('NVRAM map'!$AF$3:$AF$319=$A5)*('NVRAM map'!$AI$3:$AI$319&gt;=R$3)*('NVRAM map'!$AJ$3:$AJ$319&lt;=R$3),0),2)),"-",INDEX('NVRAM map'!$AF$3:$AG$319,MATCH(1,('NVRAM map'!$AF$3:$AF$319=$A5)*('NVRAM map'!$AI$3:$AI$319&gt;=R$3)*('NVRAM map'!$AJ$3:$AJ$319&lt;=R$3),0),2))</f>
        <v>PRES_LOWNOISE_MODE</v>
      </c>
      <c r="S5" s="87" t="str">
        <f t="array" aca="1" ref="S5" ca="1">IF(ISNA(INDEX('NVRAM map'!$AF$3:$AG$319,MATCH(1,('NVRAM map'!$AF$3:$AF$319=$A5)*('NVRAM map'!$AI$3:$AI$319&gt;=S$3)*('NVRAM map'!$AJ$3:$AJ$319&lt;=S$3),0),2)),"-",INDEX('NVRAM map'!$AF$3:$AG$319,MATCH(1,('NVRAM map'!$AF$3:$AF$319=$A5)*('NVRAM map'!$AI$3:$AI$319&gt;=S$3)*('NVRAM map'!$AJ$3:$AJ$319&lt;=S$3),0),2))</f>
        <v>INT_OUT_POL_CONF</v>
      </c>
      <c r="T5" s="87" t="str">
        <f t="array" aca="1" ref="T5" ca="1">IF(ISNA(INDEX('NVRAM map'!$AF$3:$AG$319,MATCH(1,('NVRAM map'!$AF$3:$AF$319=$A5)*('NVRAM map'!$AI$3:$AI$319&gt;=T$3)*('NVRAM map'!$AJ$3:$AJ$319&lt;=T$3),0),2)),"-",INDEX('NVRAM map'!$AF$3:$AG$319,MATCH(1,('NVRAM map'!$AF$3:$AF$319=$A5)*('NVRAM map'!$AI$3:$AI$319&gt;=T$3)*('NVRAM map'!$AJ$3:$AJ$319&lt;=T$3),0),2))</f>
        <v>TRIG_INT_CONFIG</v>
      </c>
      <c r="U5" s="87" t="str">
        <f t="array" aca="1" ref="U5" ca="1">IF(ISNA(INDEX('NVRAM map'!$AF$3:$AG$319,MATCH(1,('NVRAM map'!$AF$3:$AF$319=$A5)*('NVRAM map'!$AI$3:$AI$319&gt;=U$3)*('NVRAM map'!$AJ$3:$AJ$319&lt;=U$3),0),2)),"-",INDEX('NVRAM map'!$AF$3:$AG$319,MATCH(1,('NVRAM map'!$AF$3:$AF$319=$A5)*('NVRAM map'!$AI$3:$AI$319&gt;=U$3)*('NVRAM map'!$AJ$3:$AJ$319&lt;=U$3),0),2))</f>
        <v>TRIG_INT_CONFIG</v>
      </c>
      <c r="V5" s="87" t="str">
        <f t="array" aca="1" ref="V5" ca="1">IF(ISNA(INDEX('NVRAM map'!$AF$3:$AG$319,MATCH(1,('NVRAM map'!$AF$3:$AF$319=$A5)*('NVRAM map'!$AI$3:$AI$319&gt;=V$3)*('NVRAM map'!$AJ$3:$AJ$319&lt;=V$3),0),2)),"-",INDEX('NVRAM map'!$AF$3:$AG$319,MATCH(1,('NVRAM map'!$AF$3:$AF$319=$A5)*('NVRAM map'!$AI$3:$AI$319&gt;=V$3)*('NVRAM map'!$AJ$3:$AJ$319&lt;=V$3),0),2))</f>
        <v>FUNCTIONAL_MODE</v>
      </c>
      <c r="W5" s="87" t="str">
        <f t="array" aca="1" ref="W5" ca="1">IF(ISNA(INDEX('NVRAM map'!$AF$3:$AG$319,MATCH(1,('NVRAM map'!$AF$3:$AF$319=$A5)*('NVRAM map'!$AI$3:$AI$319&gt;=W$3)*('NVRAM map'!$AJ$3:$AJ$319&lt;=W$3),0),2)),"-",INDEX('NVRAM map'!$AF$3:$AG$319,MATCH(1,('NVRAM map'!$AF$3:$AF$319=$A5)*('NVRAM map'!$AI$3:$AI$319&gt;=W$3)*('NVRAM map'!$AJ$3:$AJ$319&lt;=W$3),0),2))</f>
        <v>FUNCTIONAL_MODE</v>
      </c>
      <c r="X5" s="88" t="str">
        <f ca="1">INDEX('NVRAM map'!$B$3:$B$319,MATCH(A5,'NVRAM map'!$E$3:$E$319,0))</f>
        <v>CUST</v>
      </c>
      <c r="AB5" s="44">
        <f t="shared" ca="1" si="2"/>
        <v>82</v>
      </c>
      <c r="AC5" s="12" t="b">
        <f ca="1">COUNTIF('NVRAM map'!$AD$3:$AE$319,A5)&lt;2</f>
        <v>1</v>
      </c>
      <c r="AD5" s="12">
        <f ca="1">SUMIF('NVRAM map'!$AF$3:$AF$319,A5,'NVRAM map'!$AK$3:$AK$319)</f>
        <v>65535</v>
      </c>
      <c r="AE5" s="12" t="str">
        <f t="shared" ca="1" si="3"/>
        <v>FFFF</v>
      </c>
      <c r="AF5" s="12" t="str">
        <f t="shared" ca="1" si="4"/>
        <v>11111111</v>
      </c>
      <c r="AG5" s="12" t="str">
        <f t="shared" ca="1" si="5"/>
        <v>11111111</v>
      </c>
      <c r="AH5" s="12">
        <f t="shared" ca="1" si="6"/>
        <v>16</v>
      </c>
      <c r="AI5" s="12">
        <f ca="1">SUMIF('NVRAM map'!$AF$3:$AF$319,A5,'NVRAM map'!$AH$3:$AH$319)</f>
        <v>16</v>
      </c>
      <c r="AJ5" s="12" t="b">
        <f t="shared" ca="1" si="7"/>
        <v>1</v>
      </c>
      <c r="AK5" s="12">
        <f ca="1">COUNTIF('NVRAM map'!$AF$3:$AF$319,A5)</f>
        <v>13</v>
      </c>
      <c r="AM5" s="89">
        <v>0</v>
      </c>
      <c r="AN5" s="80">
        <f t="shared" ca="1" si="8"/>
        <v>0</v>
      </c>
      <c r="AO5" s="80">
        <f t="shared" ca="1" si="8"/>
        <v>1</v>
      </c>
      <c r="AP5" s="80">
        <f t="shared" ca="1" si="8"/>
        <v>0</v>
      </c>
      <c r="AQ5" s="80">
        <f t="shared" ca="1" si="8"/>
        <v>1</v>
      </c>
      <c r="AR5" s="80">
        <f t="shared" ca="1" si="8"/>
        <v>0</v>
      </c>
      <c r="AS5" s="80">
        <f t="shared" ca="1" si="8"/>
        <v>1</v>
      </c>
      <c r="AT5" s="80">
        <f t="shared" ca="1" si="8"/>
        <v>0</v>
      </c>
      <c r="AU5" s="80">
        <f t="shared" ca="1" si="8"/>
        <v>1</v>
      </c>
      <c r="AV5" s="80">
        <f t="shared" ca="1" si="8"/>
        <v>0</v>
      </c>
      <c r="AW5" s="80">
        <f t="shared" ca="1" si="8"/>
        <v>1</v>
      </c>
      <c r="AX5" s="80">
        <f t="shared" ca="1" si="8"/>
        <v>0</v>
      </c>
      <c r="AY5" s="80">
        <f t="shared" ca="1" si="8"/>
        <v>1</v>
      </c>
      <c r="AZ5" s="80">
        <f t="shared" ca="1" si="8"/>
        <v>1</v>
      </c>
      <c r="BA5" s="80">
        <f t="shared" ca="1" si="8"/>
        <v>0</v>
      </c>
      <c r="BB5" s="81">
        <f t="shared" ca="1" si="8"/>
        <v>0</v>
      </c>
      <c r="BD5" s="12" t="str">
        <f t="shared" si="9"/>
        <v>0x1002</v>
      </c>
      <c r="BE5" s="12" t="str">
        <f t="shared" ca="1" si="10"/>
        <v>0100101000001000</v>
      </c>
      <c r="BG5" s="53" t="str">
        <f t="shared" ca="1" si="11"/>
        <v>`define EE_GEN_CTRL1 0</v>
      </c>
    </row>
    <row r="6" spans="1:59" ht="25.5">
      <c r="A6" s="82" t="s">
        <v>269</v>
      </c>
      <c r="B6" s="82">
        <v>4</v>
      </c>
      <c r="C6" s="82">
        <v>1</v>
      </c>
      <c r="D6" s="127">
        <f ca="1">SUMIF('NVRAM map'!$AF$3:$AF$319,A6,'NVRAM map'!$AN$3:$AN$319)</f>
        <v>26</v>
      </c>
      <c r="E6" s="84" t="str">
        <f t="shared" ca="1" si="0"/>
        <v>001A</v>
      </c>
      <c r="F6" s="85" t="str">
        <f t="shared" ca="1" si="1"/>
        <v>001A</v>
      </c>
      <c r="G6" s="86" t="str">
        <f ca="1">VLOOKUP(MemoryView!A6,'NVRAM map'!$AD$3:$AE$319,2,0)</f>
        <v>EE_N_AVG_CONF</v>
      </c>
      <c r="H6" s="87" t="str">
        <f t="array" aca="1" ref="H6" ca="1">IF(ISNA(INDEX('NVRAM map'!$AF$3:$AG$319,MATCH(1,('NVRAM map'!$AF$3:$AF$319=$A6)*('NVRAM map'!$AI$3:$AI$319&gt;=H$3)*('NVRAM map'!$AJ$3:$AJ$319&lt;=H$3),0),2)),"-",INDEX('NVRAM map'!$AF$3:$AG$319,MATCH(1,('NVRAM map'!$AF$3:$AF$319=$A6)*('NVRAM map'!$AI$3:$AI$319&gt;=H$3)*('NVRAM map'!$AJ$3:$AJ$319&lt;=H$3),0),2))</f>
        <v>PRES_N_AVG</v>
      </c>
      <c r="I6" s="87" t="str">
        <f t="array" aca="1" ref="I6" ca="1">IF(ISNA(INDEX('NVRAM map'!$AF$3:$AG$319,MATCH(1,('NVRAM map'!$AF$3:$AF$319=$A6)*('NVRAM map'!$AI$3:$AI$319&gt;=I$3)*('NVRAM map'!$AJ$3:$AJ$319&lt;=I$3),0),2)),"-",INDEX('NVRAM map'!$AF$3:$AG$319,MATCH(1,('NVRAM map'!$AF$3:$AF$319=$A6)*('NVRAM map'!$AI$3:$AI$319&gt;=I$3)*('NVRAM map'!$AJ$3:$AJ$319&lt;=I$3),0),2))</f>
        <v>PRES_N_AVG</v>
      </c>
      <c r="J6" s="87" t="str">
        <f t="array" aca="1" ref="J6" ca="1">IF(ISNA(INDEX('NVRAM map'!$AF$3:$AG$319,MATCH(1,('NVRAM map'!$AF$3:$AF$319=$A6)*('NVRAM map'!$AI$3:$AI$319&gt;=J$3)*('NVRAM map'!$AJ$3:$AJ$319&lt;=J$3),0),2)),"-",INDEX('NVRAM map'!$AF$3:$AG$319,MATCH(1,('NVRAM map'!$AF$3:$AF$319=$A6)*('NVRAM map'!$AI$3:$AI$319&gt;=J$3)*('NVRAM map'!$AJ$3:$AJ$319&lt;=J$3),0),2))</f>
        <v>VSTEMP_N_AVG</v>
      </c>
      <c r="K6" s="87" t="str">
        <f t="array" aca="1" ref="K6" ca="1">IF(ISNA(INDEX('NVRAM map'!$AF$3:$AG$319,MATCH(1,('NVRAM map'!$AF$3:$AF$319=$A6)*('NVRAM map'!$AI$3:$AI$319&gt;=K$3)*('NVRAM map'!$AJ$3:$AJ$319&lt;=K$3),0),2)),"-",INDEX('NVRAM map'!$AF$3:$AG$319,MATCH(1,('NVRAM map'!$AF$3:$AF$319=$A6)*('NVRAM map'!$AI$3:$AI$319&gt;=K$3)*('NVRAM map'!$AJ$3:$AJ$319&lt;=K$3),0),2))</f>
        <v>VSTEMP_N_AVG</v>
      </c>
      <c r="L6" s="87" t="str">
        <f t="array" aca="1" ref="L6" ca="1">IF(ISNA(INDEX('NVRAM map'!$AF$3:$AG$319,MATCH(1,('NVRAM map'!$AF$3:$AF$319=$A6)*('NVRAM map'!$AI$3:$AI$319&gt;=L$3)*('NVRAM map'!$AJ$3:$AJ$319&lt;=L$3),0),2)),"-",INDEX('NVRAM map'!$AF$3:$AG$319,MATCH(1,('NVRAM map'!$AF$3:$AF$319=$A6)*('NVRAM map'!$AI$3:$AI$319&gt;=L$3)*('NVRAM map'!$AJ$3:$AJ$319&lt;=L$3),0),2))</f>
        <v>VSTEMP_N_AVG</v>
      </c>
      <c r="M6" s="87" t="str">
        <f t="array" aca="1" ref="M6" ca="1">IF(ISNA(INDEX('NVRAM map'!$AF$3:$AG$319,MATCH(1,('NVRAM map'!$AF$3:$AF$319=$A6)*('NVRAM map'!$AI$3:$AI$319&gt;=M$3)*('NVRAM map'!$AJ$3:$AJ$319&lt;=M$3),0),2)),"-",INDEX('NVRAM map'!$AF$3:$AG$319,MATCH(1,('NVRAM map'!$AF$3:$AF$319=$A6)*('NVRAM map'!$AI$3:$AI$319&gt;=M$3)*('NVRAM map'!$AJ$3:$AJ$319&lt;=M$3),0),2))</f>
        <v>VSTEMP2_N_AVG</v>
      </c>
      <c r="N6" s="87" t="str">
        <f t="array" aca="1" ref="N6" ca="1">IF(ISNA(INDEX('NVRAM map'!$AF$3:$AG$319,MATCH(1,('NVRAM map'!$AF$3:$AF$319=$A6)*('NVRAM map'!$AI$3:$AI$319&gt;=N$3)*('NVRAM map'!$AJ$3:$AJ$319&lt;=N$3),0),2)),"-",INDEX('NVRAM map'!$AF$3:$AG$319,MATCH(1,('NVRAM map'!$AF$3:$AF$319=$A6)*('NVRAM map'!$AI$3:$AI$319&gt;=N$3)*('NVRAM map'!$AJ$3:$AJ$319&lt;=N$3),0),2))</f>
        <v>VSTEMP2_N_AVG</v>
      </c>
      <c r="O6" s="87" t="str">
        <f t="array" aca="1" ref="O6" ca="1">IF(ISNA(INDEX('NVRAM map'!$AF$3:$AG$319,MATCH(1,('NVRAM map'!$AF$3:$AF$319=$A6)*('NVRAM map'!$AI$3:$AI$319&gt;=O$3)*('NVRAM map'!$AJ$3:$AJ$319&lt;=O$3),0),2)),"-",INDEX('NVRAM map'!$AF$3:$AG$319,MATCH(1,('NVRAM map'!$AF$3:$AF$319=$A6)*('NVRAM map'!$AI$3:$AI$319&gt;=O$3)*('NVRAM map'!$AJ$3:$AJ$319&lt;=O$3),0),2))</f>
        <v>VSTEMP2_N_AVG</v>
      </c>
      <c r="P6" s="87" t="str">
        <f t="array" aca="1" ref="P6" ca="1">IF(ISNA(INDEX('NVRAM map'!$AF$3:$AG$319,MATCH(1,('NVRAM map'!$AF$3:$AF$319=$A6)*('NVRAM map'!$AI$3:$AI$319&gt;=P$3)*('NVRAM map'!$AJ$3:$AJ$319&lt;=P$3),0),2)),"-",INDEX('NVRAM map'!$AF$3:$AG$319,MATCH(1,('NVRAM map'!$AF$3:$AF$319=$A6)*('NVRAM map'!$AI$3:$AI$319&gt;=P$3)*('NVRAM map'!$AJ$3:$AJ$319&lt;=P$3),0),2))</f>
        <v>VANA_DIV_N_AVG</v>
      </c>
      <c r="Q6" s="87" t="str">
        <f t="array" aca="1" ref="Q6" ca="1">IF(ISNA(INDEX('NVRAM map'!$AF$3:$AG$319,MATCH(1,('NVRAM map'!$AF$3:$AF$319=$A6)*('NVRAM map'!$AI$3:$AI$319&gt;=Q$3)*('NVRAM map'!$AJ$3:$AJ$319&lt;=Q$3),0),2)),"-",INDEX('NVRAM map'!$AF$3:$AG$319,MATCH(1,('NVRAM map'!$AF$3:$AF$319=$A6)*('NVRAM map'!$AI$3:$AI$319&gt;=Q$3)*('NVRAM map'!$AJ$3:$AJ$319&lt;=Q$3),0),2))</f>
        <v>VANA_DIV_N_AVG</v>
      </c>
      <c r="R6" s="87" t="str">
        <f t="array" aca="1" ref="R6" ca="1">IF(ISNA(INDEX('NVRAM map'!$AF$3:$AG$319,MATCH(1,('NVRAM map'!$AF$3:$AF$319=$A6)*('NVRAM map'!$AI$3:$AI$319&gt;=R$3)*('NVRAM map'!$AJ$3:$AJ$319&lt;=R$3),0),2)),"-",INDEX('NVRAM map'!$AF$3:$AG$319,MATCH(1,('NVRAM map'!$AF$3:$AF$319=$A6)*('NVRAM map'!$AI$3:$AI$319&gt;=R$3)*('NVRAM map'!$AJ$3:$AJ$319&lt;=R$3),0),2))</f>
        <v>VPTAT_N_AVG</v>
      </c>
      <c r="S6" s="87" t="str">
        <f t="array" aca="1" ref="S6" ca="1">IF(ISNA(INDEX('NVRAM map'!$AF$3:$AG$319,MATCH(1,('NVRAM map'!$AF$3:$AF$319=$A6)*('NVRAM map'!$AI$3:$AI$319&gt;=S$3)*('NVRAM map'!$AJ$3:$AJ$319&lt;=S$3),0),2)),"-",INDEX('NVRAM map'!$AF$3:$AG$319,MATCH(1,('NVRAM map'!$AF$3:$AF$319=$A6)*('NVRAM map'!$AI$3:$AI$319&gt;=S$3)*('NVRAM map'!$AJ$3:$AJ$319&lt;=S$3),0),2))</f>
        <v>VPTAT_N_AVG</v>
      </c>
      <c r="T6" s="87" t="str">
        <f t="array" aca="1" ref="T6" ca="1">IF(ISNA(INDEX('NVRAM map'!$AF$3:$AG$319,MATCH(1,('NVRAM map'!$AF$3:$AF$319=$A6)*('NVRAM map'!$AI$3:$AI$319&gt;=T$3)*('NVRAM map'!$AJ$3:$AJ$319&lt;=T$3),0),2)),"-",INDEX('NVRAM map'!$AF$3:$AG$319,MATCH(1,('NVRAM map'!$AF$3:$AF$319=$A6)*('NVRAM map'!$AI$3:$AI$319&gt;=T$3)*('NVRAM map'!$AJ$3:$AJ$319&lt;=T$3),0),2))</f>
        <v>VPTAT_N_AVG</v>
      </c>
      <c r="U6" s="87" t="str">
        <f t="array" aca="1" ref="U6" ca="1">IF(ISNA(INDEX('NVRAM map'!$AF$3:$AG$319,MATCH(1,('NVRAM map'!$AF$3:$AF$319=$A6)*('NVRAM map'!$AI$3:$AI$319&gt;=U$3)*('NVRAM map'!$AJ$3:$AJ$319&lt;=U$3),0),2)),"-",INDEX('NVRAM map'!$AF$3:$AG$319,MATCH(1,('NVRAM map'!$AF$3:$AF$319=$A6)*('NVRAM map'!$AI$3:$AI$319&gt;=U$3)*('NVRAM map'!$AJ$3:$AJ$319&lt;=U$3),0),2))</f>
        <v>RNTC_N_AVG</v>
      </c>
      <c r="V6" s="87" t="str">
        <f t="array" aca="1" ref="V6" ca="1">IF(ISNA(INDEX('NVRAM map'!$AF$3:$AG$319,MATCH(1,('NVRAM map'!$AF$3:$AF$319=$A6)*('NVRAM map'!$AI$3:$AI$319&gt;=V$3)*('NVRAM map'!$AJ$3:$AJ$319&lt;=V$3),0),2)),"-",INDEX('NVRAM map'!$AF$3:$AG$319,MATCH(1,('NVRAM map'!$AF$3:$AF$319=$A6)*('NVRAM map'!$AI$3:$AI$319&gt;=V$3)*('NVRAM map'!$AJ$3:$AJ$319&lt;=V$3),0),2))</f>
        <v>RNTC_N_AVG</v>
      </c>
      <c r="W6" s="87" t="str">
        <f t="array" aca="1" ref="W6" ca="1">IF(ISNA(INDEX('NVRAM map'!$AF$3:$AG$319,MATCH(1,('NVRAM map'!$AF$3:$AF$319=$A6)*('NVRAM map'!$AI$3:$AI$319&gt;=W$3)*('NVRAM map'!$AJ$3:$AJ$319&lt;=W$3),0),2)),"-",INDEX('NVRAM map'!$AF$3:$AG$319,MATCH(1,('NVRAM map'!$AF$3:$AF$319=$A6)*('NVRAM map'!$AI$3:$AI$319&gt;=W$3)*('NVRAM map'!$AJ$3:$AJ$319&lt;=W$3),0),2))</f>
        <v>RNTC_N_AVG</v>
      </c>
      <c r="X6" s="88" t="str">
        <f ca="1">INDEX('NVRAM map'!$B$3:$B$319,MATCH(A6,'NVRAM map'!$E$3:$E$319,0))</f>
        <v>CUST</v>
      </c>
      <c r="AB6" s="44">
        <f t="shared" ca="1" si="2"/>
        <v>26</v>
      </c>
      <c r="AC6" s="12" t="b">
        <f ca="1">COUNTIF('NVRAM map'!$AD$3:$AE$319,A6)&lt;2</f>
        <v>1</v>
      </c>
      <c r="AD6" s="12">
        <f ca="1">SUMIF('NVRAM map'!$AF$3:$AF$319,A6,'NVRAM map'!$AK$3:$AK$319)</f>
        <v>65535</v>
      </c>
      <c r="AE6" s="12" t="str">
        <f t="shared" ca="1" si="3"/>
        <v>FFFF</v>
      </c>
      <c r="AF6" s="12" t="str">
        <f t="shared" ca="1" si="4"/>
        <v>11111111</v>
      </c>
      <c r="AG6" s="12" t="str">
        <f t="shared" ca="1" si="5"/>
        <v>11111111</v>
      </c>
      <c r="AH6" s="12">
        <f t="shared" ca="1" si="6"/>
        <v>16</v>
      </c>
      <c r="AI6" s="12">
        <f ca="1">SUMIF('NVRAM map'!$AF$3:$AF$319,A6,'NVRAM map'!$AH$3:$AH$319)</f>
        <v>16</v>
      </c>
      <c r="AJ6" s="12" t="b">
        <f t="shared" ca="1" si="7"/>
        <v>1</v>
      </c>
      <c r="AK6" s="12">
        <f ca="1">COUNTIF('NVRAM map'!$AF$3:$AF$319,A6)</f>
        <v>6</v>
      </c>
      <c r="AM6" s="89">
        <v>0</v>
      </c>
      <c r="AN6" s="80">
        <f t="shared" ca="1" si="8"/>
        <v>0</v>
      </c>
      <c r="AO6" s="80">
        <f t="shared" ca="1" si="8"/>
        <v>1</v>
      </c>
      <c r="AP6" s="80">
        <f t="shared" ca="1" si="8"/>
        <v>1</v>
      </c>
      <c r="AQ6" s="80">
        <f t="shared" ca="1" si="8"/>
        <v>1</v>
      </c>
      <c r="AR6" s="80">
        <f t="shared" ca="1" si="8"/>
        <v>0</v>
      </c>
      <c r="AS6" s="80">
        <f t="shared" ca="1" si="8"/>
        <v>0</v>
      </c>
      <c r="AT6" s="80">
        <f t="shared" ca="1" si="8"/>
        <v>0</v>
      </c>
      <c r="AU6" s="80">
        <f t="shared" ca="1" si="8"/>
        <v>1</v>
      </c>
      <c r="AV6" s="80">
        <f t="shared" ca="1" si="8"/>
        <v>1</v>
      </c>
      <c r="AW6" s="80">
        <f t="shared" ca="1" si="8"/>
        <v>0</v>
      </c>
      <c r="AX6" s="80">
        <f t="shared" ca="1" si="8"/>
        <v>0</v>
      </c>
      <c r="AY6" s="80">
        <f t="shared" ca="1" si="8"/>
        <v>0</v>
      </c>
      <c r="AZ6" s="80">
        <f t="shared" ca="1" si="8"/>
        <v>1</v>
      </c>
      <c r="BA6" s="80">
        <f t="shared" ca="1" si="8"/>
        <v>1</v>
      </c>
      <c r="BB6" s="81">
        <f t="shared" ca="1" si="8"/>
        <v>1</v>
      </c>
      <c r="BD6" s="12" t="str">
        <f t="shared" si="9"/>
        <v>0x1004</v>
      </c>
      <c r="BE6" s="12" t="str">
        <f t="shared" ca="1" si="10"/>
        <v>0000000000011010</v>
      </c>
      <c r="BG6" s="53" t="str">
        <f t="shared" ca="1" si="11"/>
        <v>`define EE_N_AVG_CONF 1</v>
      </c>
    </row>
    <row r="7" spans="1:59" ht="25.5">
      <c r="A7" s="82" t="s">
        <v>270</v>
      </c>
      <c r="B7" s="82">
        <v>6</v>
      </c>
      <c r="C7" s="82">
        <v>1</v>
      </c>
      <c r="D7" s="83">
        <f ca="1">SUMIF('NVRAM map'!$AF$3:$AF$319,A7,'NVRAM map'!$AN$3:$AN$319)</f>
        <v>363</v>
      </c>
      <c r="E7" s="84" t="str">
        <f t="shared" ca="1" si="0"/>
        <v>016B</v>
      </c>
      <c r="F7" s="85" t="str">
        <f ca="1">E7</f>
        <v>016B</v>
      </c>
      <c r="G7" s="86" t="str">
        <f ca="1">VLOOKUP(MemoryView!A7,'NVRAM map'!$AD$3:$AE$319,2,0)</f>
        <v>EE_OUT_FILT_CONF</v>
      </c>
      <c r="H7" s="87" t="str">
        <f t="array" aca="1" ref="H7" ca="1">IF(ISNA(INDEX('NVRAM map'!$AF$3:$AG$319,MATCH(1,('NVRAM map'!$AF$3:$AF$319=$A7)*('NVRAM map'!$AI$3:$AI$319&gt;=H$3)*('NVRAM map'!$AJ$3:$AJ$319&lt;=H$3),0),2)),"-",INDEX('NVRAM map'!$AF$3:$AG$319,MATCH(1,('NVRAM map'!$AF$3:$AF$319=$A7)*('NVRAM map'!$AI$3:$AI$319&gt;=H$3)*('NVRAM map'!$AJ$3:$AJ$319&lt;=H$3),0),2))</f>
        <v>OUT_FILT_CONF_RESERVED</v>
      </c>
      <c r="I7" s="87" t="str">
        <f t="array" aca="1" ref="I7" ca="1">IF(ISNA(INDEX('NVRAM map'!$AF$3:$AG$319,MATCH(1,('NVRAM map'!$AF$3:$AF$319=$A7)*('NVRAM map'!$AI$3:$AI$319&gt;=I$3)*('NVRAM map'!$AJ$3:$AJ$319&lt;=I$3),0),2)),"-",INDEX('NVRAM map'!$AF$3:$AG$319,MATCH(1,('NVRAM map'!$AF$3:$AF$319=$A7)*('NVRAM map'!$AI$3:$AI$319&gt;=I$3)*('NVRAM map'!$AJ$3:$AJ$319&lt;=I$3),0),2))</f>
        <v>TMEMS_FILT_DEPTH</v>
      </c>
      <c r="J7" s="87" t="str">
        <f t="array" aca="1" ref="J7" ca="1">IF(ISNA(INDEX('NVRAM map'!$AF$3:$AG$319,MATCH(1,('NVRAM map'!$AF$3:$AF$319=$A7)*('NVRAM map'!$AI$3:$AI$319&gt;=J$3)*('NVRAM map'!$AJ$3:$AJ$319&lt;=J$3),0),2)),"-",INDEX('NVRAM map'!$AF$3:$AG$319,MATCH(1,('NVRAM map'!$AF$3:$AF$319=$A7)*('NVRAM map'!$AI$3:$AI$319&gt;=J$3)*('NVRAM map'!$AJ$3:$AJ$319&lt;=J$3),0),2))</f>
        <v>TMEMS_FILT_DEPTH</v>
      </c>
      <c r="K7" s="87" t="str">
        <f t="array" aca="1" ref="K7" ca="1">IF(ISNA(INDEX('NVRAM map'!$AF$3:$AG$319,MATCH(1,('NVRAM map'!$AF$3:$AF$319=$A7)*('NVRAM map'!$AI$3:$AI$319&gt;=K$3)*('NVRAM map'!$AJ$3:$AJ$319&lt;=K$3),0),2)),"-",INDEX('NVRAM map'!$AF$3:$AG$319,MATCH(1,('NVRAM map'!$AF$3:$AF$319=$A7)*('NVRAM map'!$AI$3:$AI$319&gt;=K$3)*('NVRAM map'!$AJ$3:$AJ$319&lt;=K$3),0),2))</f>
        <v>TMEMS_FILT_DEPTH</v>
      </c>
      <c r="L7" s="87" t="str">
        <f t="array" aca="1" ref="L7" ca="1">IF(ISNA(INDEX('NVRAM map'!$AF$3:$AG$319,MATCH(1,('NVRAM map'!$AF$3:$AF$319=$A7)*('NVRAM map'!$AI$3:$AI$319&gt;=L$3)*('NVRAM map'!$AJ$3:$AJ$319&lt;=L$3),0),2)),"-",INDEX('NVRAM map'!$AF$3:$AG$319,MATCH(1,('NVRAM map'!$AF$3:$AF$319=$A7)*('NVRAM map'!$AI$3:$AI$319&gt;=L$3)*('NVRAM map'!$AJ$3:$AJ$319&lt;=L$3),0),2))</f>
        <v>TINT_FILT_DEPTH</v>
      </c>
      <c r="M7" s="87" t="str">
        <f t="array" aca="1" ref="M7" ca="1">IF(ISNA(INDEX('NVRAM map'!$AF$3:$AG$319,MATCH(1,('NVRAM map'!$AF$3:$AF$319=$A7)*('NVRAM map'!$AI$3:$AI$319&gt;=M$3)*('NVRAM map'!$AJ$3:$AJ$319&lt;=M$3),0),2)),"-",INDEX('NVRAM map'!$AF$3:$AG$319,MATCH(1,('NVRAM map'!$AF$3:$AF$319=$A7)*('NVRAM map'!$AI$3:$AI$319&gt;=M$3)*('NVRAM map'!$AJ$3:$AJ$319&lt;=M$3),0),2))</f>
        <v>TINT_FILT_DEPTH</v>
      </c>
      <c r="N7" s="87" t="str">
        <f t="array" aca="1" ref="N7" ca="1">IF(ISNA(INDEX('NVRAM map'!$AF$3:$AG$319,MATCH(1,('NVRAM map'!$AF$3:$AF$319=$A7)*('NVRAM map'!$AI$3:$AI$319&gt;=N$3)*('NVRAM map'!$AJ$3:$AJ$319&lt;=N$3),0),2)),"-",INDEX('NVRAM map'!$AF$3:$AG$319,MATCH(1,('NVRAM map'!$AF$3:$AF$319=$A7)*('NVRAM map'!$AI$3:$AI$319&gt;=N$3)*('NVRAM map'!$AJ$3:$AJ$319&lt;=N$3),0),2))</f>
        <v>TINT_FILT_DEPTH</v>
      </c>
      <c r="O7" s="87" t="str">
        <f t="array" aca="1" ref="O7" ca="1">IF(ISNA(INDEX('NVRAM map'!$AF$3:$AG$319,MATCH(1,('NVRAM map'!$AF$3:$AF$319=$A7)*('NVRAM map'!$AI$3:$AI$319&gt;=O$3)*('NVRAM map'!$AJ$3:$AJ$319&lt;=O$3),0),2)),"-",INDEX('NVRAM map'!$AF$3:$AG$319,MATCH(1,('NVRAM map'!$AF$3:$AF$319=$A7)*('NVRAM map'!$AI$3:$AI$319&gt;=O$3)*('NVRAM map'!$AJ$3:$AJ$319&lt;=O$3),0),2))</f>
        <v>TNTC_OUT_N_BIT</v>
      </c>
      <c r="P7" s="87" t="str">
        <f t="array" aca="1" ref="P7" ca="1">IF(ISNA(INDEX('NVRAM map'!$AF$3:$AG$319,MATCH(1,('NVRAM map'!$AF$3:$AF$319=$A7)*('NVRAM map'!$AI$3:$AI$319&gt;=P$3)*('NVRAM map'!$AJ$3:$AJ$319&lt;=P$3),0),2)),"-",INDEX('NVRAM map'!$AF$3:$AG$319,MATCH(1,('NVRAM map'!$AF$3:$AF$319=$A7)*('NVRAM map'!$AI$3:$AI$319&gt;=P$3)*('NVRAM map'!$AJ$3:$AJ$319&lt;=P$3),0),2))</f>
        <v>TNTC_OUT_N_BIT</v>
      </c>
      <c r="Q7" s="87" t="str">
        <f t="array" aca="1" ref="Q7" ca="1">IF(ISNA(INDEX('NVRAM map'!$AF$3:$AG$319,MATCH(1,('NVRAM map'!$AF$3:$AF$319=$A7)*('NVRAM map'!$AI$3:$AI$319&gt;=Q$3)*('NVRAM map'!$AJ$3:$AJ$319&lt;=Q$3),0),2)),"-",INDEX('NVRAM map'!$AF$3:$AG$319,MATCH(1,('NVRAM map'!$AF$3:$AF$319=$A7)*('NVRAM map'!$AI$3:$AI$319&gt;=Q$3)*('NVRAM map'!$AJ$3:$AJ$319&lt;=Q$3),0),2))</f>
        <v>TNTC_OUT_N_BIT</v>
      </c>
      <c r="R7" s="87" t="str">
        <f t="array" aca="1" ref="R7" ca="1">IF(ISNA(INDEX('NVRAM map'!$AF$3:$AG$319,MATCH(1,('NVRAM map'!$AF$3:$AF$319=$A7)*('NVRAM map'!$AI$3:$AI$319&gt;=R$3)*('NVRAM map'!$AJ$3:$AJ$319&lt;=R$3),0),2)),"-",INDEX('NVRAM map'!$AF$3:$AG$319,MATCH(1,('NVRAM map'!$AF$3:$AF$319=$A7)*('NVRAM map'!$AI$3:$AI$319&gt;=R$3)*('NVRAM map'!$AJ$3:$AJ$319&lt;=R$3),0),2))</f>
        <v>TDEV_OUT_N_BIT</v>
      </c>
      <c r="S7" s="87" t="str">
        <f t="array" aca="1" ref="S7" ca="1">IF(ISNA(INDEX('NVRAM map'!$AF$3:$AG$319,MATCH(1,('NVRAM map'!$AF$3:$AF$319=$A7)*('NVRAM map'!$AI$3:$AI$319&gt;=S$3)*('NVRAM map'!$AJ$3:$AJ$319&lt;=S$3),0),2)),"-",INDEX('NVRAM map'!$AF$3:$AG$319,MATCH(1,('NVRAM map'!$AF$3:$AF$319=$A7)*('NVRAM map'!$AI$3:$AI$319&gt;=S$3)*('NVRAM map'!$AJ$3:$AJ$319&lt;=S$3),0),2))</f>
        <v>TDEV_OUT_N_BIT</v>
      </c>
      <c r="T7" s="87" t="str">
        <f t="array" aca="1" ref="T7" ca="1">IF(ISNA(INDEX('NVRAM map'!$AF$3:$AG$319,MATCH(1,('NVRAM map'!$AF$3:$AF$319=$A7)*('NVRAM map'!$AI$3:$AI$319&gt;=T$3)*('NVRAM map'!$AJ$3:$AJ$319&lt;=T$3),0),2)),"-",INDEX('NVRAM map'!$AF$3:$AG$319,MATCH(1,('NVRAM map'!$AF$3:$AF$319=$A7)*('NVRAM map'!$AI$3:$AI$319&gt;=T$3)*('NVRAM map'!$AJ$3:$AJ$319&lt;=T$3),0),2))</f>
        <v>TDEV_OUT_N_BIT</v>
      </c>
      <c r="U7" s="87" t="str">
        <f t="array" aca="1" ref="U7" ca="1">IF(ISNA(INDEX('NVRAM map'!$AF$3:$AG$319,MATCH(1,('NVRAM map'!$AF$3:$AF$319=$A7)*('NVRAM map'!$AI$3:$AI$319&gt;=U$3)*('NVRAM map'!$AJ$3:$AJ$319&lt;=U$3),0),2)),"-",INDEX('NVRAM map'!$AF$3:$AG$319,MATCH(1,('NVRAM map'!$AF$3:$AF$319=$A7)*('NVRAM map'!$AI$3:$AI$319&gt;=U$3)*('NVRAM map'!$AJ$3:$AJ$319&lt;=U$3),0),2))</f>
        <v>P_OUT_N_BIT</v>
      </c>
      <c r="V7" s="87" t="str">
        <f t="array" aca="1" ref="V7" ca="1">IF(ISNA(INDEX('NVRAM map'!$AF$3:$AG$319,MATCH(1,('NVRAM map'!$AF$3:$AF$319=$A7)*('NVRAM map'!$AI$3:$AI$319&gt;=V$3)*('NVRAM map'!$AJ$3:$AJ$319&lt;=V$3),0),2)),"-",INDEX('NVRAM map'!$AF$3:$AG$319,MATCH(1,('NVRAM map'!$AF$3:$AF$319=$A7)*('NVRAM map'!$AI$3:$AI$319&gt;=V$3)*('NVRAM map'!$AJ$3:$AJ$319&lt;=V$3),0),2))</f>
        <v>P_OUT_N_BIT</v>
      </c>
      <c r="W7" s="87" t="str">
        <f t="array" aca="1" ref="W7" ca="1">IF(ISNA(INDEX('NVRAM map'!$AF$3:$AG$319,MATCH(1,('NVRAM map'!$AF$3:$AF$319=$A7)*('NVRAM map'!$AI$3:$AI$319&gt;=W$3)*('NVRAM map'!$AJ$3:$AJ$319&lt;=W$3),0),2)),"-",INDEX('NVRAM map'!$AF$3:$AG$319,MATCH(1,('NVRAM map'!$AF$3:$AF$319=$A7)*('NVRAM map'!$AI$3:$AI$319&gt;=W$3)*('NVRAM map'!$AJ$3:$AJ$319&lt;=W$3),0),2))</f>
        <v>P_OUT_N_BIT</v>
      </c>
      <c r="X7" s="88" t="str">
        <f ca="1">INDEX('NVRAM map'!$B$3:$B$319,MATCH(A7,'NVRAM map'!$E$3:$E$319,0))</f>
        <v>CUST</v>
      </c>
      <c r="AB7" s="44">
        <f t="shared" ca="1" si="2"/>
        <v>108</v>
      </c>
      <c r="AC7" s="12" t="b">
        <f ca="1">COUNTIF('NVRAM map'!$AD$3:$AE$319,A7)&lt;2</f>
        <v>1</v>
      </c>
      <c r="AD7" s="12">
        <f ca="1">SUMIF('NVRAM map'!$AF$3:$AF$319,A7,'NVRAM map'!$AK$3:$AK$319)</f>
        <v>65535</v>
      </c>
      <c r="AE7" s="12" t="str">
        <f t="shared" ca="1" si="3"/>
        <v>FFFF</v>
      </c>
      <c r="AF7" s="12" t="str">
        <f t="shared" ca="1" si="4"/>
        <v>11111111</v>
      </c>
      <c r="AG7" s="12" t="str">
        <f t="shared" ca="1" si="5"/>
        <v>11111111</v>
      </c>
      <c r="AH7" s="12">
        <f t="shared" ca="1" si="6"/>
        <v>16</v>
      </c>
      <c r="AI7" s="12">
        <f ca="1">SUMIF('NVRAM map'!$AF$3:$AF$319,A7,'NVRAM map'!$AH$3:$AH$319)</f>
        <v>16</v>
      </c>
      <c r="AJ7" s="12" t="b">
        <f t="shared" ca="1" si="7"/>
        <v>1</v>
      </c>
      <c r="AK7" s="12">
        <f ca="1">COUNTIF('NVRAM map'!$AF$3:$AF$319,A7)</f>
        <v>6</v>
      </c>
      <c r="AM7" s="89">
        <v>0</v>
      </c>
      <c r="AN7" s="80">
        <f t="shared" ca="1" si="8"/>
        <v>1</v>
      </c>
      <c r="AO7" s="80">
        <f t="shared" ca="1" si="8"/>
        <v>1</v>
      </c>
      <c r="AP7" s="80">
        <f t="shared" ca="1" si="8"/>
        <v>1</v>
      </c>
      <c r="AQ7" s="80">
        <f t="shared" ca="1" si="8"/>
        <v>0</v>
      </c>
      <c r="AR7" s="80">
        <f t="shared" ca="1" si="8"/>
        <v>0</v>
      </c>
      <c r="AS7" s="80">
        <f t="shared" ca="1" si="8"/>
        <v>0</v>
      </c>
      <c r="AT7" s="80">
        <f t="shared" ca="1" si="8"/>
        <v>1</v>
      </c>
      <c r="AU7" s="80">
        <f t="shared" ca="1" si="8"/>
        <v>1</v>
      </c>
      <c r="AV7" s="80">
        <f t="shared" ca="1" si="8"/>
        <v>1</v>
      </c>
      <c r="AW7" s="80">
        <f t="shared" ca="1" si="8"/>
        <v>0</v>
      </c>
      <c r="AX7" s="80">
        <f t="shared" ca="1" si="8"/>
        <v>0</v>
      </c>
      <c r="AY7" s="80">
        <f t="shared" ca="1" si="8"/>
        <v>0</v>
      </c>
      <c r="AZ7" s="80">
        <f t="shared" ca="1" si="8"/>
        <v>1</v>
      </c>
      <c r="BA7" s="80">
        <f t="shared" ca="1" si="8"/>
        <v>1</v>
      </c>
      <c r="BB7" s="81">
        <f t="shared" ca="1" si="8"/>
        <v>1</v>
      </c>
      <c r="BD7" s="12" t="str">
        <f t="shared" si="9"/>
        <v>0x1006</v>
      </c>
      <c r="BE7" s="12" t="str">
        <f t="shared" ca="1" si="10"/>
        <v>0000000101101011</v>
      </c>
      <c r="BG7" s="53" t="str">
        <f t="shared" ca="1" si="11"/>
        <v>`define EE_OUT_FILT_CONF 1</v>
      </c>
    </row>
    <row r="8" spans="1:59">
      <c r="A8" s="82" t="s">
        <v>271</v>
      </c>
      <c r="B8" s="82">
        <v>8</v>
      </c>
      <c r="C8" s="82">
        <v>2</v>
      </c>
      <c r="D8" s="83">
        <f ca="1">SUMIF('NVRAM map'!$AF$3:$AF$319,A8,'NVRAM map'!$AN$3:$AN$319)</f>
        <v>32768</v>
      </c>
      <c r="E8" s="84" t="str">
        <f t="shared" ca="1" si="0"/>
        <v>8000</v>
      </c>
      <c r="F8" s="85" t="str">
        <f t="shared" ref="F8:F71" ca="1" si="12">E8</f>
        <v>8000</v>
      </c>
      <c r="G8" s="86" t="str">
        <f ca="1">VLOOKUP(MemoryView!A8,'NVRAM map'!$AD$3:$AE$319,2,0)</f>
        <v>EE_WOC_VBE_NAVG_CONF</v>
      </c>
      <c r="H8" s="87" t="str">
        <f t="array" aca="1" ref="H8" ca="1">IF(ISNA(INDEX('NVRAM map'!$AF$3:$AG$319,MATCH(1,('NVRAM map'!$AF$3:$AF$319=$A8)*('NVRAM map'!$AI$3:$AI$319&gt;=H$3)*('NVRAM map'!$AJ$3:$AJ$319&lt;=H$3),0),2)),"-",INDEX('NVRAM map'!$AF$3:$AG$319,MATCH(1,('NVRAM map'!$AF$3:$AF$319=$A8)*('NVRAM map'!$AI$3:$AI$319&gt;=H$3)*('NVRAM map'!$AJ$3:$AJ$319&lt;=H$3),0),2))</f>
        <v>VBE_N_AVG</v>
      </c>
      <c r="I8" s="87" t="str">
        <f t="array" aca="1" ref="I8" ca="1">IF(ISNA(INDEX('NVRAM map'!$AF$3:$AG$319,MATCH(1,('NVRAM map'!$AF$3:$AF$319=$A8)*('NVRAM map'!$AI$3:$AI$319&gt;=I$3)*('NVRAM map'!$AJ$3:$AJ$319&lt;=I$3),0),2)),"-",INDEX('NVRAM map'!$AF$3:$AG$319,MATCH(1,('NVRAM map'!$AF$3:$AF$319=$A8)*('NVRAM map'!$AI$3:$AI$319&gt;=I$3)*('NVRAM map'!$AJ$3:$AJ$319&lt;=I$3),0),2))</f>
        <v>VBE_N_AVG</v>
      </c>
      <c r="J8" s="87" t="str">
        <f t="array" aca="1" ref="J8" ca="1">IF(ISNA(INDEX('NVRAM map'!$AF$3:$AG$319,MATCH(1,('NVRAM map'!$AF$3:$AF$319=$A8)*('NVRAM map'!$AI$3:$AI$319&gt;=J$3)*('NVRAM map'!$AJ$3:$AJ$319&lt;=J$3),0),2)),"-",INDEX('NVRAM map'!$AF$3:$AG$319,MATCH(1,('NVRAM map'!$AF$3:$AF$319=$A8)*('NVRAM map'!$AI$3:$AI$319&gt;=J$3)*('NVRAM map'!$AJ$3:$AJ$319&lt;=J$3),0),2))</f>
        <v>WOC_BASE</v>
      </c>
      <c r="K8" s="87" t="str">
        <f t="array" aca="1" ref="K8" ca="1">IF(ISNA(INDEX('NVRAM map'!$AF$3:$AG$319,MATCH(1,('NVRAM map'!$AF$3:$AF$319=$A8)*('NVRAM map'!$AI$3:$AI$319&gt;=K$3)*('NVRAM map'!$AJ$3:$AJ$319&lt;=K$3),0),2)),"-",INDEX('NVRAM map'!$AF$3:$AG$319,MATCH(1,('NVRAM map'!$AF$3:$AF$319=$A8)*('NVRAM map'!$AI$3:$AI$319&gt;=K$3)*('NVRAM map'!$AJ$3:$AJ$319&lt;=K$3),0),2))</f>
        <v>WOC_BASE</v>
      </c>
      <c r="L8" s="87" t="str">
        <f t="array" aca="1" ref="L8" ca="1">IF(ISNA(INDEX('NVRAM map'!$AF$3:$AG$319,MATCH(1,('NVRAM map'!$AF$3:$AF$319=$A8)*('NVRAM map'!$AI$3:$AI$319&gt;=L$3)*('NVRAM map'!$AJ$3:$AJ$319&lt;=L$3),0),2)),"-",INDEX('NVRAM map'!$AF$3:$AG$319,MATCH(1,('NVRAM map'!$AF$3:$AF$319=$A8)*('NVRAM map'!$AI$3:$AI$319&gt;=L$3)*('NVRAM map'!$AJ$3:$AJ$319&lt;=L$3),0),2))</f>
        <v>WOC_BASE</v>
      </c>
      <c r="M8" s="87" t="str">
        <f t="array" aca="1" ref="M8" ca="1">IF(ISNA(INDEX('NVRAM map'!$AF$3:$AG$319,MATCH(1,('NVRAM map'!$AF$3:$AF$319=$A8)*('NVRAM map'!$AI$3:$AI$319&gt;=M$3)*('NVRAM map'!$AJ$3:$AJ$319&lt;=M$3),0),2)),"-",INDEX('NVRAM map'!$AF$3:$AG$319,MATCH(1,('NVRAM map'!$AF$3:$AF$319=$A8)*('NVRAM map'!$AI$3:$AI$319&gt;=M$3)*('NVRAM map'!$AJ$3:$AJ$319&lt;=M$3),0),2))</f>
        <v>WOC_BASE</v>
      </c>
      <c r="N8" s="87" t="str">
        <f t="array" aca="1" ref="N8" ca="1">IF(ISNA(INDEX('NVRAM map'!$AF$3:$AG$319,MATCH(1,('NVRAM map'!$AF$3:$AF$319=$A8)*('NVRAM map'!$AI$3:$AI$319&gt;=N$3)*('NVRAM map'!$AJ$3:$AJ$319&lt;=N$3),0),2)),"-",INDEX('NVRAM map'!$AF$3:$AG$319,MATCH(1,('NVRAM map'!$AF$3:$AF$319=$A8)*('NVRAM map'!$AI$3:$AI$319&gt;=N$3)*('NVRAM map'!$AJ$3:$AJ$319&lt;=N$3),0),2))</f>
        <v>WOC_BASE</v>
      </c>
      <c r="O8" s="87" t="str">
        <f t="array" aca="1" ref="O8" ca="1">IF(ISNA(INDEX('NVRAM map'!$AF$3:$AG$319,MATCH(1,('NVRAM map'!$AF$3:$AF$319=$A8)*('NVRAM map'!$AI$3:$AI$319&gt;=O$3)*('NVRAM map'!$AJ$3:$AJ$319&lt;=O$3),0),2)),"-",INDEX('NVRAM map'!$AF$3:$AG$319,MATCH(1,('NVRAM map'!$AF$3:$AF$319=$A8)*('NVRAM map'!$AI$3:$AI$319&gt;=O$3)*('NVRAM map'!$AJ$3:$AJ$319&lt;=O$3),0),2))</f>
        <v>WOC_BASE</v>
      </c>
      <c r="P8" s="87" t="str">
        <f t="array" aca="1" ref="P8" ca="1">IF(ISNA(INDEX('NVRAM map'!$AF$3:$AG$319,MATCH(1,('NVRAM map'!$AF$3:$AF$319=$A8)*('NVRAM map'!$AI$3:$AI$319&gt;=P$3)*('NVRAM map'!$AJ$3:$AJ$319&lt;=P$3),0),2)),"-",INDEX('NVRAM map'!$AF$3:$AG$319,MATCH(1,('NVRAM map'!$AF$3:$AF$319=$A8)*('NVRAM map'!$AI$3:$AI$319&gt;=P$3)*('NVRAM map'!$AJ$3:$AJ$319&lt;=P$3),0),2))</f>
        <v>WOC_BASE</v>
      </c>
      <c r="Q8" s="87" t="str">
        <f t="array" aca="1" ref="Q8" ca="1">IF(ISNA(INDEX('NVRAM map'!$AF$3:$AG$319,MATCH(1,('NVRAM map'!$AF$3:$AF$319=$A8)*('NVRAM map'!$AI$3:$AI$319&gt;=Q$3)*('NVRAM map'!$AJ$3:$AJ$319&lt;=Q$3),0),2)),"-",INDEX('NVRAM map'!$AF$3:$AG$319,MATCH(1,('NVRAM map'!$AF$3:$AF$319=$A8)*('NVRAM map'!$AI$3:$AI$319&gt;=Q$3)*('NVRAM map'!$AJ$3:$AJ$319&lt;=Q$3),0),2))</f>
        <v>WOC_BASE</v>
      </c>
      <c r="R8" s="87" t="str">
        <f t="array" aca="1" ref="R8" ca="1">IF(ISNA(INDEX('NVRAM map'!$AF$3:$AG$319,MATCH(1,('NVRAM map'!$AF$3:$AF$319=$A8)*('NVRAM map'!$AI$3:$AI$319&gt;=R$3)*('NVRAM map'!$AJ$3:$AJ$319&lt;=R$3),0),2)),"-",INDEX('NVRAM map'!$AF$3:$AG$319,MATCH(1,('NVRAM map'!$AF$3:$AF$319=$A8)*('NVRAM map'!$AI$3:$AI$319&gt;=R$3)*('NVRAM map'!$AJ$3:$AJ$319&lt;=R$3),0),2))</f>
        <v>WOC_BASE</v>
      </c>
      <c r="S8" s="87" t="str">
        <f t="array" aca="1" ref="S8" ca="1">IF(ISNA(INDEX('NVRAM map'!$AF$3:$AG$319,MATCH(1,('NVRAM map'!$AF$3:$AF$319=$A8)*('NVRAM map'!$AI$3:$AI$319&gt;=S$3)*('NVRAM map'!$AJ$3:$AJ$319&lt;=S$3),0),2)),"-",INDEX('NVRAM map'!$AF$3:$AG$319,MATCH(1,('NVRAM map'!$AF$3:$AF$319=$A8)*('NVRAM map'!$AI$3:$AI$319&gt;=S$3)*('NVRAM map'!$AJ$3:$AJ$319&lt;=S$3),0),2))</f>
        <v>WOC_BASE</v>
      </c>
      <c r="T8" s="87" t="str">
        <f t="array" aca="1" ref="T8" ca="1">IF(ISNA(INDEX('NVRAM map'!$AF$3:$AG$319,MATCH(1,('NVRAM map'!$AF$3:$AF$319=$A8)*('NVRAM map'!$AI$3:$AI$319&gt;=T$3)*('NVRAM map'!$AJ$3:$AJ$319&lt;=T$3),0),2)),"-",INDEX('NVRAM map'!$AF$3:$AG$319,MATCH(1,('NVRAM map'!$AF$3:$AF$319=$A8)*('NVRAM map'!$AI$3:$AI$319&gt;=T$3)*('NVRAM map'!$AJ$3:$AJ$319&lt;=T$3),0),2))</f>
        <v>WOC_BASE</v>
      </c>
      <c r="U8" s="87" t="str">
        <f t="array" aca="1" ref="U8" ca="1">IF(ISNA(INDEX('NVRAM map'!$AF$3:$AG$319,MATCH(1,('NVRAM map'!$AF$3:$AF$319=$A8)*('NVRAM map'!$AI$3:$AI$319&gt;=U$3)*('NVRAM map'!$AJ$3:$AJ$319&lt;=U$3),0),2)),"-",INDEX('NVRAM map'!$AF$3:$AG$319,MATCH(1,('NVRAM map'!$AF$3:$AF$319=$A8)*('NVRAM map'!$AI$3:$AI$319&gt;=U$3)*('NVRAM map'!$AJ$3:$AJ$319&lt;=U$3),0),2))</f>
        <v>WOC_BASE</v>
      </c>
      <c r="V8" s="87" t="str">
        <f t="array" aca="1" ref="V8" ca="1">IF(ISNA(INDEX('NVRAM map'!$AF$3:$AG$319,MATCH(1,('NVRAM map'!$AF$3:$AF$319=$A8)*('NVRAM map'!$AI$3:$AI$319&gt;=V$3)*('NVRAM map'!$AJ$3:$AJ$319&lt;=V$3),0),2)),"-",INDEX('NVRAM map'!$AF$3:$AG$319,MATCH(1,('NVRAM map'!$AF$3:$AF$319=$A8)*('NVRAM map'!$AI$3:$AI$319&gt;=V$3)*('NVRAM map'!$AJ$3:$AJ$319&lt;=V$3),0),2))</f>
        <v>WOC_BASE</v>
      </c>
      <c r="W8" s="87" t="str">
        <f t="array" aca="1" ref="W8" ca="1">IF(ISNA(INDEX('NVRAM map'!$AF$3:$AG$319,MATCH(1,('NVRAM map'!$AF$3:$AF$319=$A8)*('NVRAM map'!$AI$3:$AI$319&gt;=W$3)*('NVRAM map'!$AJ$3:$AJ$319&lt;=W$3),0),2)),"-",INDEX('NVRAM map'!$AF$3:$AG$319,MATCH(1,('NVRAM map'!$AF$3:$AF$319=$A8)*('NVRAM map'!$AI$3:$AI$319&gt;=W$3)*('NVRAM map'!$AJ$3:$AJ$319&lt;=W$3),0),2))</f>
        <v>WOC_BASE</v>
      </c>
      <c r="X8" s="88" t="str">
        <f ca="1">INDEX('NVRAM map'!$B$3:$B$319,MATCH(A8,'NVRAM map'!$E$3:$E$319,0))</f>
        <v>CUST</v>
      </c>
      <c r="AB8" s="44">
        <f t="shared" ca="1" si="2"/>
        <v>128</v>
      </c>
      <c r="AC8" s="12" t="b">
        <f ca="1">COUNTIF('NVRAM map'!$AD$3:$AE$319,A8)&lt;2</f>
        <v>1</v>
      </c>
      <c r="AD8" s="12">
        <f ca="1">SUMIF('NVRAM map'!$AF$3:$AF$319,A8,'NVRAM map'!$AK$3:$AK$319)</f>
        <v>65535</v>
      </c>
      <c r="AE8" s="12" t="str">
        <f t="shared" ca="1" si="3"/>
        <v>FFFF</v>
      </c>
      <c r="AF8" s="12" t="str">
        <f t="shared" ca="1" si="4"/>
        <v>11111111</v>
      </c>
      <c r="AG8" s="12" t="str">
        <f t="shared" ca="1" si="5"/>
        <v>11111111</v>
      </c>
      <c r="AH8" s="12">
        <f t="shared" ca="1" si="6"/>
        <v>16</v>
      </c>
      <c r="AI8" s="12">
        <f ca="1">SUMIF('NVRAM map'!$AF$3:$AF$319,A8,'NVRAM map'!$AH$3:$AH$319)</f>
        <v>16</v>
      </c>
      <c r="AJ8" s="12" t="b">
        <f t="shared" ca="1" si="7"/>
        <v>1</v>
      </c>
      <c r="AK8" s="12">
        <f ca="1">COUNTIF('NVRAM map'!$AF$3:$AF$319,A8)</f>
        <v>2</v>
      </c>
      <c r="AM8" s="89">
        <v>0</v>
      </c>
      <c r="AN8" s="80">
        <f t="shared" ca="1" si="8"/>
        <v>0</v>
      </c>
      <c r="AO8" s="80">
        <f t="shared" ca="1" si="8"/>
        <v>1</v>
      </c>
      <c r="AP8" s="80">
        <f t="shared" ca="1" si="8"/>
        <v>1</v>
      </c>
      <c r="AQ8" s="80">
        <f t="shared" ca="1" si="8"/>
        <v>1</v>
      </c>
      <c r="AR8" s="80">
        <f t="shared" ca="1" si="8"/>
        <v>1</v>
      </c>
      <c r="AS8" s="80">
        <f t="shared" ca="1" si="8"/>
        <v>1</v>
      </c>
      <c r="AT8" s="80">
        <f t="shared" ca="1" si="8"/>
        <v>1</v>
      </c>
      <c r="AU8" s="80">
        <f t="shared" ca="1" si="8"/>
        <v>1</v>
      </c>
      <c r="AV8" s="80">
        <f t="shared" ca="1" si="8"/>
        <v>1</v>
      </c>
      <c r="AW8" s="80">
        <f t="shared" ca="1" si="8"/>
        <v>1</v>
      </c>
      <c r="AX8" s="80">
        <f t="shared" ca="1" si="8"/>
        <v>1</v>
      </c>
      <c r="AY8" s="80">
        <f t="shared" ca="1" si="8"/>
        <v>1</v>
      </c>
      <c r="AZ8" s="80">
        <f t="shared" ca="1" si="8"/>
        <v>1</v>
      </c>
      <c r="BA8" s="80">
        <f t="shared" ca="1" si="8"/>
        <v>1</v>
      </c>
      <c r="BB8" s="81">
        <f t="shared" ca="1" si="8"/>
        <v>1</v>
      </c>
      <c r="BD8" s="12" t="str">
        <f t="shared" si="9"/>
        <v>0x1008</v>
      </c>
      <c r="BE8" s="12" t="str">
        <f t="shared" ca="1" si="10"/>
        <v>1000000000000000</v>
      </c>
      <c r="BG8" s="53" t="str">
        <f t="shared" ca="1" si="11"/>
        <v>`define EE_WOC_VBE_NAVG_CONF 2</v>
      </c>
    </row>
    <row r="9" spans="1:59" ht="25.5">
      <c r="A9" s="82" t="s">
        <v>272</v>
      </c>
      <c r="B9" s="82">
        <v>10</v>
      </c>
      <c r="C9" s="82">
        <v>2</v>
      </c>
      <c r="D9" s="83">
        <f ca="1">SUMIF('NVRAM map'!$AF$3:$AF$319,A9,'NVRAM map'!$AN$3:$AN$319)</f>
        <v>8192</v>
      </c>
      <c r="E9" s="84" t="str">
        <f t="shared" ca="1" si="0"/>
        <v>2000</v>
      </c>
      <c r="F9" s="85" t="str">
        <f t="shared" ca="1" si="12"/>
        <v>2000</v>
      </c>
      <c r="G9" s="86" t="str">
        <f ca="1">VLOOKUP(MemoryView!A9,'NVRAM map'!$AD$3:$AE$319,2,0)</f>
        <v>EE_WOC_BURST_CONT_CONF</v>
      </c>
      <c r="H9" s="87" t="str">
        <f t="array" aca="1" ref="H9" ca="1">IF(ISNA(INDEX('NVRAM map'!$AF$3:$AG$319,MATCH(1,('NVRAM map'!$AF$3:$AF$319=$A9)*('NVRAM map'!$AI$3:$AI$319&gt;=H$3)*('NVRAM map'!$AJ$3:$AJ$319&lt;=H$3),0),2)),"-",INDEX('NVRAM map'!$AF$3:$AG$319,MATCH(1,('NVRAM map'!$AF$3:$AF$319=$A9)*('NVRAM map'!$AI$3:$AI$319&gt;=H$3)*('NVRAM map'!$AJ$3:$AJ$319&lt;=H$3),0),2))</f>
        <v>CONT_MODE_N_MEAS</v>
      </c>
      <c r="I9" s="87" t="str">
        <f t="array" aca="1" ref="I9" ca="1">IF(ISNA(INDEX('NVRAM map'!$AF$3:$AG$319,MATCH(1,('NVRAM map'!$AF$3:$AF$319=$A9)*('NVRAM map'!$AI$3:$AI$319&gt;=I$3)*('NVRAM map'!$AJ$3:$AJ$319&lt;=I$3),0),2)),"-",INDEX('NVRAM map'!$AF$3:$AG$319,MATCH(1,('NVRAM map'!$AF$3:$AF$319=$A9)*('NVRAM map'!$AI$3:$AI$319&gt;=I$3)*('NVRAM map'!$AJ$3:$AJ$319&lt;=I$3),0),2))</f>
        <v>CONT_MODE_N_MEAS</v>
      </c>
      <c r="J9" s="87" t="str">
        <f t="array" aca="1" ref="J9" ca="1">IF(ISNA(INDEX('NVRAM map'!$AF$3:$AG$319,MATCH(1,('NVRAM map'!$AF$3:$AF$319=$A9)*('NVRAM map'!$AI$3:$AI$319&gt;=J$3)*('NVRAM map'!$AJ$3:$AJ$319&lt;=J$3),0),2)),"-",INDEX('NVRAM map'!$AF$3:$AG$319,MATCH(1,('NVRAM map'!$AF$3:$AF$319=$A9)*('NVRAM map'!$AI$3:$AI$319&gt;=J$3)*('NVRAM map'!$AJ$3:$AJ$319&lt;=J$3),0),2))</f>
        <v>CONT_MODE_N_MEAS</v>
      </c>
      <c r="K9" s="87" t="str">
        <f t="array" aca="1" ref="K9" ca="1">IF(ISNA(INDEX('NVRAM map'!$AF$3:$AG$319,MATCH(1,('NVRAM map'!$AF$3:$AF$319=$A9)*('NVRAM map'!$AI$3:$AI$319&gt;=K$3)*('NVRAM map'!$AJ$3:$AJ$319&lt;=K$3),0),2)),"-",INDEX('NVRAM map'!$AF$3:$AG$319,MATCH(1,('NVRAM map'!$AF$3:$AF$319=$A9)*('NVRAM map'!$AI$3:$AI$319&gt;=K$3)*('NVRAM map'!$AJ$3:$AJ$319&lt;=K$3),0),2))</f>
        <v>CONT_MODE_N_MEAS</v>
      </c>
      <c r="L9" s="87" t="str">
        <f t="array" aca="1" ref="L9" ca="1">IF(ISNA(INDEX('NVRAM map'!$AF$3:$AG$319,MATCH(1,('NVRAM map'!$AF$3:$AF$319=$A9)*('NVRAM map'!$AI$3:$AI$319&gt;=L$3)*('NVRAM map'!$AJ$3:$AJ$319&lt;=L$3),0),2)),"-",INDEX('NVRAM map'!$AF$3:$AG$319,MATCH(1,('NVRAM map'!$AF$3:$AF$319=$A9)*('NVRAM map'!$AI$3:$AI$319&gt;=L$3)*('NVRAM map'!$AJ$3:$AJ$319&lt;=L$3),0),2))</f>
        <v>WUT_CONFIG</v>
      </c>
      <c r="M9" s="87" t="str">
        <f t="array" aca="1" ref="M9" ca="1">IF(ISNA(INDEX('NVRAM map'!$AF$3:$AG$319,MATCH(1,('NVRAM map'!$AF$3:$AF$319=$A9)*('NVRAM map'!$AI$3:$AI$319&gt;=M$3)*('NVRAM map'!$AJ$3:$AJ$319&lt;=M$3),0),2)),"-",INDEX('NVRAM map'!$AF$3:$AG$319,MATCH(1,('NVRAM map'!$AF$3:$AF$319=$A9)*('NVRAM map'!$AI$3:$AI$319&gt;=M$3)*('NVRAM map'!$AJ$3:$AJ$319&lt;=M$3),0),2))</f>
        <v>WUT_CONFIG</v>
      </c>
      <c r="N9" s="87" t="str">
        <f t="array" aca="1" ref="N9" ca="1">IF(ISNA(INDEX('NVRAM map'!$AF$3:$AG$319,MATCH(1,('NVRAM map'!$AF$3:$AF$319=$A9)*('NVRAM map'!$AI$3:$AI$319&gt;=N$3)*('NVRAM map'!$AJ$3:$AJ$319&lt;=N$3),0),2)),"-",INDEX('NVRAM map'!$AF$3:$AG$319,MATCH(1,('NVRAM map'!$AF$3:$AF$319=$A9)*('NVRAM map'!$AI$3:$AI$319&gt;=N$3)*('NVRAM map'!$AJ$3:$AJ$319&lt;=N$3),0),2))</f>
        <v>WUT_CONFIG</v>
      </c>
      <c r="O9" s="87" t="str">
        <f t="array" aca="1" ref="O9" ca="1">IF(ISNA(INDEX('NVRAM map'!$AF$3:$AG$319,MATCH(1,('NVRAM map'!$AF$3:$AF$319=$A9)*('NVRAM map'!$AI$3:$AI$319&gt;=O$3)*('NVRAM map'!$AJ$3:$AJ$319&lt;=O$3),0),2)),"-",INDEX('NVRAM map'!$AF$3:$AG$319,MATCH(1,('NVRAM map'!$AF$3:$AF$319=$A9)*('NVRAM map'!$AI$3:$AI$319&gt;=O$3)*('NVRAM map'!$AJ$3:$AJ$319&lt;=O$3),0),2))</f>
        <v>WUT_CONFIG</v>
      </c>
      <c r="P9" s="87" t="str">
        <f t="array" aca="1" ref="P9" ca="1">IF(ISNA(INDEX('NVRAM map'!$AF$3:$AG$319,MATCH(1,('NVRAM map'!$AF$3:$AF$319=$A9)*('NVRAM map'!$AI$3:$AI$319&gt;=P$3)*('NVRAM map'!$AJ$3:$AJ$319&lt;=P$3),0),2)),"-",INDEX('NVRAM map'!$AF$3:$AG$319,MATCH(1,('NVRAM map'!$AF$3:$AF$319=$A9)*('NVRAM map'!$AI$3:$AI$319&gt;=P$3)*('NVRAM map'!$AJ$3:$AJ$319&lt;=P$3),0),2))</f>
        <v>WUT_CONFIG</v>
      </c>
      <c r="Q9" s="87" t="str">
        <f t="array" aca="1" ref="Q9" ca="1">IF(ISNA(INDEX('NVRAM map'!$AF$3:$AG$319,MATCH(1,('NVRAM map'!$AF$3:$AF$319=$A9)*('NVRAM map'!$AI$3:$AI$319&gt;=Q$3)*('NVRAM map'!$AJ$3:$AJ$319&lt;=Q$3),0),2)),"-",INDEX('NVRAM map'!$AF$3:$AG$319,MATCH(1,('NVRAM map'!$AF$3:$AF$319=$A9)*('NVRAM map'!$AI$3:$AI$319&gt;=Q$3)*('NVRAM map'!$AJ$3:$AJ$319&lt;=Q$3),0),2))</f>
        <v>WOC_THRESHOLD</v>
      </c>
      <c r="R9" s="87" t="str">
        <f t="array" aca="1" ref="R9" ca="1">IF(ISNA(INDEX('NVRAM map'!$AF$3:$AG$319,MATCH(1,('NVRAM map'!$AF$3:$AF$319=$A9)*('NVRAM map'!$AI$3:$AI$319&gt;=R$3)*('NVRAM map'!$AJ$3:$AJ$319&lt;=R$3),0),2)),"-",INDEX('NVRAM map'!$AF$3:$AG$319,MATCH(1,('NVRAM map'!$AF$3:$AF$319=$A9)*('NVRAM map'!$AI$3:$AI$319&gt;=R$3)*('NVRAM map'!$AJ$3:$AJ$319&lt;=R$3),0),2))</f>
        <v>WOC_THRESHOLD</v>
      </c>
      <c r="S9" s="87" t="str">
        <f t="array" aca="1" ref="S9" ca="1">IF(ISNA(INDEX('NVRAM map'!$AF$3:$AG$319,MATCH(1,('NVRAM map'!$AF$3:$AF$319=$A9)*('NVRAM map'!$AI$3:$AI$319&gt;=S$3)*('NVRAM map'!$AJ$3:$AJ$319&lt;=S$3),0),2)),"-",INDEX('NVRAM map'!$AF$3:$AG$319,MATCH(1,('NVRAM map'!$AF$3:$AF$319=$A9)*('NVRAM map'!$AI$3:$AI$319&gt;=S$3)*('NVRAM map'!$AJ$3:$AJ$319&lt;=S$3),0),2))</f>
        <v>WOC_THRESHOLD</v>
      </c>
      <c r="T9" s="87" t="str">
        <f t="array" aca="1" ref="T9" ca="1">IF(ISNA(INDEX('NVRAM map'!$AF$3:$AG$319,MATCH(1,('NVRAM map'!$AF$3:$AF$319=$A9)*('NVRAM map'!$AI$3:$AI$319&gt;=T$3)*('NVRAM map'!$AJ$3:$AJ$319&lt;=T$3),0),2)),"-",INDEX('NVRAM map'!$AF$3:$AG$319,MATCH(1,('NVRAM map'!$AF$3:$AF$319=$A9)*('NVRAM map'!$AI$3:$AI$319&gt;=T$3)*('NVRAM map'!$AJ$3:$AJ$319&lt;=T$3),0),2))</f>
        <v>WOC_THRESHOLD</v>
      </c>
      <c r="U9" s="87" t="str">
        <f t="array" aca="1" ref="U9" ca="1">IF(ISNA(INDEX('NVRAM map'!$AF$3:$AG$319,MATCH(1,('NVRAM map'!$AF$3:$AF$319=$A9)*('NVRAM map'!$AI$3:$AI$319&gt;=U$3)*('NVRAM map'!$AJ$3:$AJ$319&lt;=U$3),0),2)),"-",INDEX('NVRAM map'!$AF$3:$AG$319,MATCH(1,('NVRAM map'!$AF$3:$AF$319=$A9)*('NVRAM map'!$AI$3:$AI$319&gt;=U$3)*('NVRAM map'!$AJ$3:$AJ$319&lt;=U$3),0),2))</f>
        <v>WOC_THRESHOLD</v>
      </c>
      <c r="V9" s="87" t="str">
        <f t="array" aca="1" ref="V9" ca="1">IF(ISNA(INDEX('NVRAM map'!$AF$3:$AG$319,MATCH(1,('NVRAM map'!$AF$3:$AF$319=$A9)*('NVRAM map'!$AI$3:$AI$319&gt;=V$3)*('NVRAM map'!$AJ$3:$AJ$319&lt;=V$3),0),2)),"-",INDEX('NVRAM map'!$AF$3:$AG$319,MATCH(1,('NVRAM map'!$AF$3:$AF$319=$A9)*('NVRAM map'!$AI$3:$AI$319&gt;=V$3)*('NVRAM map'!$AJ$3:$AJ$319&lt;=V$3),0),2))</f>
        <v>WOC_THRESHOLD</v>
      </c>
      <c r="W9" s="87" t="str">
        <f t="array" aca="1" ref="W9" ca="1">IF(ISNA(INDEX('NVRAM map'!$AF$3:$AG$319,MATCH(1,('NVRAM map'!$AF$3:$AF$319=$A9)*('NVRAM map'!$AI$3:$AI$319&gt;=W$3)*('NVRAM map'!$AJ$3:$AJ$319&lt;=W$3),0),2)),"-",INDEX('NVRAM map'!$AF$3:$AG$319,MATCH(1,('NVRAM map'!$AF$3:$AF$319=$A9)*('NVRAM map'!$AI$3:$AI$319&gt;=W$3)*('NVRAM map'!$AJ$3:$AJ$319&lt;=W$3),0),2))</f>
        <v>WOC_THRESHOLD</v>
      </c>
      <c r="X9" s="88" t="str">
        <f ca="1">INDEX('NVRAM map'!$B$3:$B$319,MATCH(A9,'NVRAM map'!$E$3:$E$319,0))</f>
        <v>CUST</v>
      </c>
      <c r="AB9" s="44">
        <f t="shared" ca="1" si="2"/>
        <v>32</v>
      </c>
      <c r="AC9" s="12" t="b">
        <f ca="1">COUNTIF('NVRAM map'!$AD$3:$AE$319,A9)&lt;2</f>
        <v>1</v>
      </c>
      <c r="AD9" s="12">
        <f ca="1">SUMIF('NVRAM map'!$AF$3:$AF$319,A9,'NVRAM map'!$AK$3:$AK$319)</f>
        <v>65535</v>
      </c>
      <c r="AE9" s="12" t="str">
        <f t="shared" ca="1" si="3"/>
        <v>FFFF</v>
      </c>
      <c r="AF9" s="12" t="str">
        <f t="shared" ca="1" si="4"/>
        <v>11111111</v>
      </c>
      <c r="AG9" s="12" t="str">
        <f t="shared" ca="1" si="5"/>
        <v>11111111</v>
      </c>
      <c r="AH9" s="12">
        <f t="shared" ca="1" si="6"/>
        <v>16</v>
      </c>
      <c r="AI9" s="12">
        <f ca="1">SUMIF('NVRAM map'!$AF$3:$AF$319,A9,'NVRAM map'!$AH$3:$AH$319)</f>
        <v>16</v>
      </c>
      <c r="AJ9" s="12" t="b">
        <f t="shared" ca="1" si="7"/>
        <v>1</v>
      </c>
      <c r="AK9" s="12">
        <f ca="1">COUNTIF('NVRAM map'!$AF$3:$AF$319,A9)</f>
        <v>3</v>
      </c>
      <c r="AM9" s="89">
        <v>0</v>
      </c>
      <c r="AN9" s="80">
        <f t="shared" ca="1" si="8"/>
        <v>0</v>
      </c>
      <c r="AO9" s="80">
        <f t="shared" ca="1" si="8"/>
        <v>0</v>
      </c>
      <c r="AP9" s="80">
        <f t="shared" ca="1" si="8"/>
        <v>0</v>
      </c>
      <c r="AQ9" s="80">
        <f t="shared" ca="1" si="8"/>
        <v>1</v>
      </c>
      <c r="AR9" s="80">
        <f t="shared" ca="1" si="8"/>
        <v>1</v>
      </c>
      <c r="AS9" s="80">
        <f t="shared" ca="1" si="8"/>
        <v>1</v>
      </c>
      <c r="AT9" s="80">
        <f t="shared" ca="1" si="8"/>
        <v>1</v>
      </c>
      <c r="AU9" s="80">
        <f t="shared" ca="1" si="8"/>
        <v>1</v>
      </c>
      <c r="AV9" s="80">
        <f t="shared" ca="1" si="8"/>
        <v>0</v>
      </c>
      <c r="AW9" s="80">
        <f t="shared" ca="1" si="8"/>
        <v>0</v>
      </c>
      <c r="AX9" s="80">
        <f t="shared" ca="1" si="8"/>
        <v>0</v>
      </c>
      <c r="AY9" s="80">
        <f t="shared" ca="1" si="8"/>
        <v>0</v>
      </c>
      <c r="AZ9" s="80">
        <f t="shared" ca="1" si="8"/>
        <v>0</v>
      </c>
      <c r="BA9" s="80">
        <f t="shared" ca="1" si="8"/>
        <v>0</v>
      </c>
      <c r="BB9" s="81">
        <f t="shared" ca="1" si="8"/>
        <v>0</v>
      </c>
      <c r="BD9" s="12" t="str">
        <f t="shared" si="9"/>
        <v>0x100A</v>
      </c>
      <c r="BE9" s="12" t="str">
        <f t="shared" ca="1" si="10"/>
        <v>0010000000000000</v>
      </c>
      <c r="BG9" s="53" t="str">
        <f t="shared" ca="1" si="11"/>
        <v>`define EE_WOC_BURST_CONT_CONF 2</v>
      </c>
    </row>
    <row r="10" spans="1:59" ht="25.5">
      <c r="A10" s="82" t="s">
        <v>273</v>
      </c>
      <c r="B10" s="82">
        <v>12</v>
      </c>
      <c r="C10" s="82">
        <v>3</v>
      </c>
      <c r="D10" s="83">
        <f ca="1">SUMIF('NVRAM map'!$AF$3:$AF$319,A10,'NVRAM map'!$AN$3:$AN$319)</f>
        <v>10390</v>
      </c>
      <c r="E10" s="84" t="str">
        <f t="shared" ca="1" si="0"/>
        <v>2896</v>
      </c>
      <c r="F10" s="85" t="str">
        <f t="shared" ca="1" si="12"/>
        <v>2896</v>
      </c>
      <c r="G10" s="86" t="str">
        <f ca="1">VLOOKUP(MemoryView!A10,'NVRAM map'!$AD$3:$AE$319,2,0)</f>
        <v>EE_PRESS_LSM</v>
      </c>
      <c r="H10" s="87" t="str">
        <f t="array" aca="1" ref="H10" ca="1">IF(ISNA(INDEX('NVRAM map'!$AF$3:$AG$319,MATCH(1,('NVRAM map'!$AF$3:$AF$319=$A10)*('NVRAM map'!$AI$3:$AI$319&gt;=H$3)*('NVRAM map'!$AJ$3:$AJ$319&lt;=H$3),0),2)),"-",INDEX('NVRAM map'!$AF$3:$AG$319,MATCH(1,('NVRAM map'!$AF$3:$AF$319=$A10)*('NVRAM map'!$AI$3:$AI$319&gt;=H$3)*('NVRAM map'!$AJ$3:$AJ$319&lt;=H$3),0),2))</f>
        <v>P_THRD_LOCK_HIGH</v>
      </c>
      <c r="I10" s="87" t="str">
        <f t="array" aca="1" ref="I10" ca="1">IF(ISNA(INDEX('NVRAM map'!$AF$3:$AG$319,MATCH(1,('NVRAM map'!$AF$3:$AF$319=$A10)*('NVRAM map'!$AI$3:$AI$319&gt;=I$3)*('NVRAM map'!$AJ$3:$AJ$319&lt;=I$3),0),2)),"-",INDEX('NVRAM map'!$AF$3:$AG$319,MATCH(1,('NVRAM map'!$AF$3:$AF$319=$A10)*('NVRAM map'!$AI$3:$AI$319&gt;=I$3)*('NVRAM map'!$AJ$3:$AJ$319&lt;=I$3),0),2))</f>
        <v>P_THRD_LOCK_HIGH</v>
      </c>
      <c r="J10" s="87" t="str">
        <f t="array" aca="1" ref="J10" ca="1">IF(ISNA(INDEX('NVRAM map'!$AF$3:$AG$319,MATCH(1,('NVRAM map'!$AF$3:$AF$319=$A10)*('NVRAM map'!$AI$3:$AI$319&gt;=J$3)*('NVRAM map'!$AJ$3:$AJ$319&lt;=J$3),0),2)),"-",INDEX('NVRAM map'!$AF$3:$AG$319,MATCH(1,('NVRAM map'!$AF$3:$AF$319=$A10)*('NVRAM map'!$AI$3:$AI$319&gt;=J$3)*('NVRAM map'!$AJ$3:$AJ$319&lt;=J$3),0),2))</f>
        <v>P_THRD_LOCK_HIGH</v>
      </c>
      <c r="K10" s="87" t="str">
        <f t="array" aca="1" ref="K10" ca="1">IF(ISNA(INDEX('NVRAM map'!$AF$3:$AG$319,MATCH(1,('NVRAM map'!$AF$3:$AF$319=$A10)*('NVRAM map'!$AI$3:$AI$319&gt;=K$3)*('NVRAM map'!$AJ$3:$AJ$319&lt;=K$3),0),2)),"-",INDEX('NVRAM map'!$AF$3:$AG$319,MATCH(1,('NVRAM map'!$AF$3:$AF$319=$A10)*('NVRAM map'!$AI$3:$AI$319&gt;=K$3)*('NVRAM map'!$AJ$3:$AJ$319&lt;=K$3),0),2))</f>
        <v>P_THRD_LOCK_HIGH</v>
      </c>
      <c r="L10" s="87" t="str">
        <f t="array" aca="1" ref="L10" ca="1">IF(ISNA(INDEX('NVRAM map'!$AF$3:$AG$319,MATCH(1,('NVRAM map'!$AF$3:$AF$319=$A10)*('NVRAM map'!$AI$3:$AI$319&gt;=L$3)*('NVRAM map'!$AJ$3:$AJ$319&lt;=L$3),0),2)),"-",INDEX('NVRAM map'!$AF$3:$AG$319,MATCH(1,('NVRAM map'!$AF$3:$AF$319=$A10)*('NVRAM map'!$AI$3:$AI$319&gt;=L$3)*('NVRAM map'!$AJ$3:$AJ$319&lt;=L$3),0),2))</f>
        <v>P_THRD_LOCK_HIGH</v>
      </c>
      <c r="M10" s="87" t="str">
        <f t="array" aca="1" ref="M10" ca="1">IF(ISNA(INDEX('NVRAM map'!$AF$3:$AG$319,MATCH(1,('NVRAM map'!$AF$3:$AF$319=$A10)*('NVRAM map'!$AI$3:$AI$319&gt;=M$3)*('NVRAM map'!$AJ$3:$AJ$319&lt;=M$3),0),2)),"-",INDEX('NVRAM map'!$AF$3:$AG$319,MATCH(1,('NVRAM map'!$AF$3:$AF$319=$A10)*('NVRAM map'!$AI$3:$AI$319&gt;=M$3)*('NVRAM map'!$AJ$3:$AJ$319&lt;=M$3),0),2))</f>
        <v>P_THRD_LOCK_HIGH</v>
      </c>
      <c r="N10" s="87" t="str">
        <f t="array" aca="1" ref="N10" ca="1">IF(ISNA(INDEX('NVRAM map'!$AF$3:$AG$319,MATCH(1,('NVRAM map'!$AF$3:$AF$319=$A10)*('NVRAM map'!$AI$3:$AI$319&gt;=N$3)*('NVRAM map'!$AJ$3:$AJ$319&lt;=N$3),0),2)),"-",INDEX('NVRAM map'!$AF$3:$AG$319,MATCH(1,('NVRAM map'!$AF$3:$AF$319=$A10)*('NVRAM map'!$AI$3:$AI$319&gt;=N$3)*('NVRAM map'!$AJ$3:$AJ$319&lt;=N$3),0),2))</f>
        <v>P_THRD_LOCK_LOW</v>
      </c>
      <c r="O10" s="87" t="str">
        <f t="array" aca="1" ref="O10" ca="1">IF(ISNA(INDEX('NVRAM map'!$AF$3:$AG$319,MATCH(1,('NVRAM map'!$AF$3:$AF$319=$A10)*('NVRAM map'!$AI$3:$AI$319&gt;=O$3)*('NVRAM map'!$AJ$3:$AJ$319&lt;=O$3),0),2)),"-",INDEX('NVRAM map'!$AF$3:$AG$319,MATCH(1,('NVRAM map'!$AF$3:$AF$319=$A10)*('NVRAM map'!$AI$3:$AI$319&gt;=O$3)*('NVRAM map'!$AJ$3:$AJ$319&lt;=O$3),0),2))</f>
        <v>P_THRD_LOCK_LOW</v>
      </c>
      <c r="P10" s="87" t="str">
        <f t="array" aca="1" ref="P10" ca="1">IF(ISNA(INDEX('NVRAM map'!$AF$3:$AG$319,MATCH(1,('NVRAM map'!$AF$3:$AF$319=$A10)*('NVRAM map'!$AI$3:$AI$319&gt;=P$3)*('NVRAM map'!$AJ$3:$AJ$319&lt;=P$3),0),2)),"-",INDEX('NVRAM map'!$AF$3:$AG$319,MATCH(1,('NVRAM map'!$AF$3:$AF$319=$A10)*('NVRAM map'!$AI$3:$AI$319&gt;=P$3)*('NVRAM map'!$AJ$3:$AJ$319&lt;=P$3),0),2))</f>
        <v>P_THRD_LOCK_LOW</v>
      </c>
      <c r="Q10" s="87" t="str">
        <f t="array" aca="1" ref="Q10" ca="1">IF(ISNA(INDEX('NVRAM map'!$AF$3:$AG$319,MATCH(1,('NVRAM map'!$AF$3:$AF$319=$A10)*('NVRAM map'!$AI$3:$AI$319&gt;=Q$3)*('NVRAM map'!$AJ$3:$AJ$319&lt;=Q$3),0),2)),"-",INDEX('NVRAM map'!$AF$3:$AG$319,MATCH(1,('NVRAM map'!$AF$3:$AF$319=$A10)*('NVRAM map'!$AI$3:$AI$319&gt;=Q$3)*('NVRAM map'!$AJ$3:$AJ$319&lt;=Q$3),0),2))</f>
        <v>P_THRD_LOCK_LOW</v>
      </c>
      <c r="R10" s="87" t="str">
        <f t="array" aca="1" ref="R10" ca="1">IF(ISNA(INDEX('NVRAM map'!$AF$3:$AG$319,MATCH(1,('NVRAM map'!$AF$3:$AF$319=$A10)*('NVRAM map'!$AI$3:$AI$319&gt;=R$3)*('NVRAM map'!$AJ$3:$AJ$319&lt;=R$3),0),2)),"-",INDEX('NVRAM map'!$AF$3:$AG$319,MATCH(1,('NVRAM map'!$AF$3:$AF$319=$A10)*('NVRAM map'!$AI$3:$AI$319&gt;=R$3)*('NVRAM map'!$AJ$3:$AJ$319&lt;=R$3),0),2))</f>
        <v>P_THRD_LOCK_LOW</v>
      </c>
      <c r="S10" s="87" t="str">
        <f t="array" aca="1" ref="S10" ca="1">IF(ISNA(INDEX('NVRAM map'!$AF$3:$AG$319,MATCH(1,('NVRAM map'!$AF$3:$AF$319=$A10)*('NVRAM map'!$AI$3:$AI$319&gt;=S$3)*('NVRAM map'!$AJ$3:$AJ$319&lt;=S$3),0),2)),"-",INDEX('NVRAM map'!$AF$3:$AG$319,MATCH(1,('NVRAM map'!$AF$3:$AF$319=$A10)*('NVRAM map'!$AI$3:$AI$319&gt;=S$3)*('NVRAM map'!$AJ$3:$AJ$319&lt;=S$3),0),2))</f>
        <v>P_CNT_LOCK_STATE</v>
      </c>
      <c r="T10" s="87" t="str">
        <f t="array" aca="1" ref="T10" ca="1">IF(ISNA(INDEX('NVRAM map'!$AF$3:$AG$319,MATCH(1,('NVRAM map'!$AF$3:$AF$319=$A10)*('NVRAM map'!$AI$3:$AI$319&gt;=T$3)*('NVRAM map'!$AJ$3:$AJ$319&lt;=T$3),0),2)),"-",INDEX('NVRAM map'!$AF$3:$AG$319,MATCH(1,('NVRAM map'!$AF$3:$AF$319=$A10)*('NVRAM map'!$AI$3:$AI$319&gt;=T$3)*('NVRAM map'!$AJ$3:$AJ$319&lt;=T$3),0),2))</f>
        <v>P_CNT_LOCK_STATE</v>
      </c>
      <c r="U10" s="87" t="str">
        <f t="array" aca="1" ref="U10" ca="1">IF(ISNA(INDEX('NVRAM map'!$AF$3:$AG$319,MATCH(1,('NVRAM map'!$AF$3:$AF$319=$A10)*('NVRAM map'!$AI$3:$AI$319&gt;=U$3)*('NVRAM map'!$AJ$3:$AJ$319&lt;=U$3),0),2)),"-",INDEX('NVRAM map'!$AF$3:$AG$319,MATCH(1,('NVRAM map'!$AF$3:$AF$319=$A10)*('NVRAM map'!$AI$3:$AI$319&gt;=U$3)*('NVRAM map'!$AJ$3:$AJ$319&lt;=U$3),0),2))</f>
        <v>P_CNT_LOCK_STATE</v>
      </c>
      <c r="V10" s="87" t="str">
        <f t="array" aca="1" ref="V10" ca="1">IF(ISNA(INDEX('NVRAM map'!$AF$3:$AG$319,MATCH(1,('NVRAM map'!$AF$3:$AF$319=$A10)*('NVRAM map'!$AI$3:$AI$319&gt;=V$3)*('NVRAM map'!$AJ$3:$AJ$319&lt;=V$3),0),2)),"-",INDEX('NVRAM map'!$AF$3:$AG$319,MATCH(1,('NVRAM map'!$AF$3:$AF$319=$A10)*('NVRAM map'!$AI$3:$AI$319&gt;=V$3)*('NVRAM map'!$AJ$3:$AJ$319&lt;=V$3),0),2))</f>
        <v>P_LPF_DEPTH</v>
      </c>
      <c r="W10" s="87" t="str">
        <f t="array" aca="1" ref="W10" ca="1">IF(ISNA(INDEX('NVRAM map'!$AF$3:$AG$319,MATCH(1,('NVRAM map'!$AF$3:$AF$319=$A10)*('NVRAM map'!$AI$3:$AI$319&gt;=W$3)*('NVRAM map'!$AJ$3:$AJ$319&lt;=W$3),0),2)),"-",INDEX('NVRAM map'!$AF$3:$AG$319,MATCH(1,('NVRAM map'!$AF$3:$AF$319=$A10)*('NVRAM map'!$AI$3:$AI$319&gt;=W$3)*('NVRAM map'!$AJ$3:$AJ$319&lt;=W$3),0),2))</f>
        <v>P_LPF_DEPTH</v>
      </c>
      <c r="X10" s="88" t="str">
        <f ca="1">INDEX('NVRAM map'!$B$3:$B$319,MATCH(A10,'NVRAM map'!$E$3:$E$319,0))</f>
        <v>CUST</v>
      </c>
      <c r="AB10" s="44">
        <f t="shared" ca="1" si="2"/>
        <v>190</v>
      </c>
      <c r="AC10" s="12" t="b">
        <f ca="1">COUNTIF('NVRAM map'!$AD$3:$AE$319,A10)&lt;2</f>
        <v>1</v>
      </c>
      <c r="AD10" s="12">
        <f ca="1">SUMIF('NVRAM map'!$AF$3:$AF$319,A10,'NVRAM map'!$AK$3:$AK$319)</f>
        <v>65535</v>
      </c>
      <c r="AE10" s="12" t="str">
        <f t="shared" ca="1" si="3"/>
        <v>FFFF</v>
      </c>
      <c r="AF10" s="12" t="str">
        <f t="shared" ca="1" si="4"/>
        <v>11111111</v>
      </c>
      <c r="AG10" s="12" t="str">
        <f t="shared" ca="1" si="5"/>
        <v>11111111</v>
      </c>
      <c r="AH10" s="12">
        <f t="shared" ca="1" si="6"/>
        <v>16</v>
      </c>
      <c r="AI10" s="12">
        <f ca="1">SUMIF('NVRAM map'!$AF$3:$AF$319,A10,'NVRAM map'!$AH$3:$AH$319)</f>
        <v>16</v>
      </c>
      <c r="AJ10" s="12" t="b">
        <f t="shared" ca="1" si="7"/>
        <v>1</v>
      </c>
      <c r="AK10" s="12">
        <f ca="1">COUNTIF('NVRAM map'!$AF$3:$AF$319,A10)</f>
        <v>4</v>
      </c>
      <c r="AM10" s="89">
        <v>0</v>
      </c>
      <c r="AN10" s="80">
        <f t="shared" ca="1" si="8"/>
        <v>0</v>
      </c>
      <c r="AO10" s="80">
        <f t="shared" ca="1" si="8"/>
        <v>0</v>
      </c>
      <c r="AP10" s="80">
        <f t="shared" ca="1" si="8"/>
        <v>0</v>
      </c>
      <c r="AQ10" s="80">
        <f t="shared" ca="1" si="8"/>
        <v>0</v>
      </c>
      <c r="AR10" s="80">
        <f t="shared" ca="1" si="8"/>
        <v>0</v>
      </c>
      <c r="AS10" s="80">
        <f t="shared" ca="1" si="8"/>
        <v>1</v>
      </c>
      <c r="AT10" s="80">
        <f t="shared" ca="1" si="8"/>
        <v>1</v>
      </c>
      <c r="AU10" s="80">
        <f t="shared" ca="1" si="8"/>
        <v>1</v>
      </c>
      <c r="AV10" s="80">
        <f t="shared" ca="1" si="8"/>
        <v>1</v>
      </c>
      <c r="AW10" s="80">
        <f t="shared" ca="1" si="8"/>
        <v>1</v>
      </c>
      <c r="AX10" s="80">
        <f t="shared" ca="1" si="8"/>
        <v>0</v>
      </c>
      <c r="AY10" s="80">
        <f t="shared" ca="1" si="8"/>
        <v>0</v>
      </c>
      <c r="AZ10" s="80">
        <f t="shared" ca="1" si="8"/>
        <v>0</v>
      </c>
      <c r="BA10" s="80">
        <f t="shared" ca="1" si="8"/>
        <v>1</v>
      </c>
      <c r="BB10" s="81">
        <f t="shared" ca="1" si="8"/>
        <v>1</v>
      </c>
      <c r="BD10" s="12" t="str">
        <f t="shared" si="9"/>
        <v>0x100C</v>
      </c>
      <c r="BE10" s="12" t="str">
        <f t="shared" ca="1" si="10"/>
        <v>0010100010010110</v>
      </c>
      <c r="BG10" s="53" t="str">
        <f t="shared" ca="1" si="11"/>
        <v>`define EE_PRESS_LSM 3</v>
      </c>
    </row>
    <row r="11" spans="1:59" ht="25.5">
      <c r="A11" s="82" t="s">
        <v>274</v>
      </c>
      <c r="B11" s="82">
        <v>14</v>
      </c>
      <c r="C11" s="82">
        <v>3</v>
      </c>
      <c r="D11" s="83">
        <f ca="1">SUMIF('NVRAM map'!$AF$3:$AF$319,A11,'NVRAM map'!$AN$3:$AN$319)</f>
        <v>17792</v>
      </c>
      <c r="E11" s="84" t="str">
        <f t="shared" ca="1" si="0"/>
        <v>4580</v>
      </c>
      <c r="F11" s="85" t="str">
        <f t="shared" ca="1" si="12"/>
        <v>4580</v>
      </c>
      <c r="G11" s="86" t="str">
        <f ca="1">VLOOKUP(MemoryView!A11,'NVRAM map'!$AD$3:$AE$319,2,0)</f>
        <v>EE_NTC_ALPF</v>
      </c>
      <c r="H11" s="87" t="str">
        <f t="array" aca="1" ref="H11" ca="1">IF(ISNA(INDEX('NVRAM map'!$AF$3:$AG$319,MATCH(1,('NVRAM map'!$AF$3:$AF$319=$A11)*('NVRAM map'!$AI$3:$AI$319&gt;=H$3)*('NVRAM map'!$AJ$3:$AJ$319&lt;=H$3),0),2)),"-",INDEX('NVRAM map'!$AF$3:$AG$319,MATCH(1,('NVRAM map'!$AF$3:$AF$319=$A11)*('NVRAM map'!$AI$3:$AI$319&gt;=H$3)*('NVRAM map'!$AJ$3:$AJ$319&lt;=H$3),0),2))</f>
        <v>NTC_ALPF_DEPTH_DEC</v>
      </c>
      <c r="I11" s="87" t="str">
        <f t="array" aca="1" ref="I11" ca="1">IF(ISNA(INDEX('NVRAM map'!$AF$3:$AG$319,MATCH(1,('NVRAM map'!$AF$3:$AF$319=$A11)*('NVRAM map'!$AI$3:$AI$319&gt;=I$3)*('NVRAM map'!$AJ$3:$AJ$319&lt;=I$3),0),2)),"-",INDEX('NVRAM map'!$AF$3:$AG$319,MATCH(1,('NVRAM map'!$AF$3:$AF$319=$A11)*('NVRAM map'!$AI$3:$AI$319&gt;=I$3)*('NVRAM map'!$AJ$3:$AJ$319&lt;=I$3),0),2))</f>
        <v>NTC_ALPF_DEPTH_DEC</v>
      </c>
      <c r="J11" s="87" t="str">
        <f t="array" aca="1" ref="J11" ca="1">IF(ISNA(INDEX('NVRAM map'!$AF$3:$AG$319,MATCH(1,('NVRAM map'!$AF$3:$AF$319=$A11)*('NVRAM map'!$AI$3:$AI$319&gt;=J$3)*('NVRAM map'!$AJ$3:$AJ$319&lt;=J$3),0),2)),"-",INDEX('NVRAM map'!$AF$3:$AG$319,MATCH(1,('NVRAM map'!$AF$3:$AF$319=$A11)*('NVRAM map'!$AI$3:$AI$319&gt;=J$3)*('NVRAM map'!$AJ$3:$AJ$319&lt;=J$3),0),2))</f>
        <v>NTC_ALPF_DEPTH_MIN</v>
      </c>
      <c r="K11" s="87" t="str">
        <f t="array" aca="1" ref="K11" ca="1">IF(ISNA(INDEX('NVRAM map'!$AF$3:$AG$319,MATCH(1,('NVRAM map'!$AF$3:$AF$319=$A11)*('NVRAM map'!$AI$3:$AI$319&gt;=K$3)*('NVRAM map'!$AJ$3:$AJ$319&lt;=K$3),0),2)),"-",INDEX('NVRAM map'!$AF$3:$AG$319,MATCH(1,('NVRAM map'!$AF$3:$AF$319=$A11)*('NVRAM map'!$AI$3:$AI$319&gt;=K$3)*('NVRAM map'!$AJ$3:$AJ$319&lt;=K$3),0),2))</f>
        <v>NTC_ALPF_DEPTH_MIN</v>
      </c>
      <c r="L11" s="87" t="str">
        <f t="array" aca="1" ref="L11" ca="1">IF(ISNA(INDEX('NVRAM map'!$AF$3:$AG$319,MATCH(1,('NVRAM map'!$AF$3:$AF$319=$A11)*('NVRAM map'!$AI$3:$AI$319&gt;=L$3)*('NVRAM map'!$AJ$3:$AJ$319&lt;=L$3),0),2)),"-",INDEX('NVRAM map'!$AF$3:$AG$319,MATCH(1,('NVRAM map'!$AF$3:$AF$319=$A11)*('NVRAM map'!$AI$3:$AI$319&gt;=L$3)*('NVRAM map'!$AJ$3:$AJ$319&lt;=L$3),0),2))</f>
        <v>NTC_ALPF_DEPTH_MIN</v>
      </c>
      <c r="M11" s="87" t="str">
        <f t="array" aca="1" ref="M11" ca="1">IF(ISNA(INDEX('NVRAM map'!$AF$3:$AG$319,MATCH(1,('NVRAM map'!$AF$3:$AF$319=$A11)*('NVRAM map'!$AI$3:$AI$319&gt;=M$3)*('NVRAM map'!$AJ$3:$AJ$319&lt;=M$3),0),2)),"-",INDEX('NVRAM map'!$AF$3:$AG$319,MATCH(1,('NVRAM map'!$AF$3:$AF$319=$A11)*('NVRAM map'!$AI$3:$AI$319&gt;=M$3)*('NVRAM map'!$AJ$3:$AJ$319&lt;=M$3),0),2))</f>
        <v>NTC_ALPF_DEPTH_MAX</v>
      </c>
      <c r="N11" s="87" t="str">
        <f t="array" aca="1" ref="N11" ca="1">IF(ISNA(INDEX('NVRAM map'!$AF$3:$AG$319,MATCH(1,('NVRAM map'!$AF$3:$AF$319=$A11)*('NVRAM map'!$AI$3:$AI$319&gt;=N$3)*('NVRAM map'!$AJ$3:$AJ$319&lt;=N$3),0),2)),"-",INDEX('NVRAM map'!$AF$3:$AG$319,MATCH(1,('NVRAM map'!$AF$3:$AF$319=$A11)*('NVRAM map'!$AI$3:$AI$319&gt;=N$3)*('NVRAM map'!$AJ$3:$AJ$319&lt;=N$3),0),2))</f>
        <v>NTC_ALPF_DEPTH_MAX</v>
      </c>
      <c r="O11" s="87" t="str">
        <f t="array" aca="1" ref="O11" ca="1">IF(ISNA(INDEX('NVRAM map'!$AF$3:$AG$319,MATCH(1,('NVRAM map'!$AF$3:$AF$319=$A11)*('NVRAM map'!$AI$3:$AI$319&gt;=O$3)*('NVRAM map'!$AJ$3:$AJ$319&lt;=O$3),0),2)),"-",INDEX('NVRAM map'!$AF$3:$AG$319,MATCH(1,('NVRAM map'!$AF$3:$AF$319=$A11)*('NVRAM map'!$AI$3:$AI$319&gt;=O$3)*('NVRAM map'!$AJ$3:$AJ$319&lt;=O$3),0),2))</f>
        <v>NTC_ALPF_DEPTH_MAX</v>
      </c>
      <c r="P11" s="87" t="str">
        <f t="array" aca="1" ref="P11" ca="1">IF(ISNA(INDEX('NVRAM map'!$AF$3:$AG$319,MATCH(1,('NVRAM map'!$AF$3:$AF$319=$A11)*('NVRAM map'!$AI$3:$AI$319&gt;=P$3)*('NVRAM map'!$AJ$3:$AJ$319&lt;=P$3),0),2)),"-",INDEX('NVRAM map'!$AF$3:$AG$319,MATCH(1,('NVRAM map'!$AF$3:$AF$319=$A11)*('NVRAM map'!$AI$3:$AI$319&gt;=P$3)*('NVRAM map'!$AJ$3:$AJ$319&lt;=P$3),0),2))</f>
        <v>NTC_ALPF_THRESHOLD_MAX</v>
      </c>
      <c r="Q11" s="87" t="str">
        <f t="array" aca="1" ref="Q11" ca="1">IF(ISNA(INDEX('NVRAM map'!$AF$3:$AG$319,MATCH(1,('NVRAM map'!$AF$3:$AF$319=$A11)*('NVRAM map'!$AI$3:$AI$319&gt;=Q$3)*('NVRAM map'!$AJ$3:$AJ$319&lt;=Q$3),0),2)),"-",INDEX('NVRAM map'!$AF$3:$AG$319,MATCH(1,('NVRAM map'!$AF$3:$AF$319=$A11)*('NVRAM map'!$AI$3:$AI$319&gt;=Q$3)*('NVRAM map'!$AJ$3:$AJ$319&lt;=Q$3),0),2))</f>
        <v>NTC_ALPF_THRESHOLD_MAX</v>
      </c>
      <c r="R11" s="87" t="str">
        <f t="array" aca="1" ref="R11" ca="1">IF(ISNA(INDEX('NVRAM map'!$AF$3:$AG$319,MATCH(1,('NVRAM map'!$AF$3:$AF$319=$A11)*('NVRAM map'!$AI$3:$AI$319&gt;=R$3)*('NVRAM map'!$AJ$3:$AJ$319&lt;=R$3),0),2)),"-",INDEX('NVRAM map'!$AF$3:$AG$319,MATCH(1,('NVRAM map'!$AF$3:$AF$319=$A11)*('NVRAM map'!$AI$3:$AI$319&gt;=R$3)*('NVRAM map'!$AJ$3:$AJ$319&lt;=R$3),0),2))</f>
        <v>NTC_ALPF_THRESHOLD_MAX</v>
      </c>
      <c r="S11" s="87" t="str">
        <f t="array" aca="1" ref="S11" ca="1">IF(ISNA(INDEX('NVRAM map'!$AF$3:$AG$319,MATCH(1,('NVRAM map'!$AF$3:$AF$319=$A11)*('NVRAM map'!$AI$3:$AI$319&gt;=S$3)*('NVRAM map'!$AJ$3:$AJ$319&lt;=S$3),0),2)),"-",INDEX('NVRAM map'!$AF$3:$AG$319,MATCH(1,('NVRAM map'!$AF$3:$AF$319=$A11)*('NVRAM map'!$AI$3:$AI$319&gt;=S$3)*('NVRAM map'!$AJ$3:$AJ$319&lt;=S$3),0),2))</f>
        <v>NTC_ALPF_THRESHOLD_MAX</v>
      </c>
      <c r="T11" s="87" t="str">
        <f t="array" aca="1" ref="T11" ca="1">IF(ISNA(INDEX('NVRAM map'!$AF$3:$AG$319,MATCH(1,('NVRAM map'!$AF$3:$AF$319=$A11)*('NVRAM map'!$AI$3:$AI$319&gt;=T$3)*('NVRAM map'!$AJ$3:$AJ$319&lt;=T$3),0),2)),"-",INDEX('NVRAM map'!$AF$3:$AG$319,MATCH(1,('NVRAM map'!$AF$3:$AF$319=$A11)*('NVRAM map'!$AI$3:$AI$319&gt;=T$3)*('NVRAM map'!$AJ$3:$AJ$319&lt;=T$3),0),2))</f>
        <v>NTC_ALPF_THRESHOLD_MAX</v>
      </c>
      <c r="U11" s="87" t="str">
        <f t="array" aca="1" ref="U11" ca="1">IF(ISNA(INDEX('NVRAM map'!$AF$3:$AG$319,MATCH(1,('NVRAM map'!$AF$3:$AF$319=$A11)*('NVRAM map'!$AI$3:$AI$319&gt;=U$3)*('NVRAM map'!$AJ$3:$AJ$319&lt;=U$3),0),2)),"-",INDEX('NVRAM map'!$AF$3:$AG$319,MATCH(1,('NVRAM map'!$AF$3:$AF$319=$A11)*('NVRAM map'!$AI$3:$AI$319&gt;=U$3)*('NVRAM map'!$AJ$3:$AJ$319&lt;=U$3),0),2))</f>
        <v>NTC_ALPF_THRESHOLD_MAX</v>
      </c>
      <c r="V11" s="87" t="str">
        <f t="array" aca="1" ref="V11" ca="1">IF(ISNA(INDEX('NVRAM map'!$AF$3:$AG$319,MATCH(1,('NVRAM map'!$AF$3:$AF$319=$A11)*('NVRAM map'!$AI$3:$AI$319&gt;=V$3)*('NVRAM map'!$AJ$3:$AJ$319&lt;=V$3),0),2)),"-",INDEX('NVRAM map'!$AF$3:$AG$319,MATCH(1,('NVRAM map'!$AF$3:$AF$319=$A11)*('NVRAM map'!$AI$3:$AI$319&gt;=V$3)*('NVRAM map'!$AJ$3:$AJ$319&lt;=V$3),0),2))</f>
        <v>NTC_ALPF_THRESHOLD_MAX</v>
      </c>
      <c r="W11" s="87" t="str">
        <f t="array" aca="1" ref="W11" ca="1">IF(ISNA(INDEX('NVRAM map'!$AF$3:$AG$319,MATCH(1,('NVRAM map'!$AF$3:$AF$319=$A11)*('NVRAM map'!$AI$3:$AI$319&gt;=W$3)*('NVRAM map'!$AJ$3:$AJ$319&lt;=W$3),0),2)),"-",INDEX('NVRAM map'!$AF$3:$AG$319,MATCH(1,('NVRAM map'!$AF$3:$AF$319=$A11)*('NVRAM map'!$AI$3:$AI$319&gt;=W$3)*('NVRAM map'!$AJ$3:$AJ$319&lt;=W$3),0),2))</f>
        <v>NTC_ALPF_THRESHOLD_MAX</v>
      </c>
      <c r="X11" s="88" t="str">
        <f ca="1">INDEX('NVRAM map'!$B$3:$B$319,MATCH(A11,'NVRAM map'!$E$3:$E$319,0))</f>
        <v>CUST</v>
      </c>
      <c r="AB11" s="44">
        <f t="shared" ca="1" si="2"/>
        <v>197</v>
      </c>
      <c r="AC11" s="12" t="b">
        <f ca="1">COUNTIF('NVRAM map'!$AD$3:$AE$319,A11)&lt;2</f>
        <v>1</v>
      </c>
      <c r="AD11" s="12">
        <f ca="1">SUMIF('NVRAM map'!$AF$3:$AF$319,A11,'NVRAM map'!$AK$3:$AK$319)</f>
        <v>65535</v>
      </c>
      <c r="AE11" s="12" t="str">
        <f t="shared" ca="1" si="3"/>
        <v>FFFF</v>
      </c>
      <c r="AF11" s="12" t="str">
        <f t="shared" ca="1" si="4"/>
        <v>11111111</v>
      </c>
      <c r="AG11" s="12" t="str">
        <f t="shared" ca="1" si="5"/>
        <v>11111111</v>
      </c>
      <c r="AH11" s="12">
        <f t="shared" ca="1" si="6"/>
        <v>16</v>
      </c>
      <c r="AI11" s="12">
        <f ca="1">SUMIF('NVRAM map'!$AF$3:$AF$319,A11,'NVRAM map'!$AH$3:$AH$319)</f>
        <v>16</v>
      </c>
      <c r="AJ11" s="12" t="b">
        <f t="shared" ca="1" si="7"/>
        <v>1</v>
      </c>
      <c r="AK11" s="12">
        <f ca="1">COUNTIF('NVRAM map'!$AF$3:$AF$319,A11)</f>
        <v>4</v>
      </c>
      <c r="AM11" s="89">
        <v>0</v>
      </c>
      <c r="AN11" s="80">
        <f t="shared" ca="1" si="8"/>
        <v>0</v>
      </c>
      <c r="AO11" s="80">
        <f t="shared" ca="1" si="8"/>
        <v>1</v>
      </c>
      <c r="AP11" s="80">
        <f t="shared" ca="1" si="8"/>
        <v>1</v>
      </c>
      <c r="AQ11" s="80">
        <f t="shared" ca="1" si="8"/>
        <v>1</v>
      </c>
      <c r="AR11" s="80">
        <f t="shared" ca="1" si="8"/>
        <v>0</v>
      </c>
      <c r="AS11" s="80">
        <f t="shared" ca="1" si="8"/>
        <v>0</v>
      </c>
      <c r="AT11" s="80">
        <f t="shared" ca="1" si="8"/>
        <v>0</v>
      </c>
      <c r="AU11" s="80">
        <f t="shared" ca="1" si="8"/>
        <v>1</v>
      </c>
      <c r="AV11" s="80">
        <f t="shared" ca="1" si="8"/>
        <v>1</v>
      </c>
      <c r="AW11" s="80">
        <f t="shared" ca="1" si="8"/>
        <v>1</v>
      </c>
      <c r="AX11" s="80">
        <f t="shared" ca="1" si="8"/>
        <v>1</v>
      </c>
      <c r="AY11" s="80">
        <f t="shared" ca="1" si="8"/>
        <v>1</v>
      </c>
      <c r="AZ11" s="80">
        <f t="shared" ca="1" si="8"/>
        <v>1</v>
      </c>
      <c r="BA11" s="80">
        <f t="shared" ca="1" si="8"/>
        <v>1</v>
      </c>
      <c r="BB11" s="81">
        <f t="shared" ca="1" si="8"/>
        <v>1</v>
      </c>
      <c r="BD11" s="12" t="str">
        <f t="shared" si="9"/>
        <v>0x100E</v>
      </c>
      <c r="BE11" s="12" t="str">
        <f t="shared" ca="1" si="10"/>
        <v>0100010110000000</v>
      </c>
      <c r="BG11" s="53" t="str">
        <f t="shared" ca="1" si="11"/>
        <v>`define EE_NTC_ALPF 3</v>
      </c>
    </row>
    <row r="12" spans="1:59" ht="25.5">
      <c r="A12" s="82" t="s">
        <v>275</v>
      </c>
      <c r="B12" s="82">
        <v>16</v>
      </c>
      <c r="C12" s="82">
        <v>4</v>
      </c>
      <c r="D12" s="83">
        <f ca="1">SUMIF('NVRAM map'!$AF$3:$AF$319,A12,'NVRAM map'!$AN$3:$AN$319)</f>
        <v>0</v>
      </c>
      <c r="E12" s="84" t="str">
        <f t="shared" ca="1" si="0"/>
        <v>0000</v>
      </c>
      <c r="F12" s="85" t="str">
        <f t="shared" ca="1" si="12"/>
        <v>0000</v>
      </c>
      <c r="G12" s="86" t="str">
        <f ca="1">VLOOKUP(MemoryView!A12,'NVRAM map'!$AD$3:$AE$319,2,0)</f>
        <v>EE_I2C_SPI_CONF</v>
      </c>
      <c r="H12" s="87" t="str">
        <f t="array" aca="1" ref="H12" ca="1">IF(ISNA(INDEX('NVRAM map'!$AF$3:$AG$319,MATCH(1,('NVRAM map'!$AF$3:$AF$319=$A12)*('NVRAM map'!$AI$3:$AI$319&gt;=H$3)*('NVRAM map'!$AJ$3:$AJ$319&lt;=H$3),0),2)),"-",INDEX('NVRAM map'!$AF$3:$AG$319,MATCH(1,('NVRAM map'!$AF$3:$AF$319=$A12)*('NVRAM map'!$AI$3:$AI$319&gt;=H$3)*('NVRAM map'!$AJ$3:$AJ$319&lt;=H$3),0),2))</f>
        <v>I2C_SPI_CONF_RESERVED</v>
      </c>
      <c r="I12" s="87" t="str">
        <f t="array" aca="1" ref="I12" ca="1">IF(ISNA(INDEX('NVRAM map'!$AF$3:$AG$319,MATCH(1,('NVRAM map'!$AF$3:$AF$319=$A12)*('NVRAM map'!$AI$3:$AI$319&gt;=I$3)*('NVRAM map'!$AJ$3:$AJ$319&lt;=I$3),0),2)),"-",INDEX('NVRAM map'!$AF$3:$AG$319,MATCH(1,('NVRAM map'!$AF$3:$AF$319=$A12)*('NVRAM map'!$AI$3:$AI$319&gt;=I$3)*('NVRAM map'!$AJ$3:$AJ$319&lt;=I$3),0),2))</f>
        <v>I2C_SPI_CONF_RESERVED</v>
      </c>
      <c r="J12" s="87" t="str">
        <f t="array" aca="1" ref="J12" ca="1">IF(ISNA(INDEX('NVRAM map'!$AF$3:$AG$319,MATCH(1,('NVRAM map'!$AF$3:$AF$319=$A12)*('NVRAM map'!$AI$3:$AI$319&gt;=J$3)*('NVRAM map'!$AJ$3:$AJ$319&lt;=J$3),0),2)),"-",INDEX('NVRAM map'!$AF$3:$AG$319,MATCH(1,('NVRAM map'!$AF$3:$AF$319=$A12)*('NVRAM map'!$AI$3:$AI$319&gt;=J$3)*('NVRAM map'!$AJ$3:$AJ$319&lt;=J$3),0),2))</f>
        <v>I2C_SPI_CONF_RESERVED</v>
      </c>
      <c r="K12" s="87" t="str">
        <f t="array" aca="1" ref="K12" ca="1">IF(ISNA(INDEX('NVRAM map'!$AF$3:$AG$319,MATCH(1,('NVRAM map'!$AF$3:$AF$319=$A12)*('NVRAM map'!$AI$3:$AI$319&gt;=K$3)*('NVRAM map'!$AJ$3:$AJ$319&lt;=K$3),0),2)),"-",INDEX('NVRAM map'!$AF$3:$AG$319,MATCH(1,('NVRAM map'!$AF$3:$AF$319=$A12)*('NVRAM map'!$AI$3:$AI$319&gt;=K$3)*('NVRAM map'!$AJ$3:$AJ$319&lt;=K$3),0),2))</f>
        <v>I2C_SPI_CONF_RESERVED</v>
      </c>
      <c r="L12" s="87" t="str">
        <f t="array" aca="1" ref="L12" ca="1">IF(ISNA(INDEX('NVRAM map'!$AF$3:$AG$319,MATCH(1,('NVRAM map'!$AF$3:$AF$319=$A12)*('NVRAM map'!$AI$3:$AI$319&gt;=L$3)*('NVRAM map'!$AJ$3:$AJ$319&lt;=L$3),0),2)),"-",INDEX('NVRAM map'!$AF$3:$AG$319,MATCH(1,('NVRAM map'!$AF$3:$AF$319=$A12)*('NVRAM map'!$AI$3:$AI$319&gt;=L$3)*('NVRAM map'!$AJ$3:$AJ$319&lt;=L$3),0),2))</f>
        <v>I2C_SPI_CONF_RESERVED</v>
      </c>
      <c r="M12" s="87" t="str">
        <f t="array" aca="1" ref="M12" ca="1">IF(ISNA(INDEX('NVRAM map'!$AF$3:$AG$319,MATCH(1,('NVRAM map'!$AF$3:$AF$319=$A12)*('NVRAM map'!$AI$3:$AI$319&gt;=M$3)*('NVRAM map'!$AJ$3:$AJ$319&lt;=M$3),0),2)),"-",INDEX('NVRAM map'!$AF$3:$AG$319,MATCH(1,('NVRAM map'!$AF$3:$AF$319=$A12)*('NVRAM map'!$AI$3:$AI$319&gt;=M$3)*('NVRAM map'!$AJ$3:$AJ$319&lt;=M$3),0),2))</f>
        <v>I2C_ADDRESS</v>
      </c>
      <c r="N12" s="87" t="str">
        <f t="array" aca="1" ref="N12" ca="1">IF(ISNA(INDEX('NVRAM map'!$AF$3:$AG$319,MATCH(1,('NVRAM map'!$AF$3:$AF$319=$A12)*('NVRAM map'!$AI$3:$AI$319&gt;=N$3)*('NVRAM map'!$AJ$3:$AJ$319&lt;=N$3),0),2)),"-",INDEX('NVRAM map'!$AF$3:$AG$319,MATCH(1,('NVRAM map'!$AF$3:$AF$319=$A12)*('NVRAM map'!$AI$3:$AI$319&gt;=N$3)*('NVRAM map'!$AJ$3:$AJ$319&lt;=N$3),0),2))</f>
        <v>I2C_ADDRESS</v>
      </c>
      <c r="O12" s="87" t="str">
        <f t="array" aca="1" ref="O12" ca="1">IF(ISNA(INDEX('NVRAM map'!$AF$3:$AG$319,MATCH(1,('NVRAM map'!$AF$3:$AF$319=$A12)*('NVRAM map'!$AI$3:$AI$319&gt;=O$3)*('NVRAM map'!$AJ$3:$AJ$319&lt;=O$3),0),2)),"-",INDEX('NVRAM map'!$AF$3:$AG$319,MATCH(1,('NVRAM map'!$AF$3:$AF$319=$A12)*('NVRAM map'!$AI$3:$AI$319&gt;=O$3)*('NVRAM map'!$AJ$3:$AJ$319&lt;=O$3),0),2))</f>
        <v>I2C_ADDRESS</v>
      </c>
      <c r="P12" s="87" t="str">
        <f t="array" aca="1" ref="P12" ca="1">IF(ISNA(INDEX('NVRAM map'!$AF$3:$AG$319,MATCH(1,('NVRAM map'!$AF$3:$AF$319=$A12)*('NVRAM map'!$AI$3:$AI$319&gt;=P$3)*('NVRAM map'!$AJ$3:$AJ$319&lt;=P$3),0),2)),"-",INDEX('NVRAM map'!$AF$3:$AG$319,MATCH(1,('NVRAM map'!$AF$3:$AF$319=$A12)*('NVRAM map'!$AI$3:$AI$319&gt;=P$3)*('NVRAM map'!$AJ$3:$AJ$319&lt;=P$3),0),2))</f>
        <v>I2C_ADDRESS</v>
      </c>
      <c r="Q12" s="87" t="str">
        <f t="array" aca="1" ref="Q12" ca="1">IF(ISNA(INDEX('NVRAM map'!$AF$3:$AG$319,MATCH(1,('NVRAM map'!$AF$3:$AF$319=$A12)*('NVRAM map'!$AI$3:$AI$319&gt;=Q$3)*('NVRAM map'!$AJ$3:$AJ$319&lt;=Q$3),0),2)),"-",INDEX('NVRAM map'!$AF$3:$AG$319,MATCH(1,('NVRAM map'!$AF$3:$AF$319=$A12)*('NVRAM map'!$AI$3:$AI$319&gt;=Q$3)*('NVRAM map'!$AJ$3:$AJ$319&lt;=Q$3),0),2))</f>
        <v>I2C_ADDRESS</v>
      </c>
      <c r="R12" s="87" t="str">
        <f t="array" aca="1" ref="R12" ca="1">IF(ISNA(INDEX('NVRAM map'!$AF$3:$AG$319,MATCH(1,('NVRAM map'!$AF$3:$AF$319=$A12)*('NVRAM map'!$AI$3:$AI$319&gt;=R$3)*('NVRAM map'!$AJ$3:$AJ$319&lt;=R$3),0),2)),"-",INDEX('NVRAM map'!$AF$3:$AG$319,MATCH(1,('NVRAM map'!$AF$3:$AF$319=$A12)*('NVRAM map'!$AI$3:$AI$319&gt;=R$3)*('NVRAM map'!$AJ$3:$AJ$319&lt;=R$3),0),2))</f>
        <v>I2C_ADDRESS</v>
      </c>
      <c r="S12" s="87" t="str">
        <f t="array" aca="1" ref="S12" ca="1">IF(ISNA(INDEX('NVRAM map'!$AF$3:$AG$319,MATCH(1,('NVRAM map'!$AF$3:$AF$319=$A12)*('NVRAM map'!$AI$3:$AI$319&gt;=S$3)*('NVRAM map'!$AJ$3:$AJ$319&lt;=S$3),0),2)),"-",INDEX('NVRAM map'!$AF$3:$AG$319,MATCH(1,('NVRAM map'!$AF$3:$AF$319=$A12)*('NVRAM map'!$AI$3:$AI$319&gt;=S$3)*('NVRAM map'!$AJ$3:$AJ$319&lt;=S$3),0),2))</f>
        <v>I2C_ADDRESS</v>
      </c>
      <c r="T12" s="87" t="str">
        <f t="array" aca="1" ref="T12" ca="1">IF(ISNA(INDEX('NVRAM map'!$AF$3:$AG$319,MATCH(1,('NVRAM map'!$AF$3:$AF$319=$A12)*('NVRAM map'!$AI$3:$AI$319&gt;=T$3)*('NVRAM map'!$AJ$3:$AJ$319&lt;=T$3),0),2)),"-",INDEX('NVRAM map'!$AF$3:$AG$319,MATCH(1,('NVRAM map'!$AF$3:$AF$319=$A12)*('NVRAM map'!$AI$3:$AI$319&gt;=T$3)*('NVRAM map'!$AJ$3:$AJ$319&lt;=T$3),0),2))</f>
        <v>SPI_CPOL</v>
      </c>
      <c r="U12" s="87" t="str">
        <f t="array" aca="1" ref="U12" ca="1">IF(ISNA(INDEX('NVRAM map'!$AF$3:$AG$319,MATCH(1,('NVRAM map'!$AF$3:$AF$319=$A12)*('NVRAM map'!$AI$3:$AI$319&gt;=U$3)*('NVRAM map'!$AJ$3:$AJ$319&lt;=U$3),0),2)),"-",INDEX('NVRAM map'!$AF$3:$AG$319,MATCH(1,('NVRAM map'!$AF$3:$AF$319=$A12)*('NVRAM map'!$AI$3:$AI$319&gt;=U$3)*('NVRAM map'!$AJ$3:$AJ$319&lt;=U$3),0),2))</f>
        <v>SPI_CPHA</v>
      </c>
      <c r="V12" s="87" t="str">
        <f t="array" aca="1" ref="V12" ca="1">IF(ISNA(INDEX('NVRAM map'!$AF$3:$AG$319,MATCH(1,('NVRAM map'!$AF$3:$AF$319=$A12)*('NVRAM map'!$AI$3:$AI$319&gt;=V$3)*('NVRAM map'!$AJ$3:$AJ$319&lt;=V$3),0),2)),"-",INDEX('NVRAM map'!$AF$3:$AG$319,MATCH(1,('NVRAM map'!$AF$3:$AF$319=$A12)*('NVRAM map'!$AI$3:$AI$319&gt;=V$3)*('NVRAM map'!$AJ$3:$AJ$319&lt;=V$3),0),2))</f>
        <v>ENABLE</v>
      </c>
      <c r="W12" s="87" t="str">
        <f t="array" aca="1" ref="W12" ca="1">IF(ISNA(INDEX('NVRAM map'!$AF$3:$AG$319,MATCH(1,('NVRAM map'!$AF$3:$AF$319=$A12)*('NVRAM map'!$AI$3:$AI$319&gt;=W$3)*('NVRAM map'!$AJ$3:$AJ$319&lt;=W$3),0),2)),"-",INDEX('NVRAM map'!$AF$3:$AG$319,MATCH(1,('NVRAM map'!$AF$3:$AF$319=$A12)*('NVRAM map'!$AI$3:$AI$319&gt;=W$3)*('NVRAM map'!$AJ$3:$AJ$319&lt;=W$3),0),2))</f>
        <v>ENABLE</v>
      </c>
      <c r="X12" s="88" t="str">
        <f ca="1">INDEX('NVRAM map'!$B$3:$B$319,MATCH(A12,'NVRAM map'!$E$3:$E$319,0))</f>
        <v>CUST</v>
      </c>
      <c r="AB12" s="44">
        <f t="shared" ca="1" si="2"/>
        <v>0</v>
      </c>
      <c r="AC12" s="12" t="b">
        <f ca="1">COUNTIF('NVRAM map'!$AD$3:$AE$319,A12)&lt;2</f>
        <v>1</v>
      </c>
      <c r="AD12" s="12">
        <f ca="1">SUMIF('NVRAM map'!$AF$3:$AF$319,A12,'NVRAM map'!$AK$3:$AK$319)</f>
        <v>65535</v>
      </c>
      <c r="AE12" s="12" t="str">
        <f t="shared" ca="1" si="3"/>
        <v>FFFF</v>
      </c>
      <c r="AF12" s="12" t="str">
        <f t="shared" ca="1" si="4"/>
        <v>11111111</v>
      </c>
      <c r="AG12" s="12" t="str">
        <f t="shared" ca="1" si="5"/>
        <v>11111111</v>
      </c>
      <c r="AH12" s="12">
        <f t="shared" ca="1" si="6"/>
        <v>16</v>
      </c>
      <c r="AI12" s="12">
        <f ca="1">SUMIF('NVRAM map'!$AF$3:$AF$319,A12,'NVRAM map'!$AH$3:$AH$319)</f>
        <v>16</v>
      </c>
      <c r="AJ12" s="12" t="b">
        <f t="shared" ca="1" si="7"/>
        <v>1</v>
      </c>
      <c r="AK12" s="12">
        <f ca="1">COUNTIF('NVRAM map'!$AF$3:$AF$319,A12)</f>
        <v>5</v>
      </c>
      <c r="AM12" s="89">
        <v>0</v>
      </c>
      <c r="AN12" s="80">
        <f t="shared" ca="1" si="8"/>
        <v>0</v>
      </c>
      <c r="AO12" s="80">
        <f t="shared" ca="1" si="8"/>
        <v>0</v>
      </c>
      <c r="AP12" s="80">
        <f t="shared" ca="1" si="8"/>
        <v>0</v>
      </c>
      <c r="AQ12" s="80">
        <f t="shared" ca="1" si="8"/>
        <v>0</v>
      </c>
      <c r="AR12" s="80">
        <f t="shared" ca="1" si="8"/>
        <v>1</v>
      </c>
      <c r="AS12" s="80">
        <f t="shared" ca="1" si="8"/>
        <v>1</v>
      </c>
      <c r="AT12" s="80">
        <f t="shared" ca="1" si="8"/>
        <v>1</v>
      </c>
      <c r="AU12" s="80">
        <f t="shared" ca="1" si="8"/>
        <v>1</v>
      </c>
      <c r="AV12" s="80">
        <f t="shared" ca="1" si="8"/>
        <v>1</v>
      </c>
      <c r="AW12" s="80">
        <f t="shared" ca="1" si="8"/>
        <v>1</v>
      </c>
      <c r="AX12" s="80">
        <f t="shared" ca="1" si="8"/>
        <v>1</v>
      </c>
      <c r="AY12" s="80">
        <f t="shared" ca="1" si="8"/>
        <v>0</v>
      </c>
      <c r="AZ12" s="80">
        <f t="shared" ca="1" si="8"/>
        <v>1</v>
      </c>
      <c r="BA12" s="80">
        <f t="shared" ca="1" si="8"/>
        <v>0</v>
      </c>
      <c r="BB12" s="81">
        <f t="shared" ca="1" si="8"/>
        <v>0</v>
      </c>
      <c r="BD12" s="12" t="str">
        <f t="shared" si="9"/>
        <v>0x1010</v>
      </c>
      <c r="BE12" s="12" t="str">
        <f t="shared" ca="1" si="10"/>
        <v>0000000000000000</v>
      </c>
      <c r="BG12" s="53" t="str">
        <f t="shared" ca="1" si="11"/>
        <v>`define EE_I2C_SPI_CONF 4</v>
      </c>
    </row>
    <row r="13" spans="1:59" ht="25.5">
      <c r="A13" s="82" t="s">
        <v>276</v>
      </c>
      <c r="B13" s="82">
        <v>18</v>
      </c>
      <c r="C13" s="82">
        <v>4</v>
      </c>
      <c r="D13" s="83">
        <f ca="1">SUMIF('NVRAM map'!$AF$3:$AF$319,A13,'NVRAM map'!$AN$3:$AN$319)</f>
        <v>834</v>
      </c>
      <c r="E13" s="84" t="str">
        <f t="shared" ca="1" si="0"/>
        <v>0342</v>
      </c>
      <c r="F13" s="85" t="str">
        <f t="shared" ca="1" si="12"/>
        <v>0342</v>
      </c>
      <c r="G13" s="86" t="str">
        <f ca="1">VLOOKUP(MemoryView!A13,'NVRAM map'!$AD$3:$AE$319,2,0)</f>
        <v>EE_TRIM4_PADC_RANGE1</v>
      </c>
      <c r="H13" s="87" t="str">
        <f t="array" aca="1" ref="H13" ca="1">IF(ISNA(INDEX('NVRAM map'!$AF$3:$AG$319,MATCH(1,('NVRAM map'!$AF$3:$AF$319=$A13)*('NVRAM map'!$AI$3:$AI$319&gt;=H$3)*('NVRAM map'!$AJ$3:$AJ$319&lt;=H$3),0),2)),"-",INDEX('NVRAM map'!$AF$3:$AG$319,MATCH(1,('NVRAM map'!$AF$3:$AF$319=$A13)*('NVRAM map'!$AI$3:$AI$319&gt;=H$3)*('NVRAM map'!$AJ$3:$AJ$319&lt;=H$3),0),2))</f>
        <v>INTER_TRIM_PUSHPULL</v>
      </c>
      <c r="I13" s="87" t="str">
        <f t="array" aca="1" ref="I13" ca="1">IF(ISNA(INDEX('NVRAM map'!$AF$3:$AG$319,MATCH(1,('NVRAM map'!$AF$3:$AF$319=$A13)*('NVRAM map'!$AI$3:$AI$319&gt;=I$3)*('NVRAM map'!$AJ$3:$AJ$319&lt;=I$3),0),2)),"-",INDEX('NVRAM map'!$AF$3:$AG$319,MATCH(1,('NVRAM map'!$AF$3:$AF$319=$A13)*('NVRAM map'!$AI$3:$AI$319&gt;=I$3)*('NVRAM map'!$AJ$3:$AJ$319&lt;=I$3),0),2))</f>
        <v>INTER_TRIM_PUSHPULL</v>
      </c>
      <c r="J13" s="87" t="str">
        <f t="array" aca="1" ref="J13" ca="1">IF(ISNA(INDEX('NVRAM map'!$AF$3:$AG$319,MATCH(1,('NVRAM map'!$AF$3:$AF$319=$A13)*('NVRAM map'!$AI$3:$AI$319&gt;=J$3)*('NVRAM map'!$AJ$3:$AJ$319&lt;=J$3),0),2)),"-",INDEX('NVRAM map'!$AF$3:$AG$319,MATCH(1,('NVRAM map'!$AF$3:$AF$319=$A13)*('NVRAM map'!$AI$3:$AI$319&gt;=J$3)*('NVRAM map'!$AJ$3:$AJ$319&lt;=J$3),0),2))</f>
        <v>INTER_TRIM_PUSHPULL</v>
      </c>
      <c r="K13" s="87" t="str">
        <f t="array" aca="1" ref="K13" ca="1">IF(ISNA(INDEX('NVRAM map'!$AF$3:$AG$319,MATCH(1,('NVRAM map'!$AF$3:$AF$319=$A13)*('NVRAM map'!$AI$3:$AI$319&gt;=K$3)*('NVRAM map'!$AJ$3:$AJ$319&lt;=K$3),0),2)),"-",INDEX('NVRAM map'!$AF$3:$AG$319,MATCH(1,('NVRAM map'!$AF$3:$AF$319=$A13)*('NVRAM map'!$AI$3:$AI$319&gt;=K$3)*('NVRAM map'!$AJ$3:$AJ$319&lt;=K$3),0),2))</f>
        <v>INTER_TRIM_SLOPE_OD</v>
      </c>
      <c r="L13" s="87" t="str">
        <f t="array" aca="1" ref="L13" ca="1">IF(ISNA(INDEX('NVRAM map'!$AF$3:$AG$319,MATCH(1,('NVRAM map'!$AF$3:$AF$319=$A13)*('NVRAM map'!$AI$3:$AI$319&gt;=L$3)*('NVRAM map'!$AJ$3:$AJ$319&lt;=L$3),0),2)),"-",INDEX('NVRAM map'!$AF$3:$AG$319,MATCH(1,('NVRAM map'!$AF$3:$AF$319=$A13)*('NVRAM map'!$AI$3:$AI$319&gt;=L$3)*('NVRAM map'!$AJ$3:$AJ$319&lt;=L$3),0),2))</f>
        <v>INTER_TRIM_SLOPE_OD</v>
      </c>
      <c r="M13" s="87" t="str">
        <f t="array" aca="1" ref="M13" ca="1">IF(ISNA(INDEX('NVRAM map'!$AF$3:$AG$319,MATCH(1,('NVRAM map'!$AF$3:$AF$319=$A13)*('NVRAM map'!$AI$3:$AI$319&gt;=M$3)*('NVRAM map'!$AJ$3:$AJ$319&lt;=M$3),0),2)),"-",INDEX('NVRAM map'!$AF$3:$AG$319,MATCH(1,('NVRAM map'!$AF$3:$AF$319=$A13)*('NVRAM map'!$AI$3:$AI$319&gt;=M$3)*('NVRAM map'!$AJ$3:$AJ$319&lt;=M$3),0),2))</f>
        <v>INTER_TRIM_SLOPE_OD</v>
      </c>
      <c r="N13" s="87" t="str">
        <f t="array" aca="1" ref="N13" ca="1">IF(ISNA(INDEX('NVRAM map'!$AF$3:$AG$319,MATCH(1,('NVRAM map'!$AF$3:$AF$319=$A13)*('NVRAM map'!$AI$3:$AI$319&gt;=N$3)*('NVRAM map'!$AJ$3:$AJ$319&lt;=N$3),0),2)),"-",INDEX('NVRAM map'!$AF$3:$AG$319,MATCH(1,('NVRAM map'!$AF$3:$AF$319=$A13)*('NVRAM map'!$AI$3:$AI$319&gt;=N$3)*('NVRAM map'!$AJ$3:$AJ$319&lt;=N$3),0),2))</f>
        <v>TEST_BRIDGE_RANGE1</v>
      </c>
      <c r="O13" s="87" t="str">
        <f t="array" aca="1" ref="O13" ca="1">IF(ISNA(INDEX('NVRAM map'!$AF$3:$AG$319,MATCH(1,('NVRAM map'!$AF$3:$AF$319=$A13)*('NVRAM map'!$AI$3:$AI$319&gt;=O$3)*('NVRAM map'!$AJ$3:$AJ$319&lt;=O$3),0),2)),"-",INDEX('NVRAM map'!$AF$3:$AG$319,MATCH(1,('NVRAM map'!$AF$3:$AF$319=$A13)*('NVRAM map'!$AI$3:$AI$319&gt;=O$3)*('NVRAM map'!$AJ$3:$AJ$319&lt;=O$3),0),2))</f>
        <v>TEST_BRIDGE_RANGE1</v>
      </c>
      <c r="P13" s="87" t="str">
        <f t="array" aca="1" ref="P13" ca="1">IF(ISNA(INDEX('NVRAM map'!$AF$3:$AG$319,MATCH(1,('NVRAM map'!$AF$3:$AF$319=$A13)*('NVRAM map'!$AI$3:$AI$319&gt;=P$3)*('NVRAM map'!$AJ$3:$AJ$319&lt;=P$3),0),2)),"-",INDEX('NVRAM map'!$AF$3:$AG$319,MATCH(1,('NVRAM map'!$AF$3:$AF$319=$A13)*('NVRAM map'!$AI$3:$AI$319&gt;=P$3)*('NVRAM map'!$AJ$3:$AJ$319&lt;=P$3),0),2))</f>
        <v>TEST_BRIDGE_RANGE1</v>
      </c>
      <c r="Q13" s="87" t="str">
        <f t="array" aca="1" ref="Q13" ca="1">IF(ISNA(INDEX('NVRAM map'!$AF$3:$AG$319,MATCH(1,('NVRAM map'!$AF$3:$AF$319=$A13)*('NVRAM map'!$AI$3:$AI$319&gt;=Q$3)*('NVRAM map'!$AJ$3:$AJ$319&lt;=Q$3),0),2)),"-",INDEX('NVRAM map'!$AF$3:$AG$319,MATCH(1,('NVRAM map'!$AF$3:$AF$319=$A13)*('NVRAM map'!$AI$3:$AI$319&gt;=Q$3)*('NVRAM map'!$AJ$3:$AJ$319&lt;=Q$3),0),2))</f>
        <v>PADC_RANGE1_CAP_SEL</v>
      </c>
      <c r="R13" s="87" t="str">
        <f t="array" aca="1" ref="R13" ca="1">IF(ISNA(INDEX('NVRAM map'!$AF$3:$AG$319,MATCH(1,('NVRAM map'!$AF$3:$AF$319=$A13)*('NVRAM map'!$AI$3:$AI$319&gt;=R$3)*('NVRAM map'!$AJ$3:$AJ$319&lt;=R$3),0),2)),"-",INDEX('NVRAM map'!$AF$3:$AG$319,MATCH(1,('NVRAM map'!$AF$3:$AF$319=$A13)*('NVRAM map'!$AI$3:$AI$319&gt;=R$3)*('NVRAM map'!$AJ$3:$AJ$319&lt;=R$3),0),2))</f>
        <v>PADC_RANGE1_CAP_SEL</v>
      </c>
      <c r="S13" s="87" t="str">
        <f t="array" aca="1" ref="S13" ca="1">IF(ISNA(INDEX('NVRAM map'!$AF$3:$AG$319,MATCH(1,('NVRAM map'!$AF$3:$AF$319=$A13)*('NVRAM map'!$AI$3:$AI$319&gt;=S$3)*('NVRAM map'!$AJ$3:$AJ$319&lt;=S$3),0),2)),"-",INDEX('NVRAM map'!$AF$3:$AG$319,MATCH(1,('NVRAM map'!$AF$3:$AF$319=$A13)*('NVRAM map'!$AI$3:$AI$319&gt;=S$3)*('NVRAM map'!$AJ$3:$AJ$319&lt;=S$3),0),2))</f>
        <v>PADC_RANGE1_CAP_SEL</v>
      </c>
      <c r="T13" s="87" t="str">
        <f t="array" aca="1" ref="T13" ca="1">IF(ISNA(INDEX('NVRAM map'!$AF$3:$AG$319,MATCH(1,('NVRAM map'!$AF$3:$AF$319=$A13)*('NVRAM map'!$AI$3:$AI$319&gt;=T$3)*('NVRAM map'!$AJ$3:$AJ$319&lt;=T$3),0),2)),"-",INDEX('NVRAM map'!$AF$3:$AG$319,MATCH(1,('NVRAM map'!$AF$3:$AF$319=$A13)*('NVRAM map'!$AI$3:$AI$319&gt;=T$3)*('NVRAM map'!$AJ$3:$AJ$319&lt;=T$3),0),2))</f>
        <v>PADC_RANGE1_SEL2</v>
      </c>
      <c r="U13" s="87" t="str">
        <f t="array" aca="1" ref="U13" ca="1">IF(ISNA(INDEX('NVRAM map'!$AF$3:$AG$319,MATCH(1,('NVRAM map'!$AF$3:$AF$319=$A13)*('NVRAM map'!$AI$3:$AI$319&gt;=U$3)*('NVRAM map'!$AJ$3:$AJ$319&lt;=U$3),0),2)),"-",INDEX('NVRAM map'!$AF$3:$AG$319,MATCH(1,('NVRAM map'!$AF$3:$AF$319=$A13)*('NVRAM map'!$AI$3:$AI$319&gt;=U$3)*('NVRAM map'!$AJ$3:$AJ$319&lt;=U$3),0),2))</f>
        <v>PADC_RANGE1_SEL2</v>
      </c>
      <c r="V13" s="87" t="str">
        <f t="array" aca="1" ref="V13" ca="1">IF(ISNA(INDEX('NVRAM map'!$AF$3:$AG$319,MATCH(1,('NVRAM map'!$AF$3:$AF$319=$A13)*('NVRAM map'!$AI$3:$AI$319&gt;=V$3)*('NVRAM map'!$AJ$3:$AJ$319&lt;=V$3),0),2)),"-",INDEX('NVRAM map'!$AF$3:$AG$319,MATCH(1,('NVRAM map'!$AF$3:$AF$319=$A13)*('NVRAM map'!$AI$3:$AI$319&gt;=V$3)*('NVRAM map'!$AJ$3:$AJ$319&lt;=V$3),0),2))</f>
        <v>PADC_RANGE1_SEL1</v>
      </c>
      <c r="W13" s="87" t="str">
        <f t="array" aca="1" ref="W13" ca="1">IF(ISNA(INDEX('NVRAM map'!$AF$3:$AG$319,MATCH(1,('NVRAM map'!$AF$3:$AF$319=$A13)*('NVRAM map'!$AI$3:$AI$319&gt;=W$3)*('NVRAM map'!$AJ$3:$AJ$319&lt;=W$3),0),2)),"-",INDEX('NVRAM map'!$AF$3:$AG$319,MATCH(1,('NVRAM map'!$AF$3:$AF$319=$A13)*('NVRAM map'!$AI$3:$AI$319&gt;=W$3)*('NVRAM map'!$AJ$3:$AJ$319&lt;=W$3),0),2))</f>
        <v>PADC_RANGE1_SEL1</v>
      </c>
      <c r="X13" s="88" t="str">
        <f ca="1">INDEX('NVRAM map'!$B$3:$B$319,MATCH(A13,'NVRAM map'!$E$3:$E$319,0))</f>
        <v>CUST</v>
      </c>
      <c r="AB13" s="44">
        <f t="shared" ca="1" si="2"/>
        <v>69</v>
      </c>
      <c r="AC13" s="12" t="b">
        <f ca="1">COUNTIF('NVRAM map'!$AD$3:$AE$319,A13)&lt;2</f>
        <v>1</v>
      </c>
      <c r="AD13" s="12">
        <f ca="1">SUMIF('NVRAM map'!$AF$3:$AF$319,A13,'NVRAM map'!$AK$3:$AK$319)</f>
        <v>65535</v>
      </c>
      <c r="AE13" s="12" t="str">
        <f t="shared" ca="1" si="3"/>
        <v>FFFF</v>
      </c>
      <c r="AF13" s="12" t="str">
        <f t="shared" ca="1" si="4"/>
        <v>11111111</v>
      </c>
      <c r="AG13" s="12" t="str">
        <f t="shared" ca="1" si="5"/>
        <v>11111111</v>
      </c>
      <c r="AH13" s="12">
        <f t="shared" ca="1" si="6"/>
        <v>16</v>
      </c>
      <c r="AI13" s="12">
        <f ca="1">SUMIF('NVRAM map'!$AF$3:$AF$319,A13,'NVRAM map'!$AH$3:$AH$319)</f>
        <v>16</v>
      </c>
      <c r="AJ13" s="12" t="b">
        <f t="shared" ca="1" si="7"/>
        <v>1</v>
      </c>
      <c r="AK13" s="12">
        <f ca="1">COUNTIF('NVRAM map'!$AF$3:$AF$319,A13)</f>
        <v>6</v>
      </c>
      <c r="AM13" s="89">
        <v>0</v>
      </c>
      <c r="AN13" s="80">
        <f t="shared" ca="1" si="8"/>
        <v>0</v>
      </c>
      <c r="AO13" s="80">
        <f t="shared" ca="1" si="8"/>
        <v>0</v>
      </c>
      <c r="AP13" s="80">
        <f t="shared" ca="1" si="8"/>
        <v>1</v>
      </c>
      <c r="AQ13" s="80">
        <f t="shared" ca="1" si="8"/>
        <v>1</v>
      </c>
      <c r="AR13" s="80">
        <f t="shared" ca="1" si="8"/>
        <v>1</v>
      </c>
      <c r="AS13" s="80">
        <f t="shared" ca="1" si="8"/>
        <v>0</v>
      </c>
      <c r="AT13" s="80">
        <f t="shared" ca="1" si="8"/>
        <v>0</v>
      </c>
      <c r="AU13" s="80">
        <f t="shared" ca="1" si="8"/>
        <v>0</v>
      </c>
      <c r="AV13" s="80">
        <f t="shared" ca="1" si="8"/>
        <v>1</v>
      </c>
      <c r="AW13" s="80">
        <f t="shared" ca="1" si="8"/>
        <v>1</v>
      </c>
      <c r="AX13" s="80">
        <f t="shared" ca="1" si="8"/>
        <v>1</v>
      </c>
      <c r="AY13" s="80">
        <f t="shared" ca="1" si="8"/>
        <v>0</v>
      </c>
      <c r="AZ13" s="80">
        <f t="shared" ca="1" si="8"/>
        <v>0</v>
      </c>
      <c r="BA13" s="80">
        <f t="shared" ca="1" si="8"/>
        <v>1</v>
      </c>
      <c r="BB13" s="81">
        <f t="shared" ca="1" si="8"/>
        <v>1</v>
      </c>
      <c r="BD13" s="12" t="str">
        <f t="shared" si="9"/>
        <v>0x1012</v>
      </c>
      <c r="BE13" s="12" t="str">
        <f t="shared" ca="1" si="10"/>
        <v>0000001101000010</v>
      </c>
      <c r="BG13" s="53" t="str">
        <f t="shared" ca="1" si="11"/>
        <v>`define EE_TRIM4_PADC_RANGE1 4</v>
      </c>
    </row>
    <row r="14" spans="1:59" ht="38.25">
      <c r="A14" s="82" t="s">
        <v>277</v>
      </c>
      <c r="B14" s="82">
        <v>20</v>
      </c>
      <c r="C14" s="82">
        <v>5</v>
      </c>
      <c r="D14" s="83">
        <f ca="1">SUMIF('NVRAM map'!$AF$3:$AF$319,A14,'NVRAM map'!$AN$3:$AN$319)</f>
        <v>834</v>
      </c>
      <c r="E14" s="84" t="str">
        <f t="shared" ca="1" si="0"/>
        <v>0342</v>
      </c>
      <c r="F14" s="85" t="str">
        <f t="shared" ca="1" si="12"/>
        <v>0342</v>
      </c>
      <c r="G14" s="86" t="str">
        <f ca="1">VLOOKUP(MemoryView!A14,'NVRAM map'!$AD$3:$AE$319,2,0)</f>
        <v>EE_TRIM4_PADC_RANGE2</v>
      </c>
      <c r="H14" s="87" t="str">
        <f t="array" aca="1" ref="H14" ca="1">IF(ISNA(INDEX('NVRAM map'!$AF$3:$AG$319,MATCH(1,('NVRAM map'!$AF$3:$AF$319=$A14)*('NVRAM map'!$AI$3:$AI$319&gt;=H$3)*('NVRAM map'!$AJ$3:$AJ$319&lt;=H$3),0),2)),"-",INDEX('NVRAM map'!$AF$3:$AG$319,MATCH(1,('NVRAM map'!$AF$3:$AF$319=$A14)*('NVRAM map'!$AI$3:$AI$319&gt;=H$3)*('NVRAM map'!$AJ$3:$AJ$319&lt;=H$3),0),2))</f>
        <v>TRIM4_PADC_RANGE2_RESERVED</v>
      </c>
      <c r="I14" s="87" t="str">
        <f t="array" aca="1" ref="I14" ca="1">IF(ISNA(INDEX('NVRAM map'!$AF$3:$AG$319,MATCH(1,('NVRAM map'!$AF$3:$AF$319=$A14)*('NVRAM map'!$AI$3:$AI$319&gt;=I$3)*('NVRAM map'!$AJ$3:$AJ$319&lt;=I$3),0),2)),"-",INDEX('NVRAM map'!$AF$3:$AG$319,MATCH(1,('NVRAM map'!$AF$3:$AF$319=$A14)*('NVRAM map'!$AI$3:$AI$319&gt;=I$3)*('NVRAM map'!$AJ$3:$AJ$319&lt;=I$3),0),2))</f>
        <v>TRIM4_PADC_RANGE2_RESERVED</v>
      </c>
      <c r="J14" s="87" t="str">
        <f t="array" aca="1" ref="J14" ca="1">IF(ISNA(INDEX('NVRAM map'!$AF$3:$AG$319,MATCH(1,('NVRAM map'!$AF$3:$AF$319=$A14)*('NVRAM map'!$AI$3:$AI$319&gt;=J$3)*('NVRAM map'!$AJ$3:$AJ$319&lt;=J$3),0),2)),"-",INDEX('NVRAM map'!$AF$3:$AG$319,MATCH(1,('NVRAM map'!$AF$3:$AF$319=$A14)*('NVRAM map'!$AI$3:$AI$319&gt;=J$3)*('NVRAM map'!$AJ$3:$AJ$319&lt;=J$3),0),2))</f>
        <v>TRIM4_PADC_RANGE2_RESERVED</v>
      </c>
      <c r="K14" s="87" t="str">
        <f t="array" aca="1" ref="K14" ca="1">IF(ISNA(INDEX('NVRAM map'!$AF$3:$AG$319,MATCH(1,('NVRAM map'!$AF$3:$AF$319=$A14)*('NVRAM map'!$AI$3:$AI$319&gt;=K$3)*('NVRAM map'!$AJ$3:$AJ$319&lt;=K$3),0),2)),"-",INDEX('NVRAM map'!$AF$3:$AG$319,MATCH(1,('NVRAM map'!$AF$3:$AF$319=$A14)*('NVRAM map'!$AI$3:$AI$319&gt;=K$3)*('NVRAM map'!$AJ$3:$AJ$319&lt;=K$3),0),2))</f>
        <v>TRIM4_PADC_RANGE2_RESERVED</v>
      </c>
      <c r="L14" s="87" t="str">
        <f t="array" aca="1" ref="L14" ca="1">IF(ISNA(INDEX('NVRAM map'!$AF$3:$AG$319,MATCH(1,('NVRAM map'!$AF$3:$AF$319=$A14)*('NVRAM map'!$AI$3:$AI$319&gt;=L$3)*('NVRAM map'!$AJ$3:$AJ$319&lt;=L$3),0),2)),"-",INDEX('NVRAM map'!$AF$3:$AG$319,MATCH(1,('NVRAM map'!$AF$3:$AF$319=$A14)*('NVRAM map'!$AI$3:$AI$319&gt;=L$3)*('NVRAM map'!$AJ$3:$AJ$319&lt;=L$3),0),2))</f>
        <v>TRIM4_PADC_RANGE2_RESERVED</v>
      </c>
      <c r="M14" s="87" t="str">
        <f t="array" aca="1" ref="M14" ca="1">IF(ISNA(INDEX('NVRAM map'!$AF$3:$AG$319,MATCH(1,('NVRAM map'!$AF$3:$AF$319=$A14)*('NVRAM map'!$AI$3:$AI$319&gt;=M$3)*('NVRAM map'!$AJ$3:$AJ$319&lt;=M$3),0),2)),"-",INDEX('NVRAM map'!$AF$3:$AG$319,MATCH(1,('NVRAM map'!$AF$3:$AF$319=$A14)*('NVRAM map'!$AI$3:$AI$319&gt;=M$3)*('NVRAM map'!$AJ$3:$AJ$319&lt;=M$3),0),2))</f>
        <v>TRIM4_PADC_RANGE2_RESERVED</v>
      </c>
      <c r="N14" s="87" t="str">
        <f t="array" aca="1" ref="N14" ca="1">IF(ISNA(INDEX('NVRAM map'!$AF$3:$AG$319,MATCH(1,('NVRAM map'!$AF$3:$AF$319=$A14)*('NVRAM map'!$AI$3:$AI$319&gt;=N$3)*('NVRAM map'!$AJ$3:$AJ$319&lt;=N$3),0),2)),"-",INDEX('NVRAM map'!$AF$3:$AG$319,MATCH(1,('NVRAM map'!$AF$3:$AF$319=$A14)*('NVRAM map'!$AI$3:$AI$319&gt;=N$3)*('NVRAM map'!$AJ$3:$AJ$319&lt;=N$3),0),2))</f>
        <v>TEST_BRIDGE_RANGE2</v>
      </c>
      <c r="O14" s="87" t="str">
        <f t="array" aca="1" ref="O14" ca="1">IF(ISNA(INDEX('NVRAM map'!$AF$3:$AG$319,MATCH(1,('NVRAM map'!$AF$3:$AF$319=$A14)*('NVRAM map'!$AI$3:$AI$319&gt;=O$3)*('NVRAM map'!$AJ$3:$AJ$319&lt;=O$3),0),2)),"-",INDEX('NVRAM map'!$AF$3:$AG$319,MATCH(1,('NVRAM map'!$AF$3:$AF$319=$A14)*('NVRAM map'!$AI$3:$AI$319&gt;=O$3)*('NVRAM map'!$AJ$3:$AJ$319&lt;=O$3),0),2))</f>
        <v>TEST_BRIDGE_RANGE2</v>
      </c>
      <c r="P14" s="87" t="str">
        <f t="array" aca="1" ref="P14" ca="1">IF(ISNA(INDEX('NVRAM map'!$AF$3:$AG$319,MATCH(1,('NVRAM map'!$AF$3:$AF$319=$A14)*('NVRAM map'!$AI$3:$AI$319&gt;=P$3)*('NVRAM map'!$AJ$3:$AJ$319&lt;=P$3),0),2)),"-",INDEX('NVRAM map'!$AF$3:$AG$319,MATCH(1,('NVRAM map'!$AF$3:$AF$319=$A14)*('NVRAM map'!$AI$3:$AI$319&gt;=P$3)*('NVRAM map'!$AJ$3:$AJ$319&lt;=P$3),0),2))</f>
        <v>TEST_BRIDGE_RANGE2</v>
      </c>
      <c r="Q14" s="87" t="str">
        <f t="array" aca="1" ref="Q14" ca="1">IF(ISNA(INDEX('NVRAM map'!$AF$3:$AG$319,MATCH(1,('NVRAM map'!$AF$3:$AF$319=$A14)*('NVRAM map'!$AI$3:$AI$319&gt;=Q$3)*('NVRAM map'!$AJ$3:$AJ$319&lt;=Q$3),0),2)),"-",INDEX('NVRAM map'!$AF$3:$AG$319,MATCH(1,('NVRAM map'!$AF$3:$AF$319=$A14)*('NVRAM map'!$AI$3:$AI$319&gt;=Q$3)*('NVRAM map'!$AJ$3:$AJ$319&lt;=Q$3),0),2))</f>
        <v>PADC_RANGE2_CAP_SEL</v>
      </c>
      <c r="R14" s="87" t="str">
        <f t="array" aca="1" ref="R14" ca="1">IF(ISNA(INDEX('NVRAM map'!$AF$3:$AG$319,MATCH(1,('NVRAM map'!$AF$3:$AF$319=$A14)*('NVRAM map'!$AI$3:$AI$319&gt;=R$3)*('NVRAM map'!$AJ$3:$AJ$319&lt;=R$3),0),2)),"-",INDEX('NVRAM map'!$AF$3:$AG$319,MATCH(1,('NVRAM map'!$AF$3:$AF$319=$A14)*('NVRAM map'!$AI$3:$AI$319&gt;=R$3)*('NVRAM map'!$AJ$3:$AJ$319&lt;=R$3),0),2))</f>
        <v>PADC_RANGE2_CAP_SEL</v>
      </c>
      <c r="S14" s="87" t="str">
        <f t="array" aca="1" ref="S14" ca="1">IF(ISNA(INDEX('NVRAM map'!$AF$3:$AG$319,MATCH(1,('NVRAM map'!$AF$3:$AF$319=$A14)*('NVRAM map'!$AI$3:$AI$319&gt;=S$3)*('NVRAM map'!$AJ$3:$AJ$319&lt;=S$3),0),2)),"-",INDEX('NVRAM map'!$AF$3:$AG$319,MATCH(1,('NVRAM map'!$AF$3:$AF$319=$A14)*('NVRAM map'!$AI$3:$AI$319&gt;=S$3)*('NVRAM map'!$AJ$3:$AJ$319&lt;=S$3),0),2))</f>
        <v>PADC_RANGE2_CAP_SEL</v>
      </c>
      <c r="T14" s="87" t="str">
        <f t="array" aca="1" ref="T14" ca="1">IF(ISNA(INDEX('NVRAM map'!$AF$3:$AG$319,MATCH(1,('NVRAM map'!$AF$3:$AF$319=$A14)*('NVRAM map'!$AI$3:$AI$319&gt;=T$3)*('NVRAM map'!$AJ$3:$AJ$319&lt;=T$3),0),2)),"-",INDEX('NVRAM map'!$AF$3:$AG$319,MATCH(1,('NVRAM map'!$AF$3:$AF$319=$A14)*('NVRAM map'!$AI$3:$AI$319&gt;=T$3)*('NVRAM map'!$AJ$3:$AJ$319&lt;=T$3),0),2))</f>
        <v>PADC_RANGE2_SEL2</v>
      </c>
      <c r="U14" s="87" t="str">
        <f t="array" aca="1" ref="U14" ca="1">IF(ISNA(INDEX('NVRAM map'!$AF$3:$AG$319,MATCH(1,('NVRAM map'!$AF$3:$AF$319=$A14)*('NVRAM map'!$AI$3:$AI$319&gt;=U$3)*('NVRAM map'!$AJ$3:$AJ$319&lt;=U$3),0),2)),"-",INDEX('NVRAM map'!$AF$3:$AG$319,MATCH(1,('NVRAM map'!$AF$3:$AF$319=$A14)*('NVRAM map'!$AI$3:$AI$319&gt;=U$3)*('NVRAM map'!$AJ$3:$AJ$319&lt;=U$3),0),2))</f>
        <v>PADC_RANGE2_SEL2</v>
      </c>
      <c r="V14" s="87" t="str">
        <f t="array" aca="1" ref="V14" ca="1">IF(ISNA(INDEX('NVRAM map'!$AF$3:$AG$319,MATCH(1,('NVRAM map'!$AF$3:$AF$319=$A14)*('NVRAM map'!$AI$3:$AI$319&gt;=V$3)*('NVRAM map'!$AJ$3:$AJ$319&lt;=V$3),0),2)),"-",INDEX('NVRAM map'!$AF$3:$AG$319,MATCH(1,('NVRAM map'!$AF$3:$AF$319=$A14)*('NVRAM map'!$AI$3:$AI$319&gt;=V$3)*('NVRAM map'!$AJ$3:$AJ$319&lt;=V$3),0),2))</f>
        <v>PADC_RANGE2_SEL1</v>
      </c>
      <c r="W14" s="87" t="str">
        <f t="array" aca="1" ref="W14" ca="1">IF(ISNA(INDEX('NVRAM map'!$AF$3:$AG$319,MATCH(1,('NVRAM map'!$AF$3:$AF$319=$A14)*('NVRAM map'!$AI$3:$AI$319&gt;=W$3)*('NVRAM map'!$AJ$3:$AJ$319&lt;=W$3),0),2)),"-",INDEX('NVRAM map'!$AF$3:$AG$319,MATCH(1,('NVRAM map'!$AF$3:$AF$319=$A14)*('NVRAM map'!$AI$3:$AI$319&gt;=W$3)*('NVRAM map'!$AJ$3:$AJ$319&lt;=W$3),0),2))</f>
        <v>PADC_RANGE2_SEL1</v>
      </c>
      <c r="X14" s="88" t="str">
        <f ca="1">INDEX('NVRAM map'!$B$3:$B$319,MATCH(A14,'NVRAM map'!$E$3:$E$319,0))</f>
        <v>CUST</v>
      </c>
      <c r="AB14" s="44">
        <f t="shared" ca="1" si="2"/>
        <v>69</v>
      </c>
      <c r="AC14" s="12" t="b">
        <f ca="1">COUNTIF('NVRAM map'!$AD$3:$AE$319,A14)&lt;2</f>
        <v>1</v>
      </c>
      <c r="AD14" s="12">
        <f ca="1">SUMIF('NVRAM map'!$AF$3:$AF$319,A14,'NVRAM map'!$AK$3:$AK$319)</f>
        <v>65535</v>
      </c>
      <c r="AE14" s="12" t="str">
        <f t="shared" ca="1" si="3"/>
        <v>FFFF</v>
      </c>
      <c r="AF14" s="12" t="str">
        <f t="shared" ca="1" si="4"/>
        <v>11111111</v>
      </c>
      <c r="AG14" s="12" t="str">
        <f t="shared" ca="1" si="5"/>
        <v>11111111</v>
      </c>
      <c r="AH14" s="12">
        <f t="shared" ca="1" si="6"/>
        <v>16</v>
      </c>
      <c r="AI14" s="12">
        <f ca="1">SUMIF('NVRAM map'!$AF$3:$AF$319,A14,'NVRAM map'!$AH$3:$AH$319)</f>
        <v>16</v>
      </c>
      <c r="AJ14" s="12" t="b">
        <f t="shared" ca="1" si="7"/>
        <v>1</v>
      </c>
      <c r="AK14" s="12">
        <f ca="1">COUNTIF('NVRAM map'!$AF$3:$AF$319,A14)</f>
        <v>5</v>
      </c>
      <c r="AM14" s="89">
        <v>0</v>
      </c>
      <c r="AN14" s="80">
        <f t="shared" ca="1" si="8"/>
        <v>0</v>
      </c>
      <c r="AO14" s="80">
        <f t="shared" ca="1" si="8"/>
        <v>0</v>
      </c>
      <c r="AP14" s="80">
        <f t="shared" ca="1" si="8"/>
        <v>0</v>
      </c>
      <c r="AQ14" s="80">
        <f t="shared" ca="1" si="8"/>
        <v>0</v>
      </c>
      <c r="AR14" s="80">
        <f t="shared" ca="1" si="8"/>
        <v>0</v>
      </c>
      <c r="AS14" s="80">
        <f t="shared" ca="1" si="8"/>
        <v>1</v>
      </c>
      <c r="AT14" s="80">
        <f t="shared" ca="1" si="8"/>
        <v>1</v>
      </c>
      <c r="AU14" s="80">
        <f t="shared" ca="1" si="8"/>
        <v>1</v>
      </c>
      <c r="AV14" s="80">
        <f t="shared" ca="1" si="8"/>
        <v>0</v>
      </c>
      <c r="AW14" s="80">
        <f t="shared" ca="1" si="8"/>
        <v>0</v>
      </c>
      <c r="AX14" s="80">
        <f t="shared" ca="1" si="8"/>
        <v>0</v>
      </c>
      <c r="AY14" s="80">
        <f t="shared" ca="1" si="8"/>
        <v>1</v>
      </c>
      <c r="AZ14" s="80">
        <f t="shared" ca="1" si="8"/>
        <v>1</v>
      </c>
      <c r="BA14" s="80">
        <f t="shared" ca="1" si="8"/>
        <v>0</v>
      </c>
      <c r="BB14" s="81">
        <f t="shared" ca="1" si="8"/>
        <v>0</v>
      </c>
      <c r="BD14" s="12" t="str">
        <f t="shared" si="9"/>
        <v>0x1014</v>
      </c>
      <c r="BE14" s="12" t="str">
        <f t="shared" ca="1" si="10"/>
        <v>0000001101000010</v>
      </c>
      <c r="BG14" s="53" t="str">
        <f t="shared" ca="1" si="11"/>
        <v>`define EE_TRIM4_PADC_RANGE2 5</v>
      </c>
    </row>
    <row r="15" spans="1:59" ht="25.5">
      <c r="A15" s="82" t="s">
        <v>278</v>
      </c>
      <c r="B15" s="82">
        <v>22</v>
      </c>
      <c r="C15" s="82">
        <v>5</v>
      </c>
      <c r="D15" s="83">
        <f ca="1">SUMIF('NVRAM map'!$AF$3:$AF$319,A15,'NVRAM map'!$AN$3:$AN$319)</f>
        <v>14</v>
      </c>
      <c r="E15" s="84" t="str">
        <f t="shared" ca="1" si="0"/>
        <v>000E</v>
      </c>
      <c r="F15" s="85" t="str">
        <f t="shared" ca="1" si="12"/>
        <v>000E</v>
      </c>
      <c r="G15" s="86" t="str">
        <f ca="1">VLOOKUP(MemoryView!A15,'NVRAM map'!$AD$3:$AE$319,2,0)</f>
        <v>EE_TRIM5</v>
      </c>
      <c r="H15" s="87" t="str">
        <f t="array" aca="1" ref="H15" ca="1">IF(ISNA(INDEX('NVRAM map'!$AF$3:$AG$319,MATCH(1,('NVRAM map'!$AF$3:$AF$319=$A15)*('NVRAM map'!$AI$3:$AI$319&gt;=H$3)*('NVRAM map'!$AJ$3:$AJ$319&lt;=H$3),0),2)),"-",INDEX('NVRAM map'!$AF$3:$AG$319,MATCH(1,('NVRAM map'!$AF$3:$AF$319=$A15)*('NVRAM map'!$AI$3:$AI$319&gt;=H$3)*('NVRAM map'!$AJ$3:$AJ$319&lt;=H$3),0),2))</f>
        <v>TRIM5_RESERVED</v>
      </c>
      <c r="I15" s="87" t="str">
        <f t="array" aca="1" ref="I15" ca="1">IF(ISNA(INDEX('NVRAM map'!$AF$3:$AG$319,MATCH(1,('NVRAM map'!$AF$3:$AF$319=$A15)*('NVRAM map'!$AI$3:$AI$319&gt;=I$3)*('NVRAM map'!$AJ$3:$AJ$319&lt;=I$3),0),2)),"-",INDEX('NVRAM map'!$AF$3:$AG$319,MATCH(1,('NVRAM map'!$AF$3:$AF$319=$A15)*('NVRAM map'!$AI$3:$AI$319&gt;=I$3)*('NVRAM map'!$AJ$3:$AJ$319&lt;=I$3),0),2))</f>
        <v>TRIGGER_DEB_DIS</v>
      </c>
      <c r="J15" s="87" t="str">
        <f t="array" aca="1" ref="J15" ca="1">IF(ISNA(INDEX('NVRAM map'!$AF$3:$AG$319,MATCH(1,('NVRAM map'!$AF$3:$AF$319=$A15)*('NVRAM map'!$AI$3:$AI$319&gt;=J$3)*('NVRAM map'!$AJ$3:$AJ$319&lt;=J$3),0),2)),"-",INDEX('NVRAM map'!$AF$3:$AG$319,MATCH(1,('NVRAM map'!$AF$3:$AF$319=$A15)*('NVRAM map'!$AI$3:$AI$319&gt;=J$3)*('NVRAM map'!$AJ$3:$AJ$319&lt;=J$3),0),2))</f>
        <v>INTER_OPENDR_FMPLUS_DIS</v>
      </c>
      <c r="K15" s="87" t="str">
        <f t="array" aca="1" ref="K15" ca="1">IF(ISNA(INDEX('NVRAM map'!$AF$3:$AG$319,MATCH(1,('NVRAM map'!$AF$3:$AF$319=$A15)*('NVRAM map'!$AI$3:$AI$319&gt;=K$3)*('NVRAM map'!$AJ$3:$AJ$319&lt;=K$3),0),2)),"-",INDEX('NVRAM map'!$AF$3:$AG$319,MATCH(1,('NVRAM map'!$AF$3:$AF$319=$A15)*('NVRAM map'!$AI$3:$AI$319&gt;=K$3)*('NVRAM map'!$AJ$3:$AJ$319&lt;=K$3),0),2))</f>
        <v>TRIM_SPI_SLOPE</v>
      </c>
      <c r="L15" s="87" t="str">
        <f t="array" aca="1" ref="L15" ca="1">IF(ISNA(INDEX('NVRAM map'!$AF$3:$AG$319,MATCH(1,('NVRAM map'!$AF$3:$AF$319=$A15)*('NVRAM map'!$AI$3:$AI$319&gt;=L$3)*('NVRAM map'!$AJ$3:$AJ$319&lt;=L$3),0),2)),"-",INDEX('NVRAM map'!$AF$3:$AG$319,MATCH(1,('NVRAM map'!$AF$3:$AF$319=$A15)*('NVRAM map'!$AI$3:$AI$319&gt;=L$3)*('NVRAM map'!$AJ$3:$AJ$319&lt;=L$3),0),2))</f>
        <v>TRIM_SPI_SLOPE</v>
      </c>
      <c r="M15" s="87" t="str">
        <f t="array" aca="1" ref="M15" ca="1">IF(ISNA(INDEX('NVRAM map'!$AF$3:$AG$319,MATCH(1,('NVRAM map'!$AF$3:$AF$319=$A15)*('NVRAM map'!$AI$3:$AI$319&gt;=M$3)*('NVRAM map'!$AJ$3:$AJ$319&lt;=M$3),0),2)),"-",INDEX('NVRAM map'!$AF$3:$AG$319,MATCH(1,('NVRAM map'!$AF$3:$AF$319=$A15)*('NVRAM map'!$AI$3:$AI$319&gt;=M$3)*('NVRAM map'!$AJ$3:$AJ$319&lt;=M$3),0),2))</f>
        <v>TRIM_SPI_SLOPE</v>
      </c>
      <c r="N15" s="87" t="str">
        <f t="array" aca="1" ref="N15" ca="1">IF(ISNA(INDEX('NVRAM map'!$AF$3:$AG$319,MATCH(1,('NVRAM map'!$AF$3:$AF$319=$A15)*('NVRAM map'!$AI$3:$AI$319&gt;=N$3)*('NVRAM map'!$AJ$3:$AJ$319&lt;=N$3),0),2)),"-",INDEX('NVRAM map'!$AF$3:$AG$319,MATCH(1,('NVRAM map'!$AF$3:$AF$319=$A15)*('NVRAM map'!$AI$3:$AI$319&gt;=N$3)*('NVRAM map'!$AJ$3:$AJ$319&lt;=N$3),0),2))</f>
        <v>I2C_ST_FILT</v>
      </c>
      <c r="O15" s="87" t="str">
        <f t="array" aca="1" ref="O15" ca="1">IF(ISNA(INDEX('NVRAM map'!$AF$3:$AG$319,MATCH(1,('NVRAM map'!$AF$3:$AF$319=$A15)*('NVRAM map'!$AI$3:$AI$319&gt;=O$3)*('NVRAM map'!$AJ$3:$AJ$319&lt;=O$3),0),2)),"-",INDEX('NVRAM map'!$AF$3:$AG$319,MATCH(1,('NVRAM map'!$AF$3:$AF$319=$A15)*('NVRAM map'!$AI$3:$AI$319&gt;=O$3)*('NVRAM map'!$AJ$3:$AJ$319&lt;=O$3),0),2))</f>
        <v>I2C_ST_FILT</v>
      </c>
      <c r="P15" s="87" t="str">
        <f t="array" aca="1" ref="P15" ca="1">IF(ISNA(INDEX('NVRAM map'!$AF$3:$AG$319,MATCH(1,('NVRAM map'!$AF$3:$AF$319=$A15)*('NVRAM map'!$AI$3:$AI$319&gt;=P$3)*('NVRAM map'!$AJ$3:$AJ$319&lt;=P$3),0),2)),"-",INDEX('NVRAM map'!$AF$3:$AG$319,MATCH(1,('NVRAM map'!$AF$3:$AF$319=$A15)*('NVRAM map'!$AI$3:$AI$319&gt;=P$3)*('NVRAM map'!$AJ$3:$AJ$319&lt;=P$3),0),2))</f>
        <v>I2C_ST_FILT</v>
      </c>
      <c r="Q15" s="87" t="str">
        <f t="array" aca="1" ref="Q15" ca="1">IF(ISNA(INDEX('NVRAM map'!$AF$3:$AG$319,MATCH(1,('NVRAM map'!$AF$3:$AF$319=$A15)*('NVRAM map'!$AI$3:$AI$319&gt;=Q$3)*('NVRAM map'!$AJ$3:$AJ$319&lt;=Q$3),0),2)),"-",INDEX('NVRAM map'!$AF$3:$AG$319,MATCH(1,('NVRAM map'!$AF$3:$AF$319=$A15)*('NVRAM map'!$AI$3:$AI$319&gt;=Q$3)*('NVRAM map'!$AJ$3:$AJ$319&lt;=Q$3),0),2))</f>
        <v>I2C_ST_FILT</v>
      </c>
      <c r="R15" s="87" t="str">
        <f t="array" aca="1" ref="R15" ca="1">IF(ISNA(INDEX('NVRAM map'!$AF$3:$AG$319,MATCH(1,('NVRAM map'!$AF$3:$AF$319=$A15)*('NVRAM map'!$AI$3:$AI$319&gt;=R$3)*('NVRAM map'!$AJ$3:$AJ$319&lt;=R$3),0),2)),"-",INDEX('NVRAM map'!$AF$3:$AG$319,MATCH(1,('NVRAM map'!$AF$3:$AF$319=$A15)*('NVRAM map'!$AI$3:$AI$319&gt;=R$3)*('NVRAM map'!$AJ$3:$AJ$319&lt;=R$3),0),2))</f>
        <v>I2C_FMPLUS_DISABLE</v>
      </c>
      <c r="S15" s="87" t="str">
        <f t="array" aca="1" ref="S15" ca="1">IF(ISNA(INDEX('NVRAM map'!$AF$3:$AG$319,MATCH(1,('NVRAM map'!$AF$3:$AF$319=$A15)*('NVRAM map'!$AI$3:$AI$319&gt;=S$3)*('NVRAM map'!$AJ$3:$AJ$319&lt;=S$3),0),2)),"-",INDEX('NVRAM map'!$AF$3:$AG$319,MATCH(1,('NVRAM map'!$AF$3:$AF$319=$A15)*('NVRAM map'!$AI$3:$AI$319&gt;=S$3)*('NVRAM map'!$AJ$3:$AJ$319&lt;=S$3),0),2))</f>
        <v>I2C_DEBOUNCE_DISABLE</v>
      </c>
      <c r="T15" s="87" t="str">
        <f t="array" aca="1" ref="T15" ca="1">IF(ISNA(INDEX('NVRAM map'!$AF$3:$AG$319,MATCH(1,('NVRAM map'!$AF$3:$AF$319=$A15)*('NVRAM map'!$AI$3:$AI$319&gt;=T$3)*('NVRAM map'!$AJ$3:$AJ$319&lt;=T$3),0),2)),"-",INDEX('NVRAM map'!$AF$3:$AG$319,MATCH(1,('NVRAM map'!$AF$3:$AF$319=$A15)*('NVRAM map'!$AI$3:$AI$319&gt;=T$3)*('NVRAM map'!$AJ$3:$AJ$319&lt;=T$3),0),2))</f>
        <v>TRIM_I2C_SLOPE</v>
      </c>
      <c r="U15" s="87" t="str">
        <f t="array" aca="1" ref="U15" ca="1">IF(ISNA(INDEX('NVRAM map'!$AF$3:$AG$319,MATCH(1,('NVRAM map'!$AF$3:$AF$319=$A15)*('NVRAM map'!$AI$3:$AI$319&gt;=U$3)*('NVRAM map'!$AJ$3:$AJ$319&lt;=U$3),0),2)),"-",INDEX('NVRAM map'!$AF$3:$AG$319,MATCH(1,('NVRAM map'!$AF$3:$AF$319=$A15)*('NVRAM map'!$AI$3:$AI$319&gt;=U$3)*('NVRAM map'!$AJ$3:$AJ$319&lt;=U$3),0),2))</f>
        <v>TRIM_I2C_SLOPE</v>
      </c>
      <c r="V15" s="87" t="str">
        <f t="array" aca="1" ref="V15" ca="1">IF(ISNA(INDEX('NVRAM map'!$AF$3:$AG$319,MATCH(1,('NVRAM map'!$AF$3:$AF$319=$A15)*('NVRAM map'!$AI$3:$AI$319&gt;=V$3)*('NVRAM map'!$AJ$3:$AJ$319&lt;=V$3),0),2)),"-",INDEX('NVRAM map'!$AF$3:$AG$319,MATCH(1,('NVRAM map'!$AF$3:$AF$319=$A15)*('NVRAM map'!$AI$3:$AI$319&gt;=V$3)*('NVRAM map'!$AJ$3:$AJ$319&lt;=V$3),0),2))</f>
        <v>TRIM_I2C_SLOPE</v>
      </c>
      <c r="W15" s="87" t="str">
        <f t="array" aca="1" ref="W15" ca="1">IF(ISNA(INDEX('NVRAM map'!$AF$3:$AG$319,MATCH(1,('NVRAM map'!$AF$3:$AF$319=$A15)*('NVRAM map'!$AI$3:$AI$319&gt;=W$3)*('NVRAM map'!$AJ$3:$AJ$319&lt;=W$3),0),2)),"-",INDEX('NVRAM map'!$AF$3:$AG$319,MATCH(1,('NVRAM map'!$AF$3:$AF$319=$A15)*('NVRAM map'!$AI$3:$AI$319&gt;=W$3)*('NVRAM map'!$AJ$3:$AJ$319&lt;=W$3),0),2))</f>
        <v>ENABLE_I2C_5VMODE</v>
      </c>
      <c r="X15" s="88" t="str">
        <f ca="1">INDEX('NVRAM map'!$B$3:$B$319,MATCH(A15,'NVRAM map'!$E$3:$E$319,0))</f>
        <v>CUST</v>
      </c>
      <c r="AB15" s="44">
        <f t="shared" ca="1" si="2"/>
        <v>14</v>
      </c>
      <c r="AC15" s="12" t="b">
        <f ca="1">COUNTIF('NVRAM map'!$AD$3:$AE$319,A15)&lt;2</f>
        <v>1</v>
      </c>
      <c r="AD15" s="12">
        <f ca="1">SUMIF('NVRAM map'!$AF$3:$AF$319,A15,'NVRAM map'!$AK$3:$AK$319)</f>
        <v>65535</v>
      </c>
      <c r="AE15" s="12" t="str">
        <f t="shared" ca="1" si="3"/>
        <v>FFFF</v>
      </c>
      <c r="AF15" s="12" t="str">
        <f t="shared" ca="1" si="4"/>
        <v>11111111</v>
      </c>
      <c r="AG15" s="12" t="str">
        <f t="shared" ca="1" si="5"/>
        <v>11111111</v>
      </c>
      <c r="AH15" s="12">
        <f t="shared" ca="1" si="6"/>
        <v>16</v>
      </c>
      <c r="AI15" s="12">
        <f ca="1">SUMIF('NVRAM map'!$AF$3:$AF$319,A15,'NVRAM map'!$AH$3:$AH$319)</f>
        <v>16</v>
      </c>
      <c r="AJ15" s="12" t="b">
        <f t="shared" ca="1" si="7"/>
        <v>1</v>
      </c>
      <c r="AK15" s="12">
        <f ca="1">COUNTIF('NVRAM map'!$AF$3:$AF$319,A15)</f>
        <v>9</v>
      </c>
      <c r="AM15" s="89">
        <v>0</v>
      </c>
      <c r="AN15" s="80">
        <f t="shared" ca="1" si="8"/>
        <v>1</v>
      </c>
      <c r="AO15" s="80">
        <f t="shared" ca="1" si="8"/>
        <v>0</v>
      </c>
      <c r="AP15" s="80">
        <f t="shared" ca="1" si="8"/>
        <v>1</v>
      </c>
      <c r="AQ15" s="80">
        <f t="shared" ca="1" si="8"/>
        <v>1</v>
      </c>
      <c r="AR15" s="80">
        <f t="shared" ca="1" si="8"/>
        <v>1</v>
      </c>
      <c r="AS15" s="80">
        <f t="shared" ca="1" si="8"/>
        <v>0</v>
      </c>
      <c r="AT15" s="80">
        <f t="shared" ca="1" si="8"/>
        <v>0</v>
      </c>
      <c r="AU15" s="80">
        <f t="shared" ca="1" si="8"/>
        <v>0</v>
      </c>
      <c r="AV15" s="80">
        <f t="shared" ca="1" si="8"/>
        <v>0</v>
      </c>
      <c r="AW15" s="80">
        <f t="shared" ca="1" si="8"/>
        <v>1</v>
      </c>
      <c r="AX15" s="80">
        <f t="shared" ca="1" si="8"/>
        <v>0</v>
      </c>
      <c r="AY15" s="80">
        <f t="shared" ca="1" si="8"/>
        <v>1</v>
      </c>
      <c r="AZ15" s="80">
        <f t="shared" ca="1" si="8"/>
        <v>1</v>
      </c>
      <c r="BA15" s="80">
        <f t="shared" ca="1" si="8"/>
        <v>1</v>
      </c>
      <c r="BB15" s="81">
        <f t="shared" ca="1" si="8"/>
        <v>0</v>
      </c>
      <c r="BD15" s="12" t="str">
        <f t="shared" si="9"/>
        <v>0x1016</v>
      </c>
      <c r="BE15" s="12" t="str">
        <f t="shared" ca="1" si="10"/>
        <v>0000000000001110</v>
      </c>
      <c r="BG15" s="53" t="str">
        <f t="shared" ca="1" si="11"/>
        <v>`define EE_TRIM5 5</v>
      </c>
    </row>
    <row r="16" spans="1:59">
      <c r="A16" s="82" t="s">
        <v>279</v>
      </c>
      <c r="B16" s="82">
        <v>24</v>
      </c>
      <c r="C16" s="82">
        <v>6</v>
      </c>
      <c r="D16" s="83">
        <f ca="1">SUMIF('NVRAM map'!$AF$3:$AF$319,A16,'NVRAM map'!$AN$3:$AN$319)</f>
        <v>51186</v>
      </c>
      <c r="E16" s="84" t="str">
        <f t="shared" ca="1" si="0"/>
        <v>C7F2</v>
      </c>
      <c r="F16" s="85" t="str">
        <f t="shared" ca="1" si="12"/>
        <v>C7F2</v>
      </c>
      <c r="G16" s="86" t="str">
        <f ca="1">VLOOKUP(MemoryView!A16,'NVRAM map'!$AD$3:$AE$319,2,0)</f>
        <v>EE_VSUP_CTRL</v>
      </c>
      <c r="H16" s="87" t="str">
        <f t="array" aca="1" ref="H16" ca="1">IF(ISNA(INDEX('NVRAM map'!$AF$3:$AG$319,MATCH(1,('NVRAM map'!$AF$3:$AF$319=$A16)*('NVRAM map'!$AI$3:$AI$319&gt;=H$3)*('NVRAM map'!$AJ$3:$AJ$319&lt;=H$3),0),2)),"-",INDEX('NVRAM map'!$AF$3:$AG$319,MATCH(1,('NVRAM map'!$AF$3:$AF$319=$A16)*('NVRAM map'!$AI$3:$AI$319&gt;=H$3)*('NVRAM map'!$AJ$3:$AJ$319&lt;=H$3),0),2))</f>
        <v>V_SUP_HIGH</v>
      </c>
      <c r="I16" s="87" t="str">
        <f t="array" aca="1" ref="I16" ca="1">IF(ISNA(INDEX('NVRAM map'!$AF$3:$AG$319,MATCH(1,('NVRAM map'!$AF$3:$AF$319=$A16)*('NVRAM map'!$AI$3:$AI$319&gt;=I$3)*('NVRAM map'!$AJ$3:$AJ$319&lt;=I$3),0),2)),"-",INDEX('NVRAM map'!$AF$3:$AG$319,MATCH(1,('NVRAM map'!$AF$3:$AF$319=$A16)*('NVRAM map'!$AI$3:$AI$319&gt;=I$3)*('NVRAM map'!$AJ$3:$AJ$319&lt;=I$3),0),2))</f>
        <v>V_SUP_HIGH</v>
      </c>
      <c r="J16" s="87" t="str">
        <f t="array" aca="1" ref="J16" ca="1">IF(ISNA(INDEX('NVRAM map'!$AF$3:$AG$319,MATCH(1,('NVRAM map'!$AF$3:$AF$319=$A16)*('NVRAM map'!$AI$3:$AI$319&gt;=J$3)*('NVRAM map'!$AJ$3:$AJ$319&lt;=J$3),0),2)),"-",INDEX('NVRAM map'!$AF$3:$AG$319,MATCH(1,('NVRAM map'!$AF$3:$AF$319=$A16)*('NVRAM map'!$AI$3:$AI$319&gt;=J$3)*('NVRAM map'!$AJ$3:$AJ$319&lt;=J$3),0),2))</f>
        <v>V_SUP_HIGH</v>
      </c>
      <c r="K16" s="87" t="str">
        <f t="array" aca="1" ref="K16" ca="1">IF(ISNA(INDEX('NVRAM map'!$AF$3:$AG$319,MATCH(1,('NVRAM map'!$AF$3:$AF$319=$A16)*('NVRAM map'!$AI$3:$AI$319&gt;=K$3)*('NVRAM map'!$AJ$3:$AJ$319&lt;=K$3),0),2)),"-",INDEX('NVRAM map'!$AF$3:$AG$319,MATCH(1,('NVRAM map'!$AF$3:$AF$319=$A16)*('NVRAM map'!$AI$3:$AI$319&gt;=K$3)*('NVRAM map'!$AJ$3:$AJ$319&lt;=K$3),0),2))</f>
        <v>V_SUP_HIGH</v>
      </c>
      <c r="L16" s="87" t="str">
        <f t="array" aca="1" ref="L16" ca="1">IF(ISNA(INDEX('NVRAM map'!$AF$3:$AG$319,MATCH(1,('NVRAM map'!$AF$3:$AF$319=$A16)*('NVRAM map'!$AI$3:$AI$319&gt;=L$3)*('NVRAM map'!$AJ$3:$AJ$319&lt;=L$3),0),2)),"-",INDEX('NVRAM map'!$AF$3:$AG$319,MATCH(1,('NVRAM map'!$AF$3:$AF$319=$A16)*('NVRAM map'!$AI$3:$AI$319&gt;=L$3)*('NVRAM map'!$AJ$3:$AJ$319&lt;=L$3),0),2))</f>
        <v>V_SUP_HIGH</v>
      </c>
      <c r="M16" s="87" t="str">
        <f t="array" aca="1" ref="M16" ca="1">IF(ISNA(INDEX('NVRAM map'!$AF$3:$AG$319,MATCH(1,('NVRAM map'!$AF$3:$AF$319=$A16)*('NVRAM map'!$AI$3:$AI$319&gt;=M$3)*('NVRAM map'!$AJ$3:$AJ$319&lt;=M$3),0),2)),"-",INDEX('NVRAM map'!$AF$3:$AG$319,MATCH(1,('NVRAM map'!$AF$3:$AF$319=$A16)*('NVRAM map'!$AI$3:$AI$319&gt;=M$3)*('NVRAM map'!$AJ$3:$AJ$319&lt;=M$3),0),2))</f>
        <v>V_SUP_HIGH</v>
      </c>
      <c r="N16" s="87" t="str">
        <f t="array" aca="1" ref="N16" ca="1">IF(ISNA(INDEX('NVRAM map'!$AF$3:$AG$319,MATCH(1,('NVRAM map'!$AF$3:$AF$319=$A16)*('NVRAM map'!$AI$3:$AI$319&gt;=N$3)*('NVRAM map'!$AJ$3:$AJ$319&lt;=N$3),0),2)),"-",INDEX('NVRAM map'!$AF$3:$AG$319,MATCH(1,('NVRAM map'!$AF$3:$AF$319=$A16)*('NVRAM map'!$AI$3:$AI$319&gt;=N$3)*('NVRAM map'!$AJ$3:$AJ$319&lt;=N$3),0),2))</f>
        <v>V_SUP_HIGH</v>
      </c>
      <c r="O16" s="87" t="str">
        <f t="array" aca="1" ref="O16" ca="1">IF(ISNA(INDEX('NVRAM map'!$AF$3:$AG$319,MATCH(1,('NVRAM map'!$AF$3:$AF$319=$A16)*('NVRAM map'!$AI$3:$AI$319&gt;=O$3)*('NVRAM map'!$AJ$3:$AJ$319&lt;=O$3),0),2)),"-",INDEX('NVRAM map'!$AF$3:$AG$319,MATCH(1,('NVRAM map'!$AF$3:$AF$319=$A16)*('NVRAM map'!$AI$3:$AI$319&gt;=O$3)*('NVRAM map'!$AJ$3:$AJ$319&lt;=O$3),0),2))</f>
        <v>V_SUP_HIGH</v>
      </c>
      <c r="P16" s="87" t="str">
        <f t="array" aca="1" ref="P16" ca="1">IF(ISNA(INDEX('NVRAM map'!$AF$3:$AG$319,MATCH(1,('NVRAM map'!$AF$3:$AF$319=$A16)*('NVRAM map'!$AI$3:$AI$319&gt;=P$3)*('NVRAM map'!$AJ$3:$AJ$319&lt;=P$3),0),2)),"-",INDEX('NVRAM map'!$AF$3:$AG$319,MATCH(1,('NVRAM map'!$AF$3:$AF$319=$A16)*('NVRAM map'!$AI$3:$AI$319&gt;=P$3)*('NVRAM map'!$AJ$3:$AJ$319&lt;=P$3),0),2))</f>
        <v>V_SUP_LOW</v>
      </c>
      <c r="Q16" s="87" t="str">
        <f t="array" aca="1" ref="Q16" ca="1">IF(ISNA(INDEX('NVRAM map'!$AF$3:$AG$319,MATCH(1,('NVRAM map'!$AF$3:$AF$319=$A16)*('NVRAM map'!$AI$3:$AI$319&gt;=Q$3)*('NVRAM map'!$AJ$3:$AJ$319&lt;=Q$3),0),2)),"-",INDEX('NVRAM map'!$AF$3:$AG$319,MATCH(1,('NVRAM map'!$AF$3:$AF$319=$A16)*('NVRAM map'!$AI$3:$AI$319&gt;=Q$3)*('NVRAM map'!$AJ$3:$AJ$319&lt;=Q$3),0),2))</f>
        <v>V_SUP_LOW</v>
      </c>
      <c r="R16" s="87" t="str">
        <f t="array" aca="1" ref="R16" ca="1">IF(ISNA(INDEX('NVRAM map'!$AF$3:$AG$319,MATCH(1,('NVRAM map'!$AF$3:$AF$319=$A16)*('NVRAM map'!$AI$3:$AI$319&gt;=R$3)*('NVRAM map'!$AJ$3:$AJ$319&lt;=R$3),0),2)),"-",INDEX('NVRAM map'!$AF$3:$AG$319,MATCH(1,('NVRAM map'!$AF$3:$AF$319=$A16)*('NVRAM map'!$AI$3:$AI$319&gt;=R$3)*('NVRAM map'!$AJ$3:$AJ$319&lt;=R$3),0),2))</f>
        <v>V_SUP_LOW</v>
      </c>
      <c r="S16" s="87" t="str">
        <f t="array" aca="1" ref="S16" ca="1">IF(ISNA(INDEX('NVRAM map'!$AF$3:$AG$319,MATCH(1,('NVRAM map'!$AF$3:$AF$319=$A16)*('NVRAM map'!$AI$3:$AI$319&gt;=S$3)*('NVRAM map'!$AJ$3:$AJ$319&lt;=S$3),0),2)),"-",INDEX('NVRAM map'!$AF$3:$AG$319,MATCH(1,('NVRAM map'!$AF$3:$AF$319=$A16)*('NVRAM map'!$AI$3:$AI$319&gt;=S$3)*('NVRAM map'!$AJ$3:$AJ$319&lt;=S$3),0),2))</f>
        <v>V_SUP_LOW</v>
      </c>
      <c r="T16" s="87" t="str">
        <f t="array" aca="1" ref="T16" ca="1">IF(ISNA(INDEX('NVRAM map'!$AF$3:$AG$319,MATCH(1,('NVRAM map'!$AF$3:$AF$319=$A16)*('NVRAM map'!$AI$3:$AI$319&gt;=T$3)*('NVRAM map'!$AJ$3:$AJ$319&lt;=T$3),0),2)),"-",INDEX('NVRAM map'!$AF$3:$AG$319,MATCH(1,('NVRAM map'!$AF$3:$AF$319=$A16)*('NVRAM map'!$AI$3:$AI$319&gt;=T$3)*('NVRAM map'!$AJ$3:$AJ$319&lt;=T$3),0),2))</f>
        <v>V_SUP_LOW</v>
      </c>
      <c r="U16" s="87" t="str">
        <f t="array" aca="1" ref="U16" ca="1">IF(ISNA(INDEX('NVRAM map'!$AF$3:$AG$319,MATCH(1,('NVRAM map'!$AF$3:$AF$319=$A16)*('NVRAM map'!$AI$3:$AI$319&gt;=U$3)*('NVRAM map'!$AJ$3:$AJ$319&lt;=U$3),0),2)),"-",INDEX('NVRAM map'!$AF$3:$AG$319,MATCH(1,('NVRAM map'!$AF$3:$AF$319=$A16)*('NVRAM map'!$AI$3:$AI$319&gt;=U$3)*('NVRAM map'!$AJ$3:$AJ$319&lt;=U$3),0),2))</f>
        <v>V_SUP_LOW</v>
      </c>
      <c r="V16" s="87" t="str">
        <f t="array" aca="1" ref="V16" ca="1">IF(ISNA(INDEX('NVRAM map'!$AF$3:$AG$319,MATCH(1,('NVRAM map'!$AF$3:$AF$319=$A16)*('NVRAM map'!$AI$3:$AI$319&gt;=V$3)*('NVRAM map'!$AJ$3:$AJ$319&lt;=V$3),0),2)),"-",INDEX('NVRAM map'!$AF$3:$AG$319,MATCH(1,('NVRAM map'!$AF$3:$AF$319=$A16)*('NVRAM map'!$AI$3:$AI$319&gt;=V$3)*('NVRAM map'!$AJ$3:$AJ$319&lt;=V$3),0),2))</f>
        <v>V_SUP_LOW</v>
      </c>
      <c r="W16" s="87" t="str">
        <f t="array" aca="1" ref="W16" ca="1">IF(ISNA(INDEX('NVRAM map'!$AF$3:$AG$319,MATCH(1,('NVRAM map'!$AF$3:$AF$319=$A16)*('NVRAM map'!$AI$3:$AI$319&gt;=W$3)*('NVRAM map'!$AJ$3:$AJ$319&lt;=W$3),0),2)),"-",INDEX('NVRAM map'!$AF$3:$AG$319,MATCH(1,('NVRAM map'!$AF$3:$AF$319=$A16)*('NVRAM map'!$AI$3:$AI$319&gt;=W$3)*('NVRAM map'!$AJ$3:$AJ$319&lt;=W$3),0),2))</f>
        <v>V_SUP_LOW</v>
      </c>
      <c r="X16" s="88" t="str">
        <f ca="1">INDEX('NVRAM map'!$B$3:$B$319,MATCH(A16,'NVRAM map'!$E$3:$E$319,0))</f>
        <v>CUST</v>
      </c>
      <c r="AB16" s="44">
        <f t="shared" ca="1" si="2"/>
        <v>441</v>
      </c>
      <c r="AC16" s="12" t="b">
        <f ca="1">COUNTIF('NVRAM map'!$AD$3:$AE$319,A16)&lt;2</f>
        <v>1</v>
      </c>
      <c r="AD16" s="12">
        <f ca="1">SUMIF('NVRAM map'!$AF$3:$AF$319,A16,'NVRAM map'!$AK$3:$AK$319)</f>
        <v>65535</v>
      </c>
      <c r="AE16" s="12" t="str">
        <f t="shared" ca="1" si="3"/>
        <v>FFFF</v>
      </c>
      <c r="AF16" s="12" t="str">
        <f t="shared" ca="1" si="4"/>
        <v>11111111</v>
      </c>
      <c r="AG16" s="12" t="str">
        <f t="shared" ca="1" si="5"/>
        <v>11111111</v>
      </c>
      <c r="AH16" s="12">
        <f t="shared" ca="1" si="6"/>
        <v>16</v>
      </c>
      <c r="AI16" s="12">
        <f ca="1">SUMIF('NVRAM map'!$AF$3:$AF$319,A16,'NVRAM map'!$AH$3:$AH$319)</f>
        <v>16</v>
      </c>
      <c r="AJ16" s="12" t="b">
        <f t="shared" ca="1" si="7"/>
        <v>1</v>
      </c>
      <c r="AK16" s="12">
        <f ca="1">COUNTIF('NVRAM map'!$AF$3:$AF$319,A16)</f>
        <v>2</v>
      </c>
      <c r="AM16" s="89">
        <v>0</v>
      </c>
      <c r="AN16" s="80">
        <f t="shared" ca="1" si="8"/>
        <v>0</v>
      </c>
      <c r="AO16" s="80">
        <f t="shared" ca="1" si="8"/>
        <v>0</v>
      </c>
      <c r="AP16" s="80">
        <f t="shared" ca="1" si="8"/>
        <v>0</v>
      </c>
      <c r="AQ16" s="80">
        <f t="shared" ca="1" si="8"/>
        <v>0</v>
      </c>
      <c r="AR16" s="80">
        <f t="shared" ca="1" si="8"/>
        <v>0</v>
      </c>
      <c r="AS16" s="80">
        <f t="shared" ca="1" si="8"/>
        <v>0</v>
      </c>
      <c r="AT16" s="80">
        <f t="shared" ca="1" si="8"/>
        <v>0</v>
      </c>
      <c r="AU16" s="80">
        <f t="shared" ca="1" si="8"/>
        <v>1</v>
      </c>
      <c r="AV16" s="80">
        <f t="shared" ca="1" si="8"/>
        <v>1</v>
      </c>
      <c r="AW16" s="80">
        <f t="shared" ca="1" si="8"/>
        <v>1</v>
      </c>
      <c r="AX16" s="80">
        <f t="shared" ca="1" si="8"/>
        <v>1</v>
      </c>
      <c r="AY16" s="80">
        <f t="shared" ca="1" si="8"/>
        <v>1</v>
      </c>
      <c r="AZ16" s="80">
        <f t="shared" ca="1" si="8"/>
        <v>1</v>
      </c>
      <c r="BA16" s="80">
        <f t="shared" ca="1" si="8"/>
        <v>1</v>
      </c>
      <c r="BB16" s="81">
        <f t="shared" ca="1" si="8"/>
        <v>1</v>
      </c>
      <c r="BD16" s="12" t="str">
        <f t="shared" si="9"/>
        <v>0x1018</v>
      </c>
      <c r="BE16" s="12" t="str">
        <f t="shared" ca="1" si="10"/>
        <v>1100011111110010</v>
      </c>
      <c r="BG16" s="53" t="str">
        <f t="shared" ca="1" si="11"/>
        <v>`define EE_VSUP_CTRL 6</v>
      </c>
    </row>
    <row r="17" spans="1:59">
      <c r="A17" s="82" t="s">
        <v>280</v>
      </c>
      <c r="B17" s="82">
        <v>26</v>
      </c>
      <c r="C17" s="82">
        <v>6</v>
      </c>
      <c r="D17" s="83">
        <f ca="1">SUMIF('NVRAM map'!$AF$3:$AF$319,A17,'NVRAM map'!$AN$3:$AN$319)</f>
        <v>9830</v>
      </c>
      <c r="E17" s="84" t="str">
        <f t="shared" ca="1" si="0"/>
        <v>2666</v>
      </c>
      <c r="F17" s="85" t="str">
        <f t="shared" ca="1" si="12"/>
        <v>2666</v>
      </c>
      <c r="G17" s="86" t="str">
        <f ca="1">VLOOKUP(MemoryView!A17,'NVRAM map'!$AD$3:$AE$319,2,0)</f>
        <v>EE_P0</v>
      </c>
      <c r="H17" s="87" t="str">
        <f t="array" aca="1" ref="H17" ca="1">IF(ISNA(INDEX('NVRAM map'!$AF$3:$AG$319,MATCH(1,('NVRAM map'!$AF$3:$AF$319=$A17)*('NVRAM map'!$AI$3:$AI$319&gt;=H$3)*('NVRAM map'!$AJ$3:$AJ$319&lt;=H$3),0),2)),"-",INDEX('NVRAM map'!$AF$3:$AG$319,MATCH(1,('NVRAM map'!$AF$3:$AF$319=$A17)*('NVRAM map'!$AI$3:$AI$319&gt;=H$3)*('NVRAM map'!$AJ$3:$AJ$319&lt;=H$3),0),2))</f>
        <v>P0</v>
      </c>
      <c r="I17" s="87" t="str">
        <f t="array" aca="1" ref="I17" ca="1">IF(ISNA(INDEX('NVRAM map'!$AF$3:$AG$319,MATCH(1,('NVRAM map'!$AF$3:$AF$319=$A17)*('NVRAM map'!$AI$3:$AI$319&gt;=I$3)*('NVRAM map'!$AJ$3:$AJ$319&lt;=I$3),0),2)),"-",INDEX('NVRAM map'!$AF$3:$AG$319,MATCH(1,('NVRAM map'!$AF$3:$AF$319=$A17)*('NVRAM map'!$AI$3:$AI$319&gt;=I$3)*('NVRAM map'!$AJ$3:$AJ$319&lt;=I$3),0),2))</f>
        <v>P0</v>
      </c>
      <c r="J17" s="87" t="str">
        <f t="array" aca="1" ref="J17" ca="1">IF(ISNA(INDEX('NVRAM map'!$AF$3:$AG$319,MATCH(1,('NVRAM map'!$AF$3:$AF$319=$A17)*('NVRAM map'!$AI$3:$AI$319&gt;=J$3)*('NVRAM map'!$AJ$3:$AJ$319&lt;=J$3),0),2)),"-",INDEX('NVRAM map'!$AF$3:$AG$319,MATCH(1,('NVRAM map'!$AF$3:$AF$319=$A17)*('NVRAM map'!$AI$3:$AI$319&gt;=J$3)*('NVRAM map'!$AJ$3:$AJ$319&lt;=J$3),0),2))</f>
        <v>P0</v>
      </c>
      <c r="K17" s="87" t="str">
        <f t="array" aca="1" ref="K17" ca="1">IF(ISNA(INDEX('NVRAM map'!$AF$3:$AG$319,MATCH(1,('NVRAM map'!$AF$3:$AF$319=$A17)*('NVRAM map'!$AI$3:$AI$319&gt;=K$3)*('NVRAM map'!$AJ$3:$AJ$319&lt;=K$3),0),2)),"-",INDEX('NVRAM map'!$AF$3:$AG$319,MATCH(1,('NVRAM map'!$AF$3:$AF$319=$A17)*('NVRAM map'!$AI$3:$AI$319&gt;=K$3)*('NVRAM map'!$AJ$3:$AJ$319&lt;=K$3),0),2))</f>
        <v>P0</v>
      </c>
      <c r="L17" s="87" t="str">
        <f t="array" aca="1" ref="L17" ca="1">IF(ISNA(INDEX('NVRAM map'!$AF$3:$AG$319,MATCH(1,('NVRAM map'!$AF$3:$AF$319=$A17)*('NVRAM map'!$AI$3:$AI$319&gt;=L$3)*('NVRAM map'!$AJ$3:$AJ$319&lt;=L$3),0),2)),"-",INDEX('NVRAM map'!$AF$3:$AG$319,MATCH(1,('NVRAM map'!$AF$3:$AF$319=$A17)*('NVRAM map'!$AI$3:$AI$319&gt;=L$3)*('NVRAM map'!$AJ$3:$AJ$319&lt;=L$3),0),2))</f>
        <v>P0</v>
      </c>
      <c r="M17" s="87" t="str">
        <f t="array" aca="1" ref="M17" ca="1">IF(ISNA(INDEX('NVRAM map'!$AF$3:$AG$319,MATCH(1,('NVRAM map'!$AF$3:$AF$319=$A17)*('NVRAM map'!$AI$3:$AI$319&gt;=M$3)*('NVRAM map'!$AJ$3:$AJ$319&lt;=M$3),0),2)),"-",INDEX('NVRAM map'!$AF$3:$AG$319,MATCH(1,('NVRAM map'!$AF$3:$AF$319=$A17)*('NVRAM map'!$AI$3:$AI$319&gt;=M$3)*('NVRAM map'!$AJ$3:$AJ$319&lt;=M$3),0),2))</f>
        <v>P0</v>
      </c>
      <c r="N17" s="87" t="str">
        <f t="array" aca="1" ref="N17" ca="1">IF(ISNA(INDEX('NVRAM map'!$AF$3:$AG$319,MATCH(1,('NVRAM map'!$AF$3:$AF$319=$A17)*('NVRAM map'!$AI$3:$AI$319&gt;=N$3)*('NVRAM map'!$AJ$3:$AJ$319&lt;=N$3),0),2)),"-",INDEX('NVRAM map'!$AF$3:$AG$319,MATCH(1,('NVRAM map'!$AF$3:$AF$319=$A17)*('NVRAM map'!$AI$3:$AI$319&gt;=N$3)*('NVRAM map'!$AJ$3:$AJ$319&lt;=N$3),0),2))</f>
        <v>P0</v>
      </c>
      <c r="O17" s="87" t="str">
        <f t="array" aca="1" ref="O17" ca="1">IF(ISNA(INDEX('NVRAM map'!$AF$3:$AG$319,MATCH(1,('NVRAM map'!$AF$3:$AF$319=$A17)*('NVRAM map'!$AI$3:$AI$319&gt;=O$3)*('NVRAM map'!$AJ$3:$AJ$319&lt;=O$3),0),2)),"-",INDEX('NVRAM map'!$AF$3:$AG$319,MATCH(1,('NVRAM map'!$AF$3:$AF$319=$A17)*('NVRAM map'!$AI$3:$AI$319&gt;=O$3)*('NVRAM map'!$AJ$3:$AJ$319&lt;=O$3),0),2))</f>
        <v>P0</v>
      </c>
      <c r="P17" s="87" t="str">
        <f t="array" aca="1" ref="P17" ca="1">IF(ISNA(INDEX('NVRAM map'!$AF$3:$AG$319,MATCH(1,('NVRAM map'!$AF$3:$AF$319=$A17)*('NVRAM map'!$AI$3:$AI$319&gt;=P$3)*('NVRAM map'!$AJ$3:$AJ$319&lt;=P$3),0),2)),"-",INDEX('NVRAM map'!$AF$3:$AG$319,MATCH(1,('NVRAM map'!$AF$3:$AF$319=$A17)*('NVRAM map'!$AI$3:$AI$319&gt;=P$3)*('NVRAM map'!$AJ$3:$AJ$319&lt;=P$3),0),2))</f>
        <v>P0</v>
      </c>
      <c r="Q17" s="87" t="str">
        <f t="array" aca="1" ref="Q17" ca="1">IF(ISNA(INDEX('NVRAM map'!$AF$3:$AG$319,MATCH(1,('NVRAM map'!$AF$3:$AF$319=$A17)*('NVRAM map'!$AI$3:$AI$319&gt;=Q$3)*('NVRAM map'!$AJ$3:$AJ$319&lt;=Q$3),0),2)),"-",INDEX('NVRAM map'!$AF$3:$AG$319,MATCH(1,('NVRAM map'!$AF$3:$AF$319=$A17)*('NVRAM map'!$AI$3:$AI$319&gt;=Q$3)*('NVRAM map'!$AJ$3:$AJ$319&lt;=Q$3),0),2))</f>
        <v>P0</v>
      </c>
      <c r="R17" s="87" t="str">
        <f t="array" aca="1" ref="R17" ca="1">IF(ISNA(INDEX('NVRAM map'!$AF$3:$AG$319,MATCH(1,('NVRAM map'!$AF$3:$AF$319=$A17)*('NVRAM map'!$AI$3:$AI$319&gt;=R$3)*('NVRAM map'!$AJ$3:$AJ$319&lt;=R$3),0),2)),"-",INDEX('NVRAM map'!$AF$3:$AG$319,MATCH(1,('NVRAM map'!$AF$3:$AF$319=$A17)*('NVRAM map'!$AI$3:$AI$319&gt;=R$3)*('NVRAM map'!$AJ$3:$AJ$319&lt;=R$3),0),2))</f>
        <v>P0</v>
      </c>
      <c r="S17" s="87" t="str">
        <f t="array" aca="1" ref="S17" ca="1">IF(ISNA(INDEX('NVRAM map'!$AF$3:$AG$319,MATCH(1,('NVRAM map'!$AF$3:$AF$319=$A17)*('NVRAM map'!$AI$3:$AI$319&gt;=S$3)*('NVRAM map'!$AJ$3:$AJ$319&lt;=S$3),0),2)),"-",INDEX('NVRAM map'!$AF$3:$AG$319,MATCH(1,('NVRAM map'!$AF$3:$AF$319=$A17)*('NVRAM map'!$AI$3:$AI$319&gt;=S$3)*('NVRAM map'!$AJ$3:$AJ$319&lt;=S$3),0),2))</f>
        <v>P0</v>
      </c>
      <c r="T17" s="87" t="str">
        <f t="array" aca="1" ref="T17" ca="1">IF(ISNA(INDEX('NVRAM map'!$AF$3:$AG$319,MATCH(1,('NVRAM map'!$AF$3:$AF$319=$A17)*('NVRAM map'!$AI$3:$AI$319&gt;=T$3)*('NVRAM map'!$AJ$3:$AJ$319&lt;=T$3),0),2)),"-",INDEX('NVRAM map'!$AF$3:$AG$319,MATCH(1,('NVRAM map'!$AF$3:$AF$319=$A17)*('NVRAM map'!$AI$3:$AI$319&gt;=T$3)*('NVRAM map'!$AJ$3:$AJ$319&lt;=T$3),0),2))</f>
        <v>P0</v>
      </c>
      <c r="U17" s="87" t="str">
        <f t="array" aca="1" ref="U17" ca="1">IF(ISNA(INDEX('NVRAM map'!$AF$3:$AG$319,MATCH(1,('NVRAM map'!$AF$3:$AF$319=$A17)*('NVRAM map'!$AI$3:$AI$319&gt;=U$3)*('NVRAM map'!$AJ$3:$AJ$319&lt;=U$3),0),2)),"-",INDEX('NVRAM map'!$AF$3:$AG$319,MATCH(1,('NVRAM map'!$AF$3:$AF$319=$A17)*('NVRAM map'!$AI$3:$AI$319&gt;=U$3)*('NVRAM map'!$AJ$3:$AJ$319&lt;=U$3),0),2))</f>
        <v>P0</v>
      </c>
      <c r="V17" s="87" t="str">
        <f t="array" aca="1" ref="V17" ca="1">IF(ISNA(INDEX('NVRAM map'!$AF$3:$AG$319,MATCH(1,('NVRAM map'!$AF$3:$AF$319=$A17)*('NVRAM map'!$AI$3:$AI$319&gt;=V$3)*('NVRAM map'!$AJ$3:$AJ$319&lt;=V$3),0),2)),"-",INDEX('NVRAM map'!$AF$3:$AG$319,MATCH(1,('NVRAM map'!$AF$3:$AF$319=$A17)*('NVRAM map'!$AI$3:$AI$319&gt;=V$3)*('NVRAM map'!$AJ$3:$AJ$319&lt;=V$3),0),2))</f>
        <v>P0</v>
      </c>
      <c r="W17" s="87" t="str">
        <f t="array" aca="1" ref="W17" ca="1">IF(ISNA(INDEX('NVRAM map'!$AF$3:$AG$319,MATCH(1,('NVRAM map'!$AF$3:$AF$319=$A17)*('NVRAM map'!$AI$3:$AI$319&gt;=W$3)*('NVRAM map'!$AJ$3:$AJ$319&lt;=W$3),0),2)),"-",INDEX('NVRAM map'!$AF$3:$AG$319,MATCH(1,('NVRAM map'!$AF$3:$AF$319=$A17)*('NVRAM map'!$AI$3:$AI$319&gt;=W$3)*('NVRAM map'!$AJ$3:$AJ$319&lt;=W$3),0),2))</f>
        <v>P0</v>
      </c>
      <c r="X17" s="88" t="str">
        <f ca="1">INDEX('NVRAM map'!$B$3:$B$319,MATCH(A17,'NVRAM map'!$E$3:$E$319,0))</f>
        <v>CUST</v>
      </c>
      <c r="AB17" s="44">
        <f t="shared" ca="1" si="2"/>
        <v>140</v>
      </c>
      <c r="AC17" s="12" t="b">
        <f ca="1">COUNTIF('NVRAM map'!$AD$3:$AE$319,A17)&lt;2</f>
        <v>1</v>
      </c>
      <c r="AD17" s="12">
        <f ca="1">SUMIF('NVRAM map'!$AF$3:$AF$319,A17,'NVRAM map'!$AK$3:$AK$319)</f>
        <v>65535</v>
      </c>
      <c r="AE17" s="12" t="str">
        <f t="shared" ca="1" si="3"/>
        <v>FFFF</v>
      </c>
      <c r="AF17" s="12" t="str">
        <f t="shared" ca="1" si="4"/>
        <v>11111111</v>
      </c>
      <c r="AG17" s="12" t="str">
        <f t="shared" ca="1" si="5"/>
        <v>11111111</v>
      </c>
      <c r="AH17" s="12">
        <f t="shared" ca="1" si="6"/>
        <v>16</v>
      </c>
      <c r="AI17" s="12">
        <f ca="1">SUMIF('NVRAM map'!$AF$3:$AF$319,A17,'NVRAM map'!$AH$3:$AH$319)</f>
        <v>16</v>
      </c>
      <c r="AJ17" s="12" t="b">
        <f t="shared" ca="1" si="7"/>
        <v>1</v>
      </c>
      <c r="AK17" s="12">
        <f ca="1">COUNTIF('NVRAM map'!$AF$3:$AF$319,A17)</f>
        <v>1</v>
      </c>
      <c r="AM17" s="89">
        <v>0</v>
      </c>
      <c r="AN17" s="80">
        <f t="shared" ca="1" si="8"/>
        <v>0</v>
      </c>
      <c r="AO17" s="80">
        <f t="shared" ca="1" si="8"/>
        <v>0</v>
      </c>
      <c r="AP17" s="80">
        <f t="shared" ca="1" si="8"/>
        <v>0</v>
      </c>
      <c r="AQ17" s="80">
        <f t="shared" ca="1" si="8"/>
        <v>0</v>
      </c>
      <c r="AR17" s="80">
        <f t="shared" ca="1" si="8"/>
        <v>0</v>
      </c>
      <c r="AS17" s="80">
        <f t="shared" ca="1" si="8"/>
        <v>0</v>
      </c>
      <c r="AT17" s="80">
        <f t="shared" ca="1" si="8"/>
        <v>0</v>
      </c>
      <c r="AU17" s="80">
        <f t="shared" ca="1" si="8"/>
        <v>0</v>
      </c>
      <c r="AV17" s="80">
        <f t="shared" ca="1" si="8"/>
        <v>0</v>
      </c>
      <c r="AW17" s="80">
        <f t="shared" ca="1" si="8"/>
        <v>0</v>
      </c>
      <c r="AX17" s="80">
        <f t="shared" ca="1" si="8"/>
        <v>0</v>
      </c>
      <c r="AY17" s="80">
        <f t="shared" ca="1" si="8"/>
        <v>0</v>
      </c>
      <c r="AZ17" s="80">
        <f t="shared" ca="1" si="8"/>
        <v>0</v>
      </c>
      <c r="BA17" s="80">
        <f t="shared" ca="1" si="8"/>
        <v>0</v>
      </c>
      <c r="BB17" s="81">
        <f t="shared" ca="1" si="8"/>
        <v>0</v>
      </c>
      <c r="BD17" s="12" t="str">
        <f t="shared" si="9"/>
        <v>0x101A</v>
      </c>
      <c r="BE17" s="12" t="str">
        <f t="shared" ca="1" si="10"/>
        <v>0010011001100110</v>
      </c>
      <c r="BG17" s="53" t="str">
        <f t="shared" ca="1" si="11"/>
        <v>`define EE_P0 6</v>
      </c>
    </row>
    <row r="18" spans="1:59">
      <c r="A18" s="82" t="s">
        <v>281</v>
      </c>
      <c r="B18" s="82">
        <v>28</v>
      </c>
      <c r="C18" s="82">
        <v>7</v>
      </c>
      <c r="D18" s="83">
        <f ca="1">SUMIF('NVRAM map'!$AF$3:$AF$319,A18,'NVRAM map'!$AN$3:$AN$319)</f>
        <v>8138</v>
      </c>
      <c r="E18" s="84" t="str">
        <f t="shared" ca="1" si="0"/>
        <v>1FCA</v>
      </c>
      <c r="F18" s="85" t="str">
        <f t="shared" ca="1" si="12"/>
        <v>1FCA</v>
      </c>
      <c r="G18" s="86" t="str">
        <f ca="1">VLOOKUP(MemoryView!A18,'NVRAM map'!$AD$3:$AE$319,2,0)</f>
        <v>EE_A0</v>
      </c>
      <c r="H18" s="87" t="str">
        <f t="array" aca="1" ref="H18" ca="1">IF(ISNA(INDEX('NVRAM map'!$AF$3:$AG$319,MATCH(1,('NVRAM map'!$AF$3:$AF$319=$A18)*('NVRAM map'!$AI$3:$AI$319&gt;=H$3)*('NVRAM map'!$AJ$3:$AJ$319&lt;=H$3),0),2)),"-",INDEX('NVRAM map'!$AF$3:$AG$319,MATCH(1,('NVRAM map'!$AF$3:$AF$319=$A18)*('NVRAM map'!$AI$3:$AI$319&gt;=H$3)*('NVRAM map'!$AJ$3:$AJ$319&lt;=H$3),0),2))</f>
        <v>A0</v>
      </c>
      <c r="I18" s="87" t="str">
        <f t="array" aca="1" ref="I18" ca="1">IF(ISNA(INDEX('NVRAM map'!$AF$3:$AG$319,MATCH(1,('NVRAM map'!$AF$3:$AF$319=$A18)*('NVRAM map'!$AI$3:$AI$319&gt;=I$3)*('NVRAM map'!$AJ$3:$AJ$319&lt;=I$3),0),2)),"-",INDEX('NVRAM map'!$AF$3:$AG$319,MATCH(1,('NVRAM map'!$AF$3:$AF$319=$A18)*('NVRAM map'!$AI$3:$AI$319&gt;=I$3)*('NVRAM map'!$AJ$3:$AJ$319&lt;=I$3),0),2))</f>
        <v>A0</v>
      </c>
      <c r="J18" s="87" t="str">
        <f t="array" aca="1" ref="J18" ca="1">IF(ISNA(INDEX('NVRAM map'!$AF$3:$AG$319,MATCH(1,('NVRAM map'!$AF$3:$AF$319=$A18)*('NVRAM map'!$AI$3:$AI$319&gt;=J$3)*('NVRAM map'!$AJ$3:$AJ$319&lt;=J$3),0),2)),"-",INDEX('NVRAM map'!$AF$3:$AG$319,MATCH(1,('NVRAM map'!$AF$3:$AF$319=$A18)*('NVRAM map'!$AI$3:$AI$319&gt;=J$3)*('NVRAM map'!$AJ$3:$AJ$319&lt;=J$3),0),2))</f>
        <v>A0</v>
      </c>
      <c r="K18" s="87" t="str">
        <f t="array" aca="1" ref="K18" ca="1">IF(ISNA(INDEX('NVRAM map'!$AF$3:$AG$319,MATCH(1,('NVRAM map'!$AF$3:$AF$319=$A18)*('NVRAM map'!$AI$3:$AI$319&gt;=K$3)*('NVRAM map'!$AJ$3:$AJ$319&lt;=K$3),0),2)),"-",INDEX('NVRAM map'!$AF$3:$AG$319,MATCH(1,('NVRAM map'!$AF$3:$AF$319=$A18)*('NVRAM map'!$AI$3:$AI$319&gt;=K$3)*('NVRAM map'!$AJ$3:$AJ$319&lt;=K$3),0),2))</f>
        <v>A0</v>
      </c>
      <c r="L18" s="87" t="str">
        <f t="array" aca="1" ref="L18" ca="1">IF(ISNA(INDEX('NVRAM map'!$AF$3:$AG$319,MATCH(1,('NVRAM map'!$AF$3:$AF$319=$A18)*('NVRAM map'!$AI$3:$AI$319&gt;=L$3)*('NVRAM map'!$AJ$3:$AJ$319&lt;=L$3),0),2)),"-",INDEX('NVRAM map'!$AF$3:$AG$319,MATCH(1,('NVRAM map'!$AF$3:$AF$319=$A18)*('NVRAM map'!$AI$3:$AI$319&gt;=L$3)*('NVRAM map'!$AJ$3:$AJ$319&lt;=L$3),0),2))</f>
        <v>A0</v>
      </c>
      <c r="M18" s="87" t="str">
        <f t="array" aca="1" ref="M18" ca="1">IF(ISNA(INDEX('NVRAM map'!$AF$3:$AG$319,MATCH(1,('NVRAM map'!$AF$3:$AF$319=$A18)*('NVRAM map'!$AI$3:$AI$319&gt;=M$3)*('NVRAM map'!$AJ$3:$AJ$319&lt;=M$3),0),2)),"-",INDEX('NVRAM map'!$AF$3:$AG$319,MATCH(1,('NVRAM map'!$AF$3:$AF$319=$A18)*('NVRAM map'!$AI$3:$AI$319&gt;=M$3)*('NVRAM map'!$AJ$3:$AJ$319&lt;=M$3),0),2))</f>
        <v>A0</v>
      </c>
      <c r="N18" s="87" t="str">
        <f t="array" aca="1" ref="N18" ca="1">IF(ISNA(INDEX('NVRAM map'!$AF$3:$AG$319,MATCH(1,('NVRAM map'!$AF$3:$AF$319=$A18)*('NVRAM map'!$AI$3:$AI$319&gt;=N$3)*('NVRAM map'!$AJ$3:$AJ$319&lt;=N$3),0),2)),"-",INDEX('NVRAM map'!$AF$3:$AG$319,MATCH(1,('NVRAM map'!$AF$3:$AF$319=$A18)*('NVRAM map'!$AI$3:$AI$319&gt;=N$3)*('NVRAM map'!$AJ$3:$AJ$319&lt;=N$3),0),2))</f>
        <v>A0</v>
      </c>
      <c r="O18" s="87" t="str">
        <f t="array" aca="1" ref="O18" ca="1">IF(ISNA(INDEX('NVRAM map'!$AF$3:$AG$319,MATCH(1,('NVRAM map'!$AF$3:$AF$319=$A18)*('NVRAM map'!$AI$3:$AI$319&gt;=O$3)*('NVRAM map'!$AJ$3:$AJ$319&lt;=O$3),0),2)),"-",INDEX('NVRAM map'!$AF$3:$AG$319,MATCH(1,('NVRAM map'!$AF$3:$AF$319=$A18)*('NVRAM map'!$AI$3:$AI$319&gt;=O$3)*('NVRAM map'!$AJ$3:$AJ$319&lt;=O$3),0),2))</f>
        <v>A0</v>
      </c>
      <c r="P18" s="87" t="str">
        <f t="array" aca="1" ref="P18" ca="1">IF(ISNA(INDEX('NVRAM map'!$AF$3:$AG$319,MATCH(1,('NVRAM map'!$AF$3:$AF$319=$A18)*('NVRAM map'!$AI$3:$AI$319&gt;=P$3)*('NVRAM map'!$AJ$3:$AJ$319&lt;=P$3),0),2)),"-",INDEX('NVRAM map'!$AF$3:$AG$319,MATCH(1,('NVRAM map'!$AF$3:$AF$319=$A18)*('NVRAM map'!$AI$3:$AI$319&gt;=P$3)*('NVRAM map'!$AJ$3:$AJ$319&lt;=P$3),0),2))</f>
        <v>A0</v>
      </c>
      <c r="Q18" s="87" t="str">
        <f t="array" aca="1" ref="Q18" ca="1">IF(ISNA(INDEX('NVRAM map'!$AF$3:$AG$319,MATCH(1,('NVRAM map'!$AF$3:$AF$319=$A18)*('NVRAM map'!$AI$3:$AI$319&gt;=Q$3)*('NVRAM map'!$AJ$3:$AJ$319&lt;=Q$3),0),2)),"-",INDEX('NVRAM map'!$AF$3:$AG$319,MATCH(1,('NVRAM map'!$AF$3:$AF$319=$A18)*('NVRAM map'!$AI$3:$AI$319&gt;=Q$3)*('NVRAM map'!$AJ$3:$AJ$319&lt;=Q$3),0),2))</f>
        <v>A0</v>
      </c>
      <c r="R18" s="87" t="str">
        <f t="array" aca="1" ref="R18" ca="1">IF(ISNA(INDEX('NVRAM map'!$AF$3:$AG$319,MATCH(1,('NVRAM map'!$AF$3:$AF$319=$A18)*('NVRAM map'!$AI$3:$AI$319&gt;=R$3)*('NVRAM map'!$AJ$3:$AJ$319&lt;=R$3),0),2)),"-",INDEX('NVRAM map'!$AF$3:$AG$319,MATCH(1,('NVRAM map'!$AF$3:$AF$319=$A18)*('NVRAM map'!$AI$3:$AI$319&gt;=R$3)*('NVRAM map'!$AJ$3:$AJ$319&lt;=R$3),0),2))</f>
        <v>A0</v>
      </c>
      <c r="S18" s="87" t="str">
        <f t="array" aca="1" ref="S18" ca="1">IF(ISNA(INDEX('NVRAM map'!$AF$3:$AG$319,MATCH(1,('NVRAM map'!$AF$3:$AF$319=$A18)*('NVRAM map'!$AI$3:$AI$319&gt;=S$3)*('NVRAM map'!$AJ$3:$AJ$319&lt;=S$3),0),2)),"-",INDEX('NVRAM map'!$AF$3:$AG$319,MATCH(1,('NVRAM map'!$AF$3:$AF$319=$A18)*('NVRAM map'!$AI$3:$AI$319&gt;=S$3)*('NVRAM map'!$AJ$3:$AJ$319&lt;=S$3),0),2))</f>
        <v>A0</v>
      </c>
      <c r="T18" s="87" t="str">
        <f t="array" aca="1" ref="T18" ca="1">IF(ISNA(INDEX('NVRAM map'!$AF$3:$AG$319,MATCH(1,('NVRAM map'!$AF$3:$AF$319=$A18)*('NVRAM map'!$AI$3:$AI$319&gt;=T$3)*('NVRAM map'!$AJ$3:$AJ$319&lt;=T$3),0),2)),"-",INDEX('NVRAM map'!$AF$3:$AG$319,MATCH(1,('NVRAM map'!$AF$3:$AF$319=$A18)*('NVRAM map'!$AI$3:$AI$319&gt;=T$3)*('NVRAM map'!$AJ$3:$AJ$319&lt;=T$3),0),2))</f>
        <v>A0</v>
      </c>
      <c r="U18" s="87" t="str">
        <f t="array" aca="1" ref="U18" ca="1">IF(ISNA(INDEX('NVRAM map'!$AF$3:$AG$319,MATCH(1,('NVRAM map'!$AF$3:$AF$319=$A18)*('NVRAM map'!$AI$3:$AI$319&gt;=U$3)*('NVRAM map'!$AJ$3:$AJ$319&lt;=U$3),0),2)),"-",INDEX('NVRAM map'!$AF$3:$AG$319,MATCH(1,('NVRAM map'!$AF$3:$AF$319=$A18)*('NVRAM map'!$AI$3:$AI$319&gt;=U$3)*('NVRAM map'!$AJ$3:$AJ$319&lt;=U$3),0),2))</f>
        <v>A0</v>
      </c>
      <c r="V18" s="87" t="str">
        <f t="array" aca="1" ref="V18" ca="1">IF(ISNA(INDEX('NVRAM map'!$AF$3:$AG$319,MATCH(1,('NVRAM map'!$AF$3:$AF$319=$A18)*('NVRAM map'!$AI$3:$AI$319&gt;=V$3)*('NVRAM map'!$AJ$3:$AJ$319&lt;=V$3),0),2)),"-",INDEX('NVRAM map'!$AF$3:$AG$319,MATCH(1,('NVRAM map'!$AF$3:$AF$319=$A18)*('NVRAM map'!$AI$3:$AI$319&gt;=V$3)*('NVRAM map'!$AJ$3:$AJ$319&lt;=V$3),0),2))</f>
        <v>A0</v>
      </c>
      <c r="W18" s="87" t="str">
        <f t="array" aca="1" ref="W18" ca="1">IF(ISNA(INDEX('NVRAM map'!$AF$3:$AG$319,MATCH(1,('NVRAM map'!$AF$3:$AF$319=$A18)*('NVRAM map'!$AI$3:$AI$319&gt;=W$3)*('NVRAM map'!$AJ$3:$AJ$319&lt;=W$3),0),2)),"-",INDEX('NVRAM map'!$AF$3:$AG$319,MATCH(1,('NVRAM map'!$AF$3:$AF$319=$A18)*('NVRAM map'!$AI$3:$AI$319&gt;=W$3)*('NVRAM map'!$AJ$3:$AJ$319&lt;=W$3),0),2))</f>
        <v>A0</v>
      </c>
      <c r="X18" s="88" t="str">
        <f ca="1">INDEX('NVRAM map'!$B$3:$B$319,MATCH(A18,'NVRAM map'!$E$3:$E$319,0))</f>
        <v>CUST</v>
      </c>
      <c r="AB18" s="44">
        <f t="shared" ca="1" si="2"/>
        <v>233</v>
      </c>
      <c r="AC18" s="12" t="b">
        <f ca="1">COUNTIF('NVRAM map'!$AD$3:$AE$319,A18)&lt;2</f>
        <v>1</v>
      </c>
      <c r="AD18" s="12">
        <f ca="1">SUMIF('NVRAM map'!$AF$3:$AF$319,A18,'NVRAM map'!$AK$3:$AK$319)</f>
        <v>65535</v>
      </c>
      <c r="AE18" s="12" t="str">
        <f t="shared" ca="1" si="3"/>
        <v>FFFF</v>
      </c>
      <c r="AF18" s="12" t="str">
        <f t="shared" ca="1" si="4"/>
        <v>11111111</v>
      </c>
      <c r="AG18" s="12" t="str">
        <f t="shared" ca="1" si="5"/>
        <v>11111111</v>
      </c>
      <c r="AH18" s="12">
        <f t="shared" ca="1" si="6"/>
        <v>16</v>
      </c>
      <c r="AI18" s="12">
        <f ca="1">SUMIF('NVRAM map'!$AF$3:$AF$319,A18,'NVRAM map'!$AH$3:$AH$319)</f>
        <v>16</v>
      </c>
      <c r="AJ18" s="12" t="b">
        <f t="shared" ca="1" si="7"/>
        <v>1</v>
      </c>
      <c r="AK18" s="12">
        <f ca="1">COUNTIF('NVRAM map'!$AF$3:$AF$319,A18)</f>
        <v>1</v>
      </c>
      <c r="AM18" s="89">
        <v>0</v>
      </c>
      <c r="AN18" s="80">
        <f t="shared" ca="1" si="8"/>
        <v>0</v>
      </c>
      <c r="AO18" s="80">
        <f t="shared" ca="1" si="8"/>
        <v>0</v>
      </c>
      <c r="AP18" s="80">
        <f t="shared" ca="1" si="8"/>
        <v>0</v>
      </c>
      <c r="AQ18" s="80">
        <f t="shared" ca="1" si="8"/>
        <v>0</v>
      </c>
      <c r="AR18" s="80">
        <f t="shared" ca="1" si="8"/>
        <v>0</v>
      </c>
      <c r="AS18" s="80">
        <f t="shared" ca="1" si="8"/>
        <v>0</v>
      </c>
      <c r="AT18" s="80">
        <f t="shared" ca="1" si="8"/>
        <v>0</v>
      </c>
      <c r="AU18" s="80">
        <f t="shared" ca="1" si="8"/>
        <v>0</v>
      </c>
      <c r="AV18" s="80">
        <f t="shared" ca="1" si="8"/>
        <v>0</v>
      </c>
      <c r="AW18" s="80">
        <f t="shared" ca="1" si="8"/>
        <v>0</v>
      </c>
      <c r="AX18" s="80">
        <f t="shared" ca="1" si="8"/>
        <v>0</v>
      </c>
      <c r="AY18" s="80">
        <f t="shared" ca="1" si="8"/>
        <v>0</v>
      </c>
      <c r="AZ18" s="80">
        <f t="shared" ca="1" si="8"/>
        <v>0</v>
      </c>
      <c r="BA18" s="80">
        <f t="shared" ca="1" si="8"/>
        <v>0</v>
      </c>
      <c r="BB18" s="81">
        <f t="shared" ca="1" si="8"/>
        <v>0</v>
      </c>
      <c r="BD18" s="12" t="str">
        <f t="shared" si="9"/>
        <v>0x101C</v>
      </c>
      <c r="BE18" s="12" t="str">
        <f t="shared" ca="1" si="10"/>
        <v>0001111111001010</v>
      </c>
      <c r="BG18" s="53" t="str">
        <f t="shared" ca="1" si="11"/>
        <v>`define EE_A0 7</v>
      </c>
    </row>
    <row r="19" spans="1:59">
      <c r="A19" s="82" t="s">
        <v>282</v>
      </c>
      <c r="B19" s="82">
        <v>30</v>
      </c>
      <c r="C19" s="82">
        <v>7</v>
      </c>
      <c r="D19" s="83">
        <f ca="1">SUMIF('NVRAM map'!$AF$3:$AF$319,A19,'NVRAM map'!$AN$3:$AN$319)</f>
        <v>5043</v>
      </c>
      <c r="E19" s="84" t="str">
        <f t="shared" ca="1" si="0"/>
        <v>13B3</v>
      </c>
      <c r="F19" s="85" t="str">
        <f t="shared" ca="1" si="12"/>
        <v>13B3</v>
      </c>
      <c r="G19" s="86" t="str">
        <f ca="1">VLOOKUP(MemoryView!A19,'NVRAM map'!$AD$3:$AE$319,2,0)</f>
        <v>EE_A1</v>
      </c>
      <c r="H19" s="87" t="str">
        <f t="array" aca="1" ref="H19" ca="1">IF(ISNA(INDEX('NVRAM map'!$AF$3:$AG$319,MATCH(1,('NVRAM map'!$AF$3:$AF$319=$A19)*('NVRAM map'!$AI$3:$AI$319&gt;=H$3)*('NVRAM map'!$AJ$3:$AJ$319&lt;=H$3),0),2)),"-",INDEX('NVRAM map'!$AF$3:$AG$319,MATCH(1,('NVRAM map'!$AF$3:$AF$319=$A19)*('NVRAM map'!$AI$3:$AI$319&gt;=H$3)*('NVRAM map'!$AJ$3:$AJ$319&lt;=H$3),0),2))</f>
        <v>A1</v>
      </c>
      <c r="I19" s="87" t="str">
        <f t="array" aca="1" ref="I19" ca="1">IF(ISNA(INDEX('NVRAM map'!$AF$3:$AG$319,MATCH(1,('NVRAM map'!$AF$3:$AF$319=$A19)*('NVRAM map'!$AI$3:$AI$319&gt;=I$3)*('NVRAM map'!$AJ$3:$AJ$319&lt;=I$3),0),2)),"-",INDEX('NVRAM map'!$AF$3:$AG$319,MATCH(1,('NVRAM map'!$AF$3:$AF$319=$A19)*('NVRAM map'!$AI$3:$AI$319&gt;=I$3)*('NVRAM map'!$AJ$3:$AJ$319&lt;=I$3),0),2))</f>
        <v>A1</v>
      </c>
      <c r="J19" s="87" t="str">
        <f t="array" aca="1" ref="J19" ca="1">IF(ISNA(INDEX('NVRAM map'!$AF$3:$AG$319,MATCH(1,('NVRAM map'!$AF$3:$AF$319=$A19)*('NVRAM map'!$AI$3:$AI$319&gt;=J$3)*('NVRAM map'!$AJ$3:$AJ$319&lt;=J$3),0),2)),"-",INDEX('NVRAM map'!$AF$3:$AG$319,MATCH(1,('NVRAM map'!$AF$3:$AF$319=$A19)*('NVRAM map'!$AI$3:$AI$319&gt;=J$3)*('NVRAM map'!$AJ$3:$AJ$319&lt;=J$3),0),2))</f>
        <v>A1</v>
      </c>
      <c r="K19" s="87" t="str">
        <f t="array" aca="1" ref="K19" ca="1">IF(ISNA(INDEX('NVRAM map'!$AF$3:$AG$319,MATCH(1,('NVRAM map'!$AF$3:$AF$319=$A19)*('NVRAM map'!$AI$3:$AI$319&gt;=K$3)*('NVRAM map'!$AJ$3:$AJ$319&lt;=K$3),0),2)),"-",INDEX('NVRAM map'!$AF$3:$AG$319,MATCH(1,('NVRAM map'!$AF$3:$AF$319=$A19)*('NVRAM map'!$AI$3:$AI$319&gt;=K$3)*('NVRAM map'!$AJ$3:$AJ$319&lt;=K$3),0),2))</f>
        <v>A1</v>
      </c>
      <c r="L19" s="87" t="str">
        <f t="array" aca="1" ref="L19" ca="1">IF(ISNA(INDEX('NVRAM map'!$AF$3:$AG$319,MATCH(1,('NVRAM map'!$AF$3:$AF$319=$A19)*('NVRAM map'!$AI$3:$AI$319&gt;=L$3)*('NVRAM map'!$AJ$3:$AJ$319&lt;=L$3),0),2)),"-",INDEX('NVRAM map'!$AF$3:$AG$319,MATCH(1,('NVRAM map'!$AF$3:$AF$319=$A19)*('NVRAM map'!$AI$3:$AI$319&gt;=L$3)*('NVRAM map'!$AJ$3:$AJ$319&lt;=L$3),0),2))</f>
        <v>A1</v>
      </c>
      <c r="M19" s="87" t="str">
        <f t="array" aca="1" ref="M19" ca="1">IF(ISNA(INDEX('NVRAM map'!$AF$3:$AG$319,MATCH(1,('NVRAM map'!$AF$3:$AF$319=$A19)*('NVRAM map'!$AI$3:$AI$319&gt;=M$3)*('NVRAM map'!$AJ$3:$AJ$319&lt;=M$3),0),2)),"-",INDEX('NVRAM map'!$AF$3:$AG$319,MATCH(1,('NVRAM map'!$AF$3:$AF$319=$A19)*('NVRAM map'!$AI$3:$AI$319&gt;=M$3)*('NVRAM map'!$AJ$3:$AJ$319&lt;=M$3),0),2))</f>
        <v>A1</v>
      </c>
      <c r="N19" s="87" t="str">
        <f t="array" aca="1" ref="N19" ca="1">IF(ISNA(INDEX('NVRAM map'!$AF$3:$AG$319,MATCH(1,('NVRAM map'!$AF$3:$AF$319=$A19)*('NVRAM map'!$AI$3:$AI$319&gt;=N$3)*('NVRAM map'!$AJ$3:$AJ$319&lt;=N$3),0),2)),"-",INDEX('NVRAM map'!$AF$3:$AG$319,MATCH(1,('NVRAM map'!$AF$3:$AF$319=$A19)*('NVRAM map'!$AI$3:$AI$319&gt;=N$3)*('NVRAM map'!$AJ$3:$AJ$319&lt;=N$3),0),2))</f>
        <v>A1</v>
      </c>
      <c r="O19" s="87" t="str">
        <f t="array" aca="1" ref="O19" ca="1">IF(ISNA(INDEX('NVRAM map'!$AF$3:$AG$319,MATCH(1,('NVRAM map'!$AF$3:$AF$319=$A19)*('NVRAM map'!$AI$3:$AI$319&gt;=O$3)*('NVRAM map'!$AJ$3:$AJ$319&lt;=O$3),0),2)),"-",INDEX('NVRAM map'!$AF$3:$AG$319,MATCH(1,('NVRAM map'!$AF$3:$AF$319=$A19)*('NVRAM map'!$AI$3:$AI$319&gt;=O$3)*('NVRAM map'!$AJ$3:$AJ$319&lt;=O$3),0),2))</f>
        <v>A1</v>
      </c>
      <c r="P19" s="87" t="str">
        <f t="array" aca="1" ref="P19" ca="1">IF(ISNA(INDEX('NVRAM map'!$AF$3:$AG$319,MATCH(1,('NVRAM map'!$AF$3:$AF$319=$A19)*('NVRAM map'!$AI$3:$AI$319&gt;=P$3)*('NVRAM map'!$AJ$3:$AJ$319&lt;=P$3),0),2)),"-",INDEX('NVRAM map'!$AF$3:$AG$319,MATCH(1,('NVRAM map'!$AF$3:$AF$319=$A19)*('NVRAM map'!$AI$3:$AI$319&gt;=P$3)*('NVRAM map'!$AJ$3:$AJ$319&lt;=P$3),0),2))</f>
        <v>A1</v>
      </c>
      <c r="Q19" s="87" t="str">
        <f t="array" aca="1" ref="Q19" ca="1">IF(ISNA(INDEX('NVRAM map'!$AF$3:$AG$319,MATCH(1,('NVRAM map'!$AF$3:$AF$319=$A19)*('NVRAM map'!$AI$3:$AI$319&gt;=Q$3)*('NVRAM map'!$AJ$3:$AJ$319&lt;=Q$3),0),2)),"-",INDEX('NVRAM map'!$AF$3:$AG$319,MATCH(1,('NVRAM map'!$AF$3:$AF$319=$A19)*('NVRAM map'!$AI$3:$AI$319&gt;=Q$3)*('NVRAM map'!$AJ$3:$AJ$319&lt;=Q$3),0),2))</f>
        <v>A1</v>
      </c>
      <c r="R19" s="87" t="str">
        <f t="array" aca="1" ref="R19" ca="1">IF(ISNA(INDEX('NVRAM map'!$AF$3:$AG$319,MATCH(1,('NVRAM map'!$AF$3:$AF$319=$A19)*('NVRAM map'!$AI$3:$AI$319&gt;=R$3)*('NVRAM map'!$AJ$3:$AJ$319&lt;=R$3),0),2)),"-",INDEX('NVRAM map'!$AF$3:$AG$319,MATCH(1,('NVRAM map'!$AF$3:$AF$319=$A19)*('NVRAM map'!$AI$3:$AI$319&gt;=R$3)*('NVRAM map'!$AJ$3:$AJ$319&lt;=R$3),0),2))</f>
        <v>A1</v>
      </c>
      <c r="S19" s="87" t="str">
        <f t="array" aca="1" ref="S19" ca="1">IF(ISNA(INDEX('NVRAM map'!$AF$3:$AG$319,MATCH(1,('NVRAM map'!$AF$3:$AF$319=$A19)*('NVRAM map'!$AI$3:$AI$319&gt;=S$3)*('NVRAM map'!$AJ$3:$AJ$319&lt;=S$3),0),2)),"-",INDEX('NVRAM map'!$AF$3:$AG$319,MATCH(1,('NVRAM map'!$AF$3:$AF$319=$A19)*('NVRAM map'!$AI$3:$AI$319&gt;=S$3)*('NVRAM map'!$AJ$3:$AJ$319&lt;=S$3),0),2))</f>
        <v>A1</v>
      </c>
      <c r="T19" s="87" t="str">
        <f t="array" aca="1" ref="T19" ca="1">IF(ISNA(INDEX('NVRAM map'!$AF$3:$AG$319,MATCH(1,('NVRAM map'!$AF$3:$AF$319=$A19)*('NVRAM map'!$AI$3:$AI$319&gt;=T$3)*('NVRAM map'!$AJ$3:$AJ$319&lt;=T$3),0),2)),"-",INDEX('NVRAM map'!$AF$3:$AG$319,MATCH(1,('NVRAM map'!$AF$3:$AF$319=$A19)*('NVRAM map'!$AI$3:$AI$319&gt;=T$3)*('NVRAM map'!$AJ$3:$AJ$319&lt;=T$3),0),2))</f>
        <v>A1</v>
      </c>
      <c r="U19" s="87" t="str">
        <f t="array" aca="1" ref="U19" ca="1">IF(ISNA(INDEX('NVRAM map'!$AF$3:$AG$319,MATCH(1,('NVRAM map'!$AF$3:$AF$319=$A19)*('NVRAM map'!$AI$3:$AI$319&gt;=U$3)*('NVRAM map'!$AJ$3:$AJ$319&lt;=U$3),0),2)),"-",INDEX('NVRAM map'!$AF$3:$AG$319,MATCH(1,('NVRAM map'!$AF$3:$AF$319=$A19)*('NVRAM map'!$AI$3:$AI$319&gt;=U$3)*('NVRAM map'!$AJ$3:$AJ$319&lt;=U$3),0),2))</f>
        <v>A1</v>
      </c>
      <c r="V19" s="87" t="str">
        <f t="array" aca="1" ref="V19" ca="1">IF(ISNA(INDEX('NVRAM map'!$AF$3:$AG$319,MATCH(1,('NVRAM map'!$AF$3:$AF$319=$A19)*('NVRAM map'!$AI$3:$AI$319&gt;=V$3)*('NVRAM map'!$AJ$3:$AJ$319&lt;=V$3),0),2)),"-",INDEX('NVRAM map'!$AF$3:$AG$319,MATCH(1,('NVRAM map'!$AF$3:$AF$319=$A19)*('NVRAM map'!$AI$3:$AI$319&gt;=V$3)*('NVRAM map'!$AJ$3:$AJ$319&lt;=V$3),0),2))</f>
        <v>A1</v>
      </c>
      <c r="W19" s="87" t="str">
        <f t="array" aca="1" ref="W19" ca="1">IF(ISNA(INDEX('NVRAM map'!$AF$3:$AG$319,MATCH(1,('NVRAM map'!$AF$3:$AF$319=$A19)*('NVRAM map'!$AI$3:$AI$319&gt;=W$3)*('NVRAM map'!$AJ$3:$AJ$319&lt;=W$3),0),2)),"-",INDEX('NVRAM map'!$AF$3:$AG$319,MATCH(1,('NVRAM map'!$AF$3:$AF$319=$A19)*('NVRAM map'!$AI$3:$AI$319&gt;=W$3)*('NVRAM map'!$AJ$3:$AJ$319&lt;=W$3),0),2))</f>
        <v>A1</v>
      </c>
      <c r="X19" s="88" t="str">
        <f ca="1">INDEX('NVRAM map'!$B$3:$B$319,MATCH(A19,'NVRAM map'!$E$3:$E$319,0))</f>
        <v>CUST</v>
      </c>
      <c r="AB19" s="44">
        <f t="shared" ca="1" si="2"/>
        <v>198</v>
      </c>
      <c r="AC19" s="12" t="b">
        <f ca="1">COUNTIF('NVRAM map'!$AD$3:$AE$319,A19)&lt;2</f>
        <v>1</v>
      </c>
      <c r="AD19" s="12">
        <f ca="1">SUMIF('NVRAM map'!$AF$3:$AF$319,A19,'NVRAM map'!$AK$3:$AK$319)</f>
        <v>65535</v>
      </c>
      <c r="AE19" s="12" t="str">
        <f t="shared" ca="1" si="3"/>
        <v>FFFF</v>
      </c>
      <c r="AF19" s="12" t="str">
        <f t="shared" ca="1" si="4"/>
        <v>11111111</v>
      </c>
      <c r="AG19" s="12" t="str">
        <f t="shared" ca="1" si="5"/>
        <v>11111111</v>
      </c>
      <c r="AH19" s="12">
        <f t="shared" ca="1" si="6"/>
        <v>16</v>
      </c>
      <c r="AI19" s="12">
        <f ca="1">SUMIF('NVRAM map'!$AF$3:$AF$319,A19,'NVRAM map'!$AH$3:$AH$319)</f>
        <v>16</v>
      </c>
      <c r="AJ19" s="12" t="b">
        <f t="shared" ca="1" si="7"/>
        <v>1</v>
      </c>
      <c r="AK19" s="12">
        <f ca="1">COUNTIF('NVRAM map'!$AF$3:$AF$319,A19)</f>
        <v>1</v>
      </c>
      <c r="AM19" s="89">
        <v>0</v>
      </c>
      <c r="AN19" s="80">
        <f t="shared" ca="1" si="8"/>
        <v>0</v>
      </c>
      <c r="AO19" s="80">
        <f t="shared" ca="1" si="8"/>
        <v>0</v>
      </c>
      <c r="AP19" s="80">
        <f t="shared" ca="1" si="8"/>
        <v>0</v>
      </c>
      <c r="AQ19" s="80">
        <f t="shared" ca="1" si="8"/>
        <v>0</v>
      </c>
      <c r="AR19" s="80">
        <f t="shared" ca="1" si="8"/>
        <v>0</v>
      </c>
      <c r="AS19" s="80">
        <f t="shared" ca="1" si="8"/>
        <v>0</v>
      </c>
      <c r="AT19" s="80">
        <f t="shared" ca="1" si="8"/>
        <v>0</v>
      </c>
      <c r="AU19" s="80">
        <f t="shared" ca="1" si="8"/>
        <v>0</v>
      </c>
      <c r="AV19" s="80">
        <f t="shared" ca="1" si="8"/>
        <v>0</v>
      </c>
      <c r="AW19" s="80">
        <f t="shared" ca="1" si="8"/>
        <v>0</v>
      </c>
      <c r="AX19" s="80">
        <f t="shared" ca="1" si="8"/>
        <v>0</v>
      </c>
      <c r="AY19" s="80">
        <f t="shared" ca="1" si="8"/>
        <v>0</v>
      </c>
      <c r="AZ19" s="80">
        <f t="shared" ca="1" si="8"/>
        <v>0</v>
      </c>
      <c r="BA19" s="80">
        <f t="shared" ca="1" si="8"/>
        <v>0</v>
      </c>
      <c r="BB19" s="81">
        <f t="shared" ca="1" si="8"/>
        <v>0</v>
      </c>
      <c r="BD19" s="12" t="str">
        <f t="shared" si="9"/>
        <v>0x101E</v>
      </c>
      <c r="BE19" s="12" t="str">
        <f t="shared" ca="1" si="10"/>
        <v>0001001110110011</v>
      </c>
      <c r="BG19" s="53" t="str">
        <f t="shared" ca="1" si="11"/>
        <v>`define EE_A1 7</v>
      </c>
    </row>
    <row r="20" spans="1:59">
      <c r="A20" s="82" t="s">
        <v>283</v>
      </c>
      <c r="B20" s="82">
        <v>32</v>
      </c>
      <c r="C20" s="82">
        <v>8</v>
      </c>
      <c r="D20" s="83">
        <f ca="1">SUMIF('NVRAM map'!$AF$3:$AF$319,A20,'NVRAM map'!$AN$3:$AN$319)</f>
        <v>61764</v>
      </c>
      <c r="E20" s="84" t="str">
        <f t="shared" ca="1" si="0"/>
        <v>F144</v>
      </c>
      <c r="F20" s="85" t="str">
        <f t="shared" ca="1" si="12"/>
        <v>F144</v>
      </c>
      <c r="G20" s="86" t="str">
        <f ca="1">VLOOKUP(MemoryView!A20,'NVRAM map'!$AD$3:$AE$319,2,0)</f>
        <v>EE_A2</v>
      </c>
      <c r="H20" s="87" t="str">
        <f t="array" aca="1" ref="H20" ca="1">IF(ISNA(INDEX('NVRAM map'!$AF$3:$AG$319,MATCH(1,('NVRAM map'!$AF$3:$AF$319=$A20)*('NVRAM map'!$AI$3:$AI$319&gt;=H$3)*('NVRAM map'!$AJ$3:$AJ$319&lt;=H$3),0),2)),"-",INDEX('NVRAM map'!$AF$3:$AG$319,MATCH(1,('NVRAM map'!$AF$3:$AF$319=$A20)*('NVRAM map'!$AI$3:$AI$319&gt;=H$3)*('NVRAM map'!$AJ$3:$AJ$319&lt;=H$3),0),2))</f>
        <v>A2</v>
      </c>
      <c r="I20" s="87" t="str">
        <f t="array" aca="1" ref="I20" ca="1">IF(ISNA(INDEX('NVRAM map'!$AF$3:$AG$319,MATCH(1,('NVRAM map'!$AF$3:$AF$319=$A20)*('NVRAM map'!$AI$3:$AI$319&gt;=I$3)*('NVRAM map'!$AJ$3:$AJ$319&lt;=I$3),0),2)),"-",INDEX('NVRAM map'!$AF$3:$AG$319,MATCH(1,('NVRAM map'!$AF$3:$AF$319=$A20)*('NVRAM map'!$AI$3:$AI$319&gt;=I$3)*('NVRAM map'!$AJ$3:$AJ$319&lt;=I$3),0),2))</f>
        <v>A2</v>
      </c>
      <c r="J20" s="87" t="str">
        <f t="array" aca="1" ref="J20" ca="1">IF(ISNA(INDEX('NVRAM map'!$AF$3:$AG$319,MATCH(1,('NVRAM map'!$AF$3:$AF$319=$A20)*('NVRAM map'!$AI$3:$AI$319&gt;=J$3)*('NVRAM map'!$AJ$3:$AJ$319&lt;=J$3),0),2)),"-",INDEX('NVRAM map'!$AF$3:$AG$319,MATCH(1,('NVRAM map'!$AF$3:$AF$319=$A20)*('NVRAM map'!$AI$3:$AI$319&gt;=J$3)*('NVRAM map'!$AJ$3:$AJ$319&lt;=J$3),0),2))</f>
        <v>A2</v>
      </c>
      <c r="K20" s="87" t="str">
        <f t="array" aca="1" ref="K20" ca="1">IF(ISNA(INDEX('NVRAM map'!$AF$3:$AG$319,MATCH(1,('NVRAM map'!$AF$3:$AF$319=$A20)*('NVRAM map'!$AI$3:$AI$319&gt;=K$3)*('NVRAM map'!$AJ$3:$AJ$319&lt;=K$3),0),2)),"-",INDEX('NVRAM map'!$AF$3:$AG$319,MATCH(1,('NVRAM map'!$AF$3:$AF$319=$A20)*('NVRAM map'!$AI$3:$AI$319&gt;=K$3)*('NVRAM map'!$AJ$3:$AJ$319&lt;=K$3),0),2))</f>
        <v>A2</v>
      </c>
      <c r="L20" s="87" t="str">
        <f t="array" aca="1" ref="L20" ca="1">IF(ISNA(INDEX('NVRAM map'!$AF$3:$AG$319,MATCH(1,('NVRAM map'!$AF$3:$AF$319=$A20)*('NVRAM map'!$AI$3:$AI$319&gt;=L$3)*('NVRAM map'!$AJ$3:$AJ$319&lt;=L$3),0),2)),"-",INDEX('NVRAM map'!$AF$3:$AG$319,MATCH(1,('NVRAM map'!$AF$3:$AF$319=$A20)*('NVRAM map'!$AI$3:$AI$319&gt;=L$3)*('NVRAM map'!$AJ$3:$AJ$319&lt;=L$3),0),2))</f>
        <v>A2</v>
      </c>
      <c r="M20" s="87" t="str">
        <f t="array" aca="1" ref="M20" ca="1">IF(ISNA(INDEX('NVRAM map'!$AF$3:$AG$319,MATCH(1,('NVRAM map'!$AF$3:$AF$319=$A20)*('NVRAM map'!$AI$3:$AI$319&gt;=M$3)*('NVRAM map'!$AJ$3:$AJ$319&lt;=M$3),0),2)),"-",INDEX('NVRAM map'!$AF$3:$AG$319,MATCH(1,('NVRAM map'!$AF$3:$AF$319=$A20)*('NVRAM map'!$AI$3:$AI$319&gt;=M$3)*('NVRAM map'!$AJ$3:$AJ$319&lt;=M$3),0),2))</f>
        <v>A2</v>
      </c>
      <c r="N20" s="87" t="str">
        <f t="array" aca="1" ref="N20" ca="1">IF(ISNA(INDEX('NVRAM map'!$AF$3:$AG$319,MATCH(1,('NVRAM map'!$AF$3:$AF$319=$A20)*('NVRAM map'!$AI$3:$AI$319&gt;=N$3)*('NVRAM map'!$AJ$3:$AJ$319&lt;=N$3),0),2)),"-",INDEX('NVRAM map'!$AF$3:$AG$319,MATCH(1,('NVRAM map'!$AF$3:$AF$319=$A20)*('NVRAM map'!$AI$3:$AI$319&gt;=N$3)*('NVRAM map'!$AJ$3:$AJ$319&lt;=N$3),0),2))</f>
        <v>A2</v>
      </c>
      <c r="O20" s="87" t="str">
        <f t="array" aca="1" ref="O20" ca="1">IF(ISNA(INDEX('NVRAM map'!$AF$3:$AG$319,MATCH(1,('NVRAM map'!$AF$3:$AF$319=$A20)*('NVRAM map'!$AI$3:$AI$319&gt;=O$3)*('NVRAM map'!$AJ$3:$AJ$319&lt;=O$3),0),2)),"-",INDEX('NVRAM map'!$AF$3:$AG$319,MATCH(1,('NVRAM map'!$AF$3:$AF$319=$A20)*('NVRAM map'!$AI$3:$AI$319&gt;=O$3)*('NVRAM map'!$AJ$3:$AJ$319&lt;=O$3),0),2))</f>
        <v>A2</v>
      </c>
      <c r="P20" s="87" t="str">
        <f t="array" aca="1" ref="P20" ca="1">IF(ISNA(INDEX('NVRAM map'!$AF$3:$AG$319,MATCH(1,('NVRAM map'!$AF$3:$AF$319=$A20)*('NVRAM map'!$AI$3:$AI$319&gt;=P$3)*('NVRAM map'!$AJ$3:$AJ$319&lt;=P$3),0),2)),"-",INDEX('NVRAM map'!$AF$3:$AG$319,MATCH(1,('NVRAM map'!$AF$3:$AF$319=$A20)*('NVRAM map'!$AI$3:$AI$319&gt;=P$3)*('NVRAM map'!$AJ$3:$AJ$319&lt;=P$3),0),2))</f>
        <v>A2</v>
      </c>
      <c r="Q20" s="87" t="str">
        <f t="array" aca="1" ref="Q20" ca="1">IF(ISNA(INDEX('NVRAM map'!$AF$3:$AG$319,MATCH(1,('NVRAM map'!$AF$3:$AF$319=$A20)*('NVRAM map'!$AI$3:$AI$319&gt;=Q$3)*('NVRAM map'!$AJ$3:$AJ$319&lt;=Q$3),0),2)),"-",INDEX('NVRAM map'!$AF$3:$AG$319,MATCH(1,('NVRAM map'!$AF$3:$AF$319=$A20)*('NVRAM map'!$AI$3:$AI$319&gt;=Q$3)*('NVRAM map'!$AJ$3:$AJ$319&lt;=Q$3),0),2))</f>
        <v>A2</v>
      </c>
      <c r="R20" s="87" t="str">
        <f t="array" aca="1" ref="R20" ca="1">IF(ISNA(INDEX('NVRAM map'!$AF$3:$AG$319,MATCH(1,('NVRAM map'!$AF$3:$AF$319=$A20)*('NVRAM map'!$AI$3:$AI$319&gt;=R$3)*('NVRAM map'!$AJ$3:$AJ$319&lt;=R$3),0),2)),"-",INDEX('NVRAM map'!$AF$3:$AG$319,MATCH(1,('NVRAM map'!$AF$3:$AF$319=$A20)*('NVRAM map'!$AI$3:$AI$319&gt;=R$3)*('NVRAM map'!$AJ$3:$AJ$319&lt;=R$3),0),2))</f>
        <v>A2</v>
      </c>
      <c r="S20" s="87" t="str">
        <f t="array" aca="1" ref="S20" ca="1">IF(ISNA(INDEX('NVRAM map'!$AF$3:$AG$319,MATCH(1,('NVRAM map'!$AF$3:$AF$319=$A20)*('NVRAM map'!$AI$3:$AI$319&gt;=S$3)*('NVRAM map'!$AJ$3:$AJ$319&lt;=S$3),0),2)),"-",INDEX('NVRAM map'!$AF$3:$AG$319,MATCH(1,('NVRAM map'!$AF$3:$AF$319=$A20)*('NVRAM map'!$AI$3:$AI$319&gt;=S$3)*('NVRAM map'!$AJ$3:$AJ$319&lt;=S$3),0),2))</f>
        <v>A2</v>
      </c>
      <c r="T20" s="87" t="str">
        <f t="array" aca="1" ref="T20" ca="1">IF(ISNA(INDEX('NVRAM map'!$AF$3:$AG$319,MATCH(1,('NVRAM map'!$AF$3:$AF$319=$A20)*('NVRAM map'!$AI$3:$AI$319&gt;=T$3)*('NVRAM map'!$AJ$3:$AJ$319&lt;=T$3),0),2)),"-",INDEX('NVRAM map'!$AF$3:$AG$319,MATCH(1,('NVRAM map'!$AF$3:$AF$319=$A20)*('NVRAM map'!$AI$3:$AI$319&gt;=T$3)*('NVRAM map'!$AJ$3:$AJ$319&lt;=T$3),0),2))</f>
        <v>A2</v>
      </c>
      <c r="U20" s="87" t="str">
        <f t="array" aca="1" ref="U20" ca="1">IF(ISNA(INDEX('NVRAM map'!$AF$3:$AG$319,MATCH(1,('NVRAM map'!$AF$3:$AF$319=$A20)*('NVRAM map'!$AI$3:$AI$319&gt;=U$3)*('NVRAM map'!$AJ$3:$AJ$319&lt;=U$3),0),2)),"-",INDEX('NVRAM map'!$AF$3:$AG$319,MATCH(1,('NVRAM map'!$AF$3:$AF$319=$A20)*('NVRAM map'!$AI$3:$AI$319&gt;=U$3)*('NVRAM map'!$AJ$3:$AJ$319&lt;=U$3),0),2))</f>
        <v>A2</v>
      </c>
      <c r="V20" s="87" t="str">
        <f t="array" aca="1" ref="V20" ca="1">IF(ISNA(INDEX('NVRAM map'!$AF$3:$AG$319,MATCH(1,('NVRAM map'!$AF$3:$AF$319=$A20)*('NVRAM map'!$AI$3:$AI$319&gt;=V$3)*('NVRAM map'!$AJ$3:$AJ$319&lt;=V$3),0),2)),"-",INDEX('NVRAM map'!$AF$3:$AG$319,MATCH(1,('NVRAM map'!$AF$3:$AF$319=$A20)*('NVRAM map'!$AI$3:$AI$319&gt;=V$3)*('NVRAM map'!$AJ$3:$AJ$319&lt;=V$3),0),2))</f>
        <v>A2</v>
      </c>
      <c r="W20" s="87" t="str">
        <f t="array" aca="1" ref="W20" ca="1">IF(ISNA(INDEX('NVRAM map'!$AF$3:$AG$319,MATCH(1,('NVRAM map'!$AF$3:$AF$319=$A20)*('NVRAM map'!$AI$3:$AI$319&gt;=W$3)*('NVRAM map'!$AJ$3:$AJ$319&lt;=W$3),0),2)),"-",INDEX('NVRAM map'!$AF$3:$AG$319,MATCH(1,('NVRAM map'!$AF$3:$AF$319=$A20)*('NVRAM map'!$AI$3:$AI$319&gt;=W$3)*('NVRAM map'!$AJ$3:$AJ$319&lt;=W$3),0),2))</f>
        <v>A2</v>
      </c>
      <c r="X20" s="88" t="str">
        <f ca="1">INDEX('NVRAM map'!$B$3:$B$319,MATCH(A20,'NVRAM map'!$E$3:$E$319,0))</f>
        <v>CUST</v>
      </c>
      <c r="AB20" s="44">
        <f t="shared" ca="1" si="2"/>
        <v>309</v>
      </c>
      <c r="AC20" s="12" t="b">
        <f ca="1">COUNTIF('NVRAM map'!$AD$3:$AE$319,A20)&lt;2</f>
        <v>1</v>
      </c>
      <c r="AD20" s="12">
        <f ca="1">SUMIF('NVRAM map'!$AF$3:$AF$319,A20,'NVRAM map'!$AK$3:$AK$319)</f>
        <v>65535</v>
      </c>
      <c r="AE20" s="12" t="str">
        <f t="shared" ca="1" si="3"/>
        <v>FFFF</v>
      </c>
      <c r="AF20" s="12" t="str">
        <f t="shared" ca="1" si="4"/>
        <v>11111111</v>
      </c>
      <c r="AG20" s="12" t="str">
        <f t="shared" ca="1" si="5"/>
        <v>11111111</v>
      </c>
      <c r="AH20" s="12">
        <f t="shared" ca="1" si="6"/>
        <v>16</v>
      </c>
      <c r="AI20" s="12">
        <f ca="1">SUMIF('NVRAM map'!$AF$3:$AF$319,A20,'NVRAM map'!$AH$3:$AH$319)</f>
        <v>16</v>
      </c>
      <c r="AJ20" s="12" t="b">
        <f t="shared" ca="1" si="7"/>
        <v>1</v>
      </c>
      <c r="AK20" s="12">
        <f ca="1">COUNTIF('NVRAM map'!$AF$3:$AF$319,A20)</f>
        <v>1</v>
      </c>
      <c r="AM20" s="89">
        <v>0</v>
      </c>
      <c r="AN20" s="80">
        <f t="shared" ca="1" si="8"/>
        <v>0</v>
      </c>
      <c r="AO20" s="80">
        <f t="shared" ca="1" si="8"/>
        <v>0</v>
      </c>
      <c r="AP20" s="80">
        <f t="shared" ca="1" si="8"/>
        <v>0</v>
      </c>
      <c r="AQ20" s="80">
        <f t="shared" ca="1" si="8"/>
        <v>0</v>
      </c>
      <c r="AR20" s="80">
        <f t="shared" ca="1" si="8"/>
        <v>0</v>
      </c>
      <c r="AS20" s="80">
        <f t="shared" ca="1" si="8"/>
        <v>0</v>
      </c>
      <c r="AT20" s="80">
        <f t="shared" ca="1" si="8"/>
        <v>0</v>
      </c>
      <c r="AU20" s="80">
        <f t="shared" ca="1" si="8"/>
        <v>0</v>
      </c>
      <c r="AV20" s="80">
        <f t="shared" ca="1" si="8"/>
        <v>0</v>
      </c>
      <c r="AW20" s="80">
        <f t="shared" ca="1" si="8"/>
        <v>0</v>
      </c>
      <c r="AX20" s="80">
        <f t="shared" ca="1" si="8"/>
        <v>0</v>
      </c>
      <c r="AY20" s="80">
        <f t="shared" ca="1" si="8"/>
        <v>0</v>
      </c>
      <c r="AZ20" s="80">
        <f t="shared" ca="1" si="8"/>
        <v>0</v>
      </c>
      <c r="BA20" s="80">
        <f t="shared" ca="1" si="8"/>
        <v>0</v>
      </c>
      <c r="BB20" s="81">
        <f t="shared" ca="1" si="8"/>
        <v>0</v>
      </c>
      <c r="BD20" s="12" t="str">
        <f t="shared" si="9"/>
        <v>0x1020</v>
      </c>
      <c r="BE20" s="12" t="str">
        <f t="shared" ca="1" si="10"/>
        <v>1111000101000100</v>
      </c>
      <c r="BG20" s="53" t="str">
        <f t="shared" ca="1" si="11"/>
        <v>`define EE_A2 8</v>
      </c>
    </row>
    <row r="21" spans="1:59">
      <c r="A21" s="82" t="s">
        <v>284</v>
      </c>
      <c r="B21" s="82">
        <v>34</v>
      </c>
      <c r="C21" s="82">
        <v>8</v>
      </c>
      <c r="D21" s="83">
        <f ca="1">SUMIF('NVRAM map'!$AF$3:$AF$319,A21,'NVRAM map'!$AN$3:$AN$319)</f>
        <v>59587</v>
      </c>
      <c r="E21" s="84" t="str">
        <f t="shared" ca="1" si="0"/>
        <v>E8C3</v>
      </c>
      <c r="F21" s="85" t="str">
        <f t="shared" ca="1" si="12"/>
        <v>E8C3</v>
      </c>
      <c r="G21" s="86" t="str">
        <f ca="1">VLOOKUP(MemoryView!A21,'NVRAM map'!$AD$3:$AE$319,2,0)</f>
        <v>EE_A3</v>
      </c>
      <c r="H21" s="87" t="str">
        <f t="array" aca="1" ref="H21" ca="1">IF(ISNA(INDEX('NVRAM map'!$AF$3:$AG$319,MATCH(1,('NVRAM map'!$AF$3:$AF$319=$A21)*('NVRAM map'!$AI$3:$AI$319&gt;=H$3)*('NVRAM map'!$AJ$3:$AJ$319&lt;=H$3),0),2)),"-",INDEX('NVRAM map'!$AF$3:$AG$319,MATCH(1,('NVRAM map'!$AF$3:$AF$319=$A21)*('NVRAM map'!$AI$3:$AI$319&gt;=H$3)*('NVRAM map'!$AJ$3:$AJ$319&lt;=H$3),0),2))</f>
        <v>A3</v>
      </c>
      <c r="I21" s="87" t="str">
        <f t="array" aca="1" ref="I21" ca="1">IF(ISNA(INDEX('NVRAM map'!$AF$3:$AG$319,MATCH(1,('NVRAM map'!$AF$3:$AF$319=$A21)*('NVRAM map'!$AI$3:$AI$319&gt;=I$3)*('NVRAM map'!$AJ$3:$AJ$319&lt;=I$3),0),2)),"-",INDEX('NVRAM map'!$AF$3:$AG$319,MATCH(1,('NVRAM map'!$AF$3:$AF$319=$A21)*('NVRAM map'!$AI$3:$AI$319&gt;=I$3)*('NVRAM map'!$AJ$3:$AJ$319&lt;=I$3),0),2))</f>
        <v>A3</v>
      </c>
      <c r="J21" s="87" t="str">
        <f t="array" aca="1" ref="J21" ca="1">IF(ISNA(INDEX('NVRAM map'!$AF$3:$AG$319,MATCH(1,('NVRAM map'!$AF$3:$AF$319=$A21)*('NVRAM map'!$AI$3:$AI$319&gt;=J$3)*('NVRAM map'!$AJ$3:$AJ$319&lt;=J$3),0),2)),"-",INDEX('NVRAM map'!$AF$3:$AG$319,MATCH(1,('NVRAM map'!$AF$3:$AF$319=$A21)*('NVRAM map'!$AI$3:$AI$319&gt;=J$3)*('NVRAM map'!$AJ$3:$AJ$319&lt;=J$3),0),2))</f>
        <v>A3</v>
      </c>
      <c r="K21" s="87" t="str">
        <f t="array" aca="1" ref="K21" ca="1">IF(ISNA(INDEX('NVRAM map'!$AF$3:$AG$319,MATCH(1,('NVRAM map'!$AF$3:$AF$319=$A21)*('NVRAM map'!$AI$3:$AI$319&gt;=K$3)*('NVRAM map'!$AJ$3:$AJ$319&lt;=K$3),0),2)),"-",INDEX('NVRAM map'!$AF$3:$AG$319,MATCH(1,('NVRAM map'!$AF$3:$AF$319=$A21)*('NVRAM map'!$AI$3:$AI$319&gt;=K$3)*('NVRAM map'!$AJ$3:$AJ$319&lt;=K$3),0),2))</f>
        <v>A3</v>
      </c>
      <c r="L21" s="87" t="str">
        <f t="array" aca="1" ref="L21" ca="1">IF(ISNA(INDEX('NVRAM map'!$AF$3:$AG$319,MATCH(1,('NVRAM map'!$AF$3:$AF$319=$A21)*('NVRAM map'!$AI$3:$AI$319&gt;=L$3)*('NVRAM map'!$AJ$3:$AJ$319&lt;=L$3),0),2)),"-",INDEX('NVRAM map'!$AF$3:$AG$319,MATCH(1,('NVRAM map'!$AF$3:$AF$319=$A21)*('NVRAM map'!$AI$3:$AI$319&gt;=L$3)*('NVRAM map'!$AJ$3:$AJ$319&lt;=L$3),0),2))</f>
        <v>A3</v>
      </c>
      <c r="M21" s="87" t="str">
        <f t="array" aca="1" ref="M21" ca="1">IF(ISNA(INDEX('NVRAM map'!$AF$3:$AG$319,MATCH(1,('NVRAM map'!$AF$3:$AF$319=$A21)*('NVRAM map'!$AI$3:$AI$319&gt;=M$3)*('NVRAM map'!$AJ$3:$AJ$319&lt;=M$3),0),2)),"-",INDEX('NVRAM map'!$AF$3:$AG$319,MATCH(1,('NVRAM map'!$AF$3:$AF$319=$A21)*('NVRAM map'!$AI$3:$AI$319&gt;=M$3)*('NVRAM map'!$AJ$3:$AJ$319&lt;=M$3),0),2))</f>
        <v>A3</v>
      </c>
      <c r="N21" s="87" t="str">
        <f t="array" aca="1" ref="N21" ca="1">IF(ISNA(INDEX('NVRAM map'!$AF$3:$AG$319,MATCH(1,('NVRAM map'!$AF$3:$AF$319=$A21)*('NVRAM map'!$AI$3:$AI$319&gt;=N$3)*('NVRAM map'!$AJ$3:$AJ$319&lt;=N$3),0),2)),"-",INDEX('NVRAM map'!$AF$3:$AG$319,MATCH(1,('NVRAM map'!$AF$3:$AF$319=$A21)*('NVRAM map'!$AI$3:$AI$319&gt;=N$3)*('NVRAM map'!$AJ$3:$AJ$319&lt;=N$3),0),2))</f>
        <v>A3</v>
      </c>
      <c r="O21" s="87" t="str">
        <f t="array" aca="1" ref="O21" ca="1">IF(ISNA(INDEX('NVRAM map'!$AF$3:$AG$319,MATCH(1,('NVRAM map'!$AF$3:$AF$319=$A21)*('NVRAM map'!$AI$3:$AI$319&gt;=O$3)*('NVRAM map'!$AJ$3:$AJ$319&lt;=O$3),0),2)),"-",INDEX('NVRAM map'!$AF$3:$AG$319,MATCH(1,('NVRAM map'!$AF$3:$AF$319=$A21)*('NVRAM map'!$AI$3:$AI$319&gt;=O$3)*('NVRAM map'!$AJ$3:$AJ$319&lt;=O$3),0),2))</f>
        <v>A3</v>
      </c>
      <c r="P21" s="87" t="str">
        <f t="array" aca="1" ref="P21" ca="1">IF(ISNA(INDEX('NVRAM map'!$AF$3:$AG$319,MATCH(1,('NVRAM map'!$AF$3:$AF$319=$A21)*('NVRAM map'!$AI$3:$AI$319&gt;=P$3)*('NVRAM map'!$AJ$3:$AJ$319&lt;=P$3),0),2)),"-",INDEX('NVRAM map'!$AF$3:$AG$319,MATCH(1,('NVRAM map'!$AF$3:$AF$319=$A21)*('NVRAM map'!$AI$3:$AI$319&gt;=P$3)*('NVRAM map'!$AJ$3:$AJ$319&lt;=P$3),0),2))</f>
        <v>A3</v>
      </c>
      <c r="Q21" s="87" t="str">
        <f t="array" aca="1" ref="Q21" ca="1">IF(ISNA(INDEX('NVRAM map'!$AF$3:$AG$319,MATCH(1,('NVRAM map'!$AF$3:$AF$319=$A21)*('NVRAM map'!$AI$3:$AI$319&gt;=Q$3)*('NVRAM map'!$AJ$3:$AJ$319&lt;=Q$3),0),2)),"-",INDEX('NVRAM map'!$AF$3:$AG$319,MATCH(1,('NVRAM map'!$AF$3:$AF$319=$A21)*('NVRAM map'!$AI$3:$AI$319&gt;=Q$3)*('NVRAM map'!$AJ$3:$AJ$319&lt;=Q$3),0),2))</f>
        <v>A3</v>
      </c>
      <c r="R21" s="87" t="str">
        <f t="array" aca="1" ref="R21" ca="1">IF(ISNA(INDEX('NVRAM map'!$AF$3:$AG$319,MATCH(1,('NVRAM map'!$AF$3:$AF$319=$A21)*('NVRAM map'!$AI$3:$AI$319&gt;=R$3)*('NVRAM map'!$AJ$3:$AJ$319&lt;=R$3),0),2)),"-",INDEX('NVRAM map'!$AF$3:$AG$319,MATCH(1,('NVRAM map'!$AF$3:$AF$319=$A21)*('NVRAM map'!$AI$3:$AI$319&gt;=R$3)*('NVRAM map'!$AJ$3:$AJ$319&lt;=R$3),0),2))</f>
        <v>A3</v>
      </c>
      <c r="S21" s="87" t="str">
        <f t="array" aca="1" ref="S21" ca="1">IF(ISNA(INDEX('NVRAM map'!$AF$3:$AG$319,MATCH(1,('NVRAM map'!$AF$3:$AF$319=$A21)*('NVRAM map'!$AI$3:$AI$319&gt;=S$3)*('NVRAM map'!$AJ$3:$AJ$319&lt;=S$3),0),2)),"-",INDEX('NVRAM map'!$AF$3:$AG$319,MATCH(1,('NVRAM map'!$AF$3:$AF$319=$A21)*('NVRAM map'!$AI$3:$AI$319&gt;=S$3)*('NVRAM map'!$AJ$3:$AJ$319&lt;=S$3),0),2))</f>
        <v>A3</v>
      </c>
      <c r="T21" s="87" t="str">
        <f t="array" aca="1" ref="T21" ca="1">IF(ISNA(INDEX('NVRAM map'!$AF$3:$AG$319,MATCH(1,('NVRAM map'!$AF$3:$AF$319=$A21)*('NVRAM map'!$AI$3:$AI$319&gt;=T$3)*('NVRAM map'!$AJ$3:$AJ$319&lt;=T$3),0),2)),"-",INDEX('NVRAM map'!$AF$3:$AG$319,MATCH(1,('NVRAM map'!$AF$3:$AF$319=$A21)*('NVRAM map'!$AI$3:$AI$319&gt;=T$3)*('NVRAM map'!$AJ$3:$AJ$319&lt;=T$3),0),2))</f>
        <v>A3</v>
      </c>
      <c r="U21" s="87" t="str">
        <f t="array" aca="1" ref="U21" ca="1">IF(ISNA(INDEX('NVRAM map'!$AF$3:$AG$319,MATCH(1,('NVRAM map'!$AF$3:$AF$319=$A21)*('NVRAM map'!$AI$3:$AI$319&gt;=U$3)*('NVRAM map'!$AJ$3:$AJ$319&lt;=U$3),0),2)),"-",INDEX('NVRAM map'!$AF$3:$AG$319,MATCH(1,('NVRAM map'!$AF$3:$AF$319=$A21)*('NVRAM map'!$AI$3:$AI$319&gt;=U$3)*('NVRAM map'!$AJ$3:$AJ$319&lt;=U$3),0),2))</f>
        <v>A3</v>
      </c>
      <c r="V21" s="87" t="str">
        <f t="array" aca="1" ref="V21" ca="1">IF(ISNA(INDEX('NVRAM map'!$AF$3:$AG$319,MATCH(1,('NVRAM map'!$AF$3:$AF$319=$A21)*('NVRAM map'!$AI$3:$AI$319&gt;=V$3)*('NVRAM map'!$AJ$3:$AJ$319&lt;=V$3),0),2)),"-",INDEX('NVRAM map'!$AF$3:$AG$319,MATCH(1,('NVRAM map'!$AF$3:$AF$319=$A21)*('NVRAM map'!$AI$3:$AI$319&gt;=V$3)*('NVRAM map'!$AJ$3:$AJ$319&lt;=V$3),0),2))</f>
        <v>A3</v>
      </c>
      <c r="W21" s="87" t="str">
        <f t="array" aca="1" ref="W21" ca="1">IF(ISNA(INDEX('NVRAM map'!$AF$3:$AG$319,MATCH(1,('NVRAM map'!$AF$3:$AF$319=$A21)*('NVRAM map'!$AI$3:$AI$319&gt;=W$3)*('NVRAM map'!$AJ$3:$AJ$319&lt;=W$3),0),2)),"-",INDEX('NVRAM map'!$AF$3:$AG$319,MATCH(1,('NVRAM map'!$AF$3:$AF$319=$A21)*('NVRAM map'!$AI$3:$AI$319&gt;=W$3)*('NVRAM map'!$AJ$3:$AJ$319&lt;=W$3),0),2))</f>
        <v>A3</v>
      </c>
      <c r="X21" s="88" t="str">
        <f ca="1">INDEX('NVRAM map'!$B$3:$B$319,MATCH(A21,'NVRAM map'!$E$3:$E$319,0))</f>
        <v>CUST</v>
      </c>
      <c r="AB21" s="44">
        <f t="shared" ca="1" si="2"/>
        <v>427</v>
      </c>
      <c r="AC21" s="12" t="b">
        <f ca="1">COUNTIF('NVRAM map'!$AD$3:$AE$319,A21)&lt;2</f>
        <v>1</v>
      </c>
      <c r="AD21" s="12">
        <f ca="1">SUMIF('NVRAM map'!$AF$3:$AF$319,A21,'NVRAM map'!$AK$3:$AK$319)</f>
        <v>65535</v>
      </c>
      <c r="AE21" s="12" t="str">
        <f t="shared" ca="1" si="3"/>
        <v>FFFF</v>
      </c>
      <c r="AF21" s="12" t="str">
        <f t="shared" ca="1" si="4"/>
        <v>11111111</v>
      </c>
      <c r="AG21" s="12" t="str">
        <f t="shared" ca="1" si="5"/>
        <v>11111111</v>
      </c>
      <c r="AH21" s="12">
        <f t="shared" ca="1" si="6"/>
        <v>16</v>
      </c>
      <c r="AI21" s="12">
        <f ca="1">SUMIF('NVRAM map'!$AF$3:$AF$319,A21,'NVRAM map'!$AH$3:$AH$319)</f>
        <v>16</v>
      </c>
      <c r="AJ21" s="12" t="b">
        <f t="shared" ca="1" si="7"/>
        <v>1</v>
      </c>
      <c r="AK21" s="12">
        <f ca="1">COUNTIF('NVRAM map'!$AF$3:$AF$319,A21)</f>
        <v>1</v>
      </c>
      <c r="AM21" s="89">
        <v>0</v>
      </c>
      <c r="AN21" s="80">
        <f t="shared" ref="AN21:BB37" ca="1" si="13">IF(I21=H21,AM21,IF(AM21=1,0,1))</f>
        <v>0</v>
      </c>
      <c r="AO21" s="80">
        <f t="shared" ca="1" si="13"/>
        <v>0</v>
      </c>
      <c r="AP21" s="80">
        <f t="shared" ca="1" si="13"/>
        <v>0</v>
      </c>
      <c r="AQ21" s="80">
        <f t="shared" ca="1" si="13"/>
        <v>0</v>
      </c>
      <c r="AR21" s="80">
        <f t="shared" ca="1" si="13"/>
        <v>0</v>
      </c>
      <c r="AS21" s="80">
        <f t="shared" ca="1" si="13"/>
        <v>0</v>
      </c>
      <c r="AT21" s="80">
        <f t="shared" ca="1" si="13"/>
        <v>0</v>
      </c>
      <c r="AU21" s="80">
        <f t="shared" ca="1" si="13"/>
        <v>0</v>
      </c>
      <c r="AV21" s="80">
        <f t="shared" ca="1" si="13"/>
        <v>0</v>
      </c>
      <c r="AW21" s="80">
        <f t="shared" ca="1" si="13"/>
        <v>0</v>
      </c>
      <c r="AX21" s="80">
        <f t="shared" ca="1" si="13"/>
        <v>0</v>
      </c>
      <c r="AY21" s="80">
        <f t="shared" ca="1" si="13"/>
        <v>0</v>
      </c>
      <c r="AZ21" s="80">
        <f t="shared" ca="1" si="13"/>
        <v>0</v>
      </c>
      <c r="BA21" s="80">
        <f t="shared" ca="1" si="13"/>
        <v>0</v>
      </c>
      <c r="BB21" s="81">
        <f t="shared" ca="1" si="13"/>
        <v>0</v>
      </c>
      <c r="BD21" s="12" t="str">
        <f t="shared" si="9"/>
        <v>0x1022</v>
      </c>
      <c r="BE21" s="12" t="str">
        <f t="shared" ca="1" si="10"/>
        <v>1110100011000011</v>
      </c>
      <c r="BG21" s="53" t="str">
        <f t="shared" ca="1" si="11"/>
        <v>`define EE_A3 8</v>
      </c>
    </row>
    <row r="22" spans="1:59">
      <c r="A22" s="82" t="s">
        <v>285</v>
      </c>
      <c r="B22" s="82">
        <v>36</v>
      </c>
      <c r="C22" s="82">
        <v>9</v>
      </c>
      <c r="D22" s="83">
        <f ca="1">SUMIF('NVRAM map'!$AF$3:$AF$319,A22,'NVRAM map'!$AN$3:$AN$319)</f>
        <v>15363</v>
      </c>
      <c r="E22" s="84" t="str">
        <f t="shared" ca="1" si="0"/>
        <v>3C03</v>
      </c>
      <c r="F22" s="85" t="str">
        <f t="shared" ca="1" si="12"/>
        <v>3C03</v>
      </c>
      <c r="G22" s="86" t="str">
        <f ca="1">VLOOKUP(MemoryView!A22,'NVRAM map'!$AD$3:$AE$319,2,0)</f>
        <v>EE_B0</v>
      </c>
      <c r="H22" s="87" t="str">
        <f t="array" aca="1" ref="H22" ca="1">IF(ISNA(INDEX('NVRAM map'!$AF$3:$AG$319,MATCH(1,('NVRAM map'!$AF$3:$AF$319=$A22)*('NVRAM map'!$AI$3:$AI$319&gt;=H$3)*('NVRAM map'!$AJ$3:$AJ$319&lt;=H$3),0),2)),"-",INDEX('NVRAM map'!$AF$3:$AG$319,MATCH(1,('NVRAM map'!$AF$3:$AF$319=$A22)*('NVRAM map'!$AI$3:$AI$319&gt;=H$3)*('NVRAM map'!$AJ$3:$AJ$319&lt;=H$3),0),2))</f>
        <v>B0</v>
      </c>
      <c r="I22" s="87" t="str">
        <f t="array" aca="1" ref="I22" ca="1">IF(ISNA(INDEX('NVRAM map'!$AF$3:$AG$319,MATCH(1,('NVRAM map'!$AF$3:$AF$319=$A22)*('NVRAM map'!$AI$3:$AI$319&gt;=I$3)*('NVRAM map'!$AJ$3:$AJ$319&lt;=I$3),0),2)),"-",INDEX('NVRAM map'!$AF$3:$AG$319,MATCH(1,('NVRAM map'!$AF$3:$AF$319=$A22)*('NVRAM map'!$AI$3:$AI$319&gt;=I$3)*('NVRAM map'!$AJ$3:$AJ$319&lt;=I$3),0),2))</f>
        <v>B0</v>
      </c>
      <c r="J22" s="87" t="str">
        <f t="array" aca="1" ref="J22" ca="1">IF(ISNA(INDEX('NVRAM map'!$AF$3:$AG$319,MATCH(1,('NVRAM map'!$AF$3:$AF$319=$A22)*('NVRAM map'!$AI$3:$AI$319&gt;=J$3)*('NVRAM map'!$AJ$3:$AJ$319&lt;=J$3),0),2)),"-",INDEX('NVRAM map'!$AF$3:$AG$319,MATCH(1,('NVRAM map'!$AF$3:$AF$319=$A22)*('NVRAM map'!$AI$3:$AI$319&gt;=J$3)*('NVRAM map'!$AJ$3:$AJ$319&lt;=J$3),0),2))</f>
        <v>B0</v>
      </c>
      <c r="K22" s="87" t="str">
        <f t="array" aca="1" ref="K22" ca="1">IF(ISNA(INDEX('NVRAM map'!$AF$3:$AG$319,MATCH(1,('NVRAM map'!$AF$3:$AF$319=$A22)*('NVRAM map'!$AI$3:$AI$319&gt;=K$3)*('NVRAM map'!$AJ$3:$AJ$319&lt;=K$3),0),2)),"-",INDEX('NVRAM map'!$AF$3:$AG$319,MATCH(1,('NVRAM map'!$AF$3:$AF$319=$A22)*('NVRAM map'!$AI$3:$AI$319&gt;=K$3)*('NVRAM map'!$AJ$3:$AJ$319&lt;=K$3),0),2))</f>
        <v>B0</v>
      </c>
      <c r="L22" s="87" t="str">
        <f t="array" aca="1" ref="L22" ca="1">IF(ISNA(INDEX('NVRAM map'!$AF$3:$AG$319,MATCH(1,('NVRAM map'!$AF$3:$AF$319=$A22)*('NVRAM map'!$AI$3:$AI$319&gt;=L$3)*('NVRAM map'!$AJ$3:$AJ$319&lt;=L$3),0),2)),"-",INDEX('NVRAM map'!$AF$3:$AG$319,MATCH(1,('NVRAM map'!$AF$3:$AF$319=$A22)*('NVRAM map'!$AI$3:$AI$319&gt;=L$3)*('NVRAM map'!$AJ$3:$AJ$319&lt;=L$3),0),2))</f>
        <v>B0</v>
      </c>
      <c r="M22" s="87" t="str">
        <f t="array" aca="1" ref="M22" ca="1">IF(ISNA(INDEX('NVRAM map'!$AF$3:$AG$319,MATCH(1,('NVRAM map'!$AF$3:$AF$319=$A22)*('NVRAM map'!$AI$3:$AI$319&gt;=M$3)*('NVRAM map'!$AJ$3:$AJ$319&lt;=M$3),0),2)),"-",INDEX('NVRAM map'!$AF$3:$AG$319,MATCH(1,('NVRAM map'!$AF$3:$AF$319=$A22)*('NVRAM map'!$AI$3:$AI$319&gt;=M$3)*('NVRAM map'!$AJ$3:$AJ$319&lt;=M$3),0),2))</f>
        <v>B0</v>
      </c>
      <c r="N22" s="87" t="str">
        <f t="array" aca="1" ref="N22" ca="1">IF(ISNA(INDEX('NVRAM map'!$AF$3:$AG$319,MATCH(1,('NVRAM map'!$AF$3:$AF$319=$A22)*('NVRAM map'!$AI$3:$AI$319&gt;=N$3)*('NVRAM map'!$AJ$3:$AJ$319&lt;=N$3),0),2)),"-",INDEX('NVRAM map'!$AF$3:$AG$319,MATCH(1,('NVRAM map'!$AF$3:$AF$319=$A22)*('NVRAM map'!$AI$3:$AI$319&gt;=N$3)*('NVRAM map'!$AJ$3:$AJ$319&lt;=N$3),0),2))</f>
        <v>B0</v>
      </c>
      <c r="O22" s="87" t="str">
        <f t="array" aca="1" ref="O22" ca="1">IF(ISNA(INDEX('NVRAM map'!$AF$3:$AG$319,MATCH(1,('NVRAM map'!$AF$3:$AF$319=$A22)*('NVRAM map'!$AI$3:$AI$319&gt;=O$3)*('NVRAM map'!$AJ$3:$AJ$319&lt;=O$3),0),2)),"-",INDEX('NVRAM map'!$AF$3:$AG$319,MATCH(1,('NVRAM map'!$AF$3:$AF$319=$A22)*('NVRAM map'!$AI$3:$AI$319&gt;=O$3)*('NVRAM map'!$AJ$3:$AJ$319&lt;=O$3),0),2))</f>
        <v>B0</v>
      </c>
      <c r="P22" s="87" t="str">
        <f t="array" aca="1" ref="P22" ca="1">IF(ISNA(INDEX('NVRAM map'!$AF$3:$AG$319,MATCH(1,('NVRAM map'!$AF$3:$AF$319=$A22)*('NVRAM map'!$AI$3:$AI$319&gt;=P$3)*('NVRAM map'!$AJ$3:$AJ$319&lt;=P$3),0),2)),"-",INDEX('NVRAM map'!$AF$3:$AG$319,MATCH(1,('NVRAM map'!$AF$3:$AF$319=$A22)*('NVRAM map'!$AI$3:$AI$319&gt;=P$3)*('NVRAM map'!$AJ$3:$AJ$319&lt;=P$3),0),2))</f>
        <v>B0</v>
      </c>
      <c r="Q22" s="87" t="str">
        <f t="array" aca="1" ref="Q22" ca="1">IF(ISNA(INDEX('NVRAM map'!$AF$3:$AG$319,MATCH(1,('NVRAM map'!$AF$3:$AF$319=$A22)*('NVRAM map'!$AI$3:$AI$319&gt;=Q$3)*('NVRAM map'!$AJ$3:$AJ$319&lt;=Q$3),0),2)),"-",INDEX('NVRAM map'!$AF$3:$AG$319,MATCH(1,('NVRAM map'!$AF$3:$AF$319=$A22)*('NVRAM map'!$AI$3:$AI$319&gt;=Q$3)*('NVRAM map'!$AJ$3:$AJ$319&lt;=Q$3),0),2))</f>
        <v>B0</v>
      </c>
      <c r="R22" s="87" t="str">
        <f t="array" aca="1" ref="R22" ca="1">IF(ISNA(INDEX('NVRAM map'!$AF$3:$AG$319,MATCH(1,('NVRAM map'!$AF$3:$AF$319=$A22)*('NVRAM map'!$AI$3:$AI$319&gt;=R$3)*('NVRAM map'!$AJ$3:$AJ$319&lt;=R$3),0),2)),"-",INDEX('NVRAM map'!$AF$3:$AG$319,MATCH(1,('NVRAM map'!$AF$3:$AF$319=$A22)*('NVRAM map'!$AI$3:$AI$319&gt;=R$3)*('NVRAM map'!$AJ$3:$AJ$319&lt;=R$3),0),2))</f>
        <v>B0</v>
      </c>
      <c r="S22" s="87" t="str">
        <f t="array" aca="1" ref="S22" ca="1">IF(ISNA(INDEX('NVRAM map'!$AF$3:$AG$319,MATCH(1,('NVRAM map'!$AF$3:$AF$319=$A22)*('NVRAM map'!$AI$3:$AI$319&gt;=S$3)*('NVRAM map'!$AJ$3:$AJ$319&lt;=S$3),0),2)),"-",INDEX('NVRAM map'!$AF$3:$AG$319,MATCH(1,('NVRAM map'!$AF$3:$AF$319=$A22)*('NVRAM map'!$AI$3:$AI$319&gt;=S$3)*('NVRAM map'!$AJ$3:$AJ$319&lt;=S$3),0),2))</f>
        <v>B0</v>
      </c>
      <c r="T22" s="87" t="str">
        <f t="array" aca="1" ref="T22" ca="1">IF(ISNA(INDEX('NVRAM map'!$AF$3:$AG$319,MATCH(1,('NVRAM map'!$AF$3:$AF$319=$A22)*('NVRAM map'!$AI$3:$AI$319&gt;=T$3)*('NVRAM map'!$AJ$3:$AJ$319&lt;=T$3),0),2)),"-",INDEX('NVRAM map'!$AF$3:$AG$319,MATCH(1,('NVRAM map'!$AF$3:$AF$319=$A22)*('NVRAM map'!$AI$3:$AI$319&gt;=T$3)*('NVRAM map'!$AJ$3:$AJ$319&lt;=T$3),0),2))</f>
        <v>B0</v>
      </c>
      <c r="U22" s="87" t="str">
        <f t="array" aca="1" ref="U22" ca="1">IF(ISNA(INDEX('NVRAM map'!$AF$3:$AG$319,MATCH(1,('NVRAM map'!$AF$3:$AF$319=$A22)*('NVRAM map'!$AI$3:$AI$319&gt;=U$3)*('NVRAM map'!$AJ$3:$AJ$319&lt;=U$3),0),2)),"-",INDEX('NVRAM map'!$AF$3:$AG$319,MATCH(1,('NVRAM map'!$AF$3:$AF$319=$A22)*('NVRAM map'!$AI$3:$AI$319&gt;=U$3)*('NVRAM map'!$AJ$3:$AJ$319&lt;=U$3),0),2))</f>
        <v>B0</v>
      </c>
      <c r="V22" s="87" t="str">
        <f t="array" aca="1" ref="V22" ca="1">IF(ISNA(INDEX('NVRAM map'!$AF$3:$AG$319,MATCH(1,('NVRAM map'!$AF$3:$AF$319=$A22)*('NVRAM map'!$AI$3:$AI$319&gt;=V$3)*('NVRAM map'!$AJ$3:$AJ$319&lt;=V$3),0),2)),"-",INDEX('NVRAM map'!$AF$3:$AG$319,MATCH(1,('NVRAM map'!$AF$3:$AF$319=$A22)*('NVRAM map'!$AI$3:$AI$319&gt;=V$3)*('NVRAM map'!$AJ$3:$AJ$319&lt;=V$3),0),2))</f>
        <v>B0</v>
      </c>
      <c r="W22" s="87" t="str">
        <f t="array" aca="1" ref="W22" ca="1">IF(ISNA(INDEX('NVRAM map'!$AF$3:$AG$319,MATCH(1,('NVRAM map'!$AF$3:$AF$319=$A22)*('NVRAM map'!$AI$3:$AI$319&gt;=W$3)*('NVRAM map'!$AJ$3:$AJ$319&lt;=W$3),0),2)),"-",INDEX('NVRAM map'!$AF$3:$AG$319,MATCH(1,('NVRAM map'!$AF$3:$AF$319=$A22)*('NVRAM map'!$AI$3:$AI$319&gt;=W$3)*('NVRAM map'!$AJ$3:$AJ$319&lt;=W$3),0),2))</f>
        <v>B0</v>
      </c>
      <c r="X22" s="88" t="str">
        <f ca="1">INDEX('NVRAM map'!$B$3:$B$319,MATCH(A22,'NVRAM map'!$E$3:$E$319,0))</f>
        <v>CUST</v>
      </c>
      <c r="AB22" s="44">
        <f t="shared" ca="1" si="2"/>
        <v>63</v>
      </c>
      <c r="AC22" s="12" t="b">
        <f ca="1">COUNTIF('NVRAM map'!$AD$3:$AE$319,A22)&lt;2</f>
        <v>1</v>
      </c>
      <c r="AD22" s="12">
        <f ca="1">SUMIF('NVRAM map'!$AF$3:$AF$319,A22,'NVRAM map'!$AK$3:$AK$319)</f>
        <v>65535</v>
      </c>
      <c r="AE22" s="12" t="str">
        <f t="shared" ca="1" si="3"/>
        <v>FFFF</v>
      </c>
      <c r="AF22" s="12" t="str">
        <f t="shared" ca="1" si="4"/>
        <v>11111111</v>
      </c>
      <c r="AG22" s="12" t="str">
        <f t="shared" ca="1" si="5"/>
        <v>11111111</v>
      </c>
      <c r="AH22" s="12">
        <f t="shared" ca="1" si="6"/>
        <v>16</v>
      </c>
      <c r="AI22" s="12">
        <f ca="1">SUMIF('NVRAM map'!$AF$3:$AF$319,A22,'NVRAM map'!$AH$3:$AH$319)</f>
        <v>16</v>
      </c>
      <c r="AJ22" s="12" t="b">
        <f t="shared" ca="1" si="7"/>
        <v>1</v>
      </c>
      <c r="AK22" s="12">
        <f ca="1">COUNTIF('NVRAM map'!$AF$3:$AF$319,A22)</f>
        <v>1</v>
      </c>
      <c r="AM22" s="89">
        <v>0</v>
      </c>
      <c r="AN22" s="80">
        <f t="shared" ca="1" si="13"/>
        <v>0</v>
      </c>
      <c r="AO22" s="80">
        <f t="shared" ca="1" si="13"/>
        <v>0</v>
      </c>
      <c r="AP22" s="80">
        <f t="shared" ca="1" si="13"/>
        <v>0</v>
      </c>
      <c r="AQ22" s="80">
        <f t="shared" ca="1" si="13"/>
        <v>0</v>
      </c>
      <c r="AR22" s="80">
        <f t="shared" ca="1" si="13"/>
        <v>0</v>
      </c>
      <c r="AS22" s="80">
        <f t="shared" ca="1" si="13"/>
        <v>0</v>
      </c>
      <c r="AT22" s="80">
        <f t="shared" ca="1" si="13"/>
        <v>0</v>
      </c>
      <c r="AU22" s="80">
        <f t="shared" ca="1" si="13"/>
        <v>0</v>
      </c>
      <c r="AV22" s="80">
        <f t="shared" ca="1" si="13"/>
        <v>0</v>
      </c>
      <c r="AW22" s="80">
        <f t="shared" ca="1" si="13"/>
        <v>0</v>
      </c>
      <c r="AX22" s="80">
        <f t="shared" ca="1" si="13"/>
        <v>0</v>
      </c>
      <c r="AY22" s="80">
        <f t="shared" ca="1" si="13"/>
        <v>0</v>
      </c>
      <c r="AZ22" s="80">
        <f t="shared" ca="1" si="13"/>
        <v>0</v>
      </c>
      <c r="BA22" s="80">
        <f t="shared" ca="1" si="13"/>
        <v>0</v>
      </c>
      <c r="BB22" s="81">
        <f t="shared" ca="1" si="13"/>
        <v>0</v>
      </c>
      <c r="BD22" s="12" t="str">
        <f t="shared" si="9"/>
        <v>0x1024</v>
      </c>
      <c r="BE22" s="12" t="str">
        <f t="shared" ca="1" si="10"/>
        <v>0011110000000011</v>
      </c>
      <c r="BG22" s="53" t="str">
        <f t="shared" ca="1" si="11"/>
        <v>`define EE_B0 9</v>
      </c>
    </row>
    <row r="23" spans="1:59">
      <c r="A23" s="82" t="s">
        <v>286</v>
      </c>
      <c r="B23" s="82">
        <v>38</v>
      </c>
      <c r="C23" s="82">
        <v>9</v>
      </c>
      <c r="D23" s="83">
        <f ca="1">SUMIF('NVRAM map'!$AF$3:$AF$319,A23,'NVRAM map'!$AN$3:$AN$319)</f>
        <v>8499</v>
      </c>
      <c r="E23" s="84" t="str">
        <f t="shared" ca="1" si="0"/>
        <v>2133</v>
      </c>
      <c r="F23" s="85" t="str">
        <f t="shared" ca="1" si="12"/>
        <v>2133</v>
      </c>
      <c r="G23" s="86" t="str">
        <f ca="1">VLOOKUP(MemoryView!A23,'NVRAM map'!$AD$3:$AE$319,2,0)</f>
        <v>EE_B1</v>
      </c>
      <c r="H23" s="87" t="str">
        <f t="array" aca="1" ref="H23" ca="1">IF(ISNA(INDEX('NVRAM map'!$AF$3:$AG$319,MATCH(1,('NVRAM map'!$AF$3:$AF$319=$A23)*('NVRAM map'!$AI$3:$AI$319&gt;=H$3)*('NVRAM map'!$AJ$3:$AJ$319&lt;=H$3),0),2)),"-",INDEX('NVRAM map'!$AF$3:$AG$319,MATCH(1,('NVRAM map'!$AF$3:$AF$319=$A23)*('NVRAM map'!$AI$3:$AI$319&gt;=H$3)*('NVRAM map'!$AJ$3:$AJ$319&lt;=H$3),0),2))</f>
        <v>B1</v>
      </c>
      <c r="I23" s="87" t="str">
        <f t="array" aca="1" ref="I23" ca="1">IF(ISNA(INDEX('NVRAM map'!$AF$3:$AG$319,MATCH(1,('NVRAM map'!$AF$3:$AF$319=$A23)*('NVRAM map'!$AI$3:$AI$319&gt;=I$3)*('NVRAM map'!$AJ$3:$AJ$319&lt;=I$3),0),2)),"-",INDEX('NVRAM map'!$AF$3:$AG$319,MATCH(1,('NVRAM map'!$AF$3:$AF$319=$A23)*('NVRAM map'!$AI$3:$AI$319&gt;=I$3)*('NVRAM map'!$AJ$3:$AJ$319&lt;=I$3),0),2))</f>
        <v>B1</v>
      </c>
      <c r="J23" s="87" t="str">
        <f t="array" aca="1" ref="J23" ca="1">IF(ISNA(INDEX('NVRAM map'!$AF$3:$AG$319,MATCH(1,('NVRAM map'!$AF$3:$AF$319=$A23)*('NVRAM map'!$AI$3:$AI$319&gt;=J$3)*('NVRAM map'!$AJ$3:$AJ$319&lt;=J$3),0),2)),"-",INDEX('NVRAM map'!$AF$3:$AG$319,MATCH(1,('NVRAM map'!$AF$3:$AF$319=$A23)*('NVRAM map'!$AI$3:$AI$319&gt;=J$3)*('NVRAM map'!$AJ$3:$AJ$319&lt;=J$3),0),2))</f>
        <v>B1</v>
      </c>
      <c r="K23" s="87" t="str">
        <f t="array" aca="1" ref="K23" ca="1">IF(ISNA(INDEX('NVRAM map'!$AF$3:$AG$319,MATCH(1,('NVRAM map'!$AF$3:$AF$319=$A23)*('NVRAM map'!$AI$3:$AI$319&gt;=K$3)*('NVRAM map'!$AJ$3:$AJ$319&lt;=K$3),0),2)),"-",INDEX('NVRAM map'!$AF$3:$AG$319,MATCH(1,('NVRAM map'!$AF$3:$AF$319=$A23)*('NVRAM map'!$AI$3:$AI$319&gt;=K$3)*('NVRAM map'!$AJ$3:$AJ$319&lt;=K$3),0),2))</f>
        <v>B1</v>
      </c>
      <c r="L23" s="87" t="str">
        <f t="array" aca="1" ref="L23" ca="1">IF(ISNA(INDEX('NVRAM map'!$AF$3:$AG$319,MATCH(1,('NVRAM map'!$AF$3:$AF$319=$A23)*('NVRAM map'!$AI$3:$AI$319&gt;=L$3)*('NVRAM map'!$AJ$3:$AJ$319&lt;=L$3),0),2)),"-",INDEX('NVRAM map'!$AF$3:$AG$319,MATCH(1,('NVRAM map'!$AF$3:$AF$319=$A23)*('NVRAM map'!$AI$3:$AI$319&gt;=L$3)*('NVRAM map'!$AJ$3:$AJ$319&lt;=L$3),0),2))</f>
        <v>B1</v>
      </c>
      <c r="M23" s="87" t="str">
        <f t="array" aca="1" ref="M23" ca="1">IF(ISNA(INDEX('NVRAM map'!$AF$3:$AG$319,MATCH(1,('NVRAM map'!$AF$3:$AF$319=$A23)*('NVRAM map'!$AI$3:$AI$319&gt;=M$3)*('NVRAM map'!$AJ$3:$AJ$319&lt;=M$3),0),2)),"-",INDEX('NVRAM map'!$AF$3:$AG$319,MATCH(1,('NVRAM map'!$AF$3:$AF$319=$A23)*('NVRAM map'!$AI$3:$AI$319&gt;=M$3)*('NVRAM map'!$AJ$3:$AJ$319&lt;=M$3),0),2))</f>
        <v>B1</v>
      </c>
      <c r="N23" s="87" t="str">
        <f t="array" aca="1" ref="N23" ca="1">IF(ISNA(INDEX('NVRAM map'!$AF$3:$AG$319,MATCH(1,('NVRAM map'!$AF$3:$AF$319=$A23)*('NVRAM map'!$AI$3:$AI$319&gt;=N$3)*('NVRAM map'!$AJ$3:$AJ$319&lt;=N$3),0),2)),"-",INDEX('NVRAM map'!$AF$3:$AG$319,MATCH(1,('NVRAM map'!$AF$3:$AF$319=$A23)*('NVRAM map'!$AI$3:$AI$319&gt;=N$3)*('NVRAM map'!$AJ$3:$AJ$319&lt;=N$3),0),2))</f>
        <v>B1</v>
      </c>
      <c r="O23" s="87" t="str">
        <f t="array" aca="1" ref="O23" ca="1">IF(ISNA(INDEX('NVRAM map'!$AF$3:$AG$319,MATCH(1,('NVRAM map'!$AF$3:$AF$319=$A23)*('NVRAM map'!$AI$3:$AI$319&gt;=O$3)*('NVRAM map'!$AJ$3:$AJ$319&lt;=O$3),0),2)),"-",INDEX('NVRAM map'!$AF$3:$AG$319,MATCH(1,('NVRAM map'!$AF$3:$AF$319=$A23)*('NVRAM map'!$AI$3:$AI$319&gt;=O$3)*('NVRAM map'!$AJ$3:$AJ$319&lt;=O$3),0),2))</f>
        <v>B1</v>
      </c>
      <c r="P23" s="87" t="str">
        <f t="array" aca="1" ref="P23" ca="1">IF(ISNA(INDEX('NVRAM map'!$AF$3:$AG$319,MATCH(1,('NVRAM map'!$AF$3:$AF$319=$A23)*('NVRAM map'!$AI$3:$AI$319&gt;=P$3)*('NVRAM map'!$AJ$3:$AJ$319&lt;=P$3),0),2)),"-",INDEX('NVRAM map'!$AF$3:$AG$319,MATCH(1,('NVRAM map'!$AF$3:$AF$319=$A23)*('NVRAM map'!$AI$3:$AI$319&gt;=P$3)*('NVRAM map'!$AJ$3:$AJ$319&lt;=P$3),0),2))</f>
        <v>B1</v>
      </c>
      <c r="Q23" s="87" t="str">
        <f t="array" aca="1" ref="Q23" ca="1">IF(ISNA(INDEX('NVRAM map'!$AF$3:$AG$319,MATCH(1,('NVRAM map'!$AF$3:$AF$319=$A23)*('NVRAM map'!$AI$3:$AI$319&gt;=Q$3)*('NVRAM map'!$AJ$3:$AJ$319&lt;=Q$3),0),2)),"-",INDEX('NVRAM map'!$AF$3:$AG$319,MATCH(1,('NVRAM map'!$AF$3:$AF$319=$A23)*('NVRAM map'!$AI$3:$AI$319&gt;=Q$3)*('NVRAM map'!$AJ$3:$AJ$319&lt;=Q$3),0),2))</f>
        <v>B1</v>
      </c>
      <c r="R23" s="87" t="str">
        <f t="array" aca="1" ref="R23" ca="1">IF(ISNA(INDEX('NVRAM map'!$AF$3:$AG$319,MATCH(1,('NVRAM map'!$AF$3:$AF$319=$A23)*('NVRAM map'!$AI$3:$AI$319&gt;=R$3)*('NVRAM map'!$AJ$3:$AJ$319&lt;=R$3),0),2)),"-",INDEX('NVRAM map'!$AF$3:$AG$319,MATCH(1,('NVRAM map'!$AF$3:$AF$319=$A23)*('NVRAM map'!$AI$3:$AI$319&gt;=R$3)*('NVRAM map'!$AJ$3:$AJ$319&lt;=R$3),0),2))</f>
        <v>B1</v>
      </c>
      <c r="S23" s="87" t="str">
        <f t="array" aca="1" ref="S23" ca="1">IF(ISNA(INDEX('NVRAM map'!$AF$3:$AG$319,MATCH(1,('NVRAM map'!$AF$3:$AF$319=$A23)*('NVRAM map'!$AI$3:$AI$319&gt;=S$3)*('NVRAM map'!$AJ$3:$AJ$319&lt;=S$3),0),2)),"-",INDEX('NVRAM map'!$AF$3:$AG$319,MATCH(1,('NVRAM map'!$AF$3:$AF$319=$A23)*('NVRAM map'!$AI$3:$AI$319&gt;=S$3)*('NVRAM map'!$AJ$3:$AJ$319&lt;=S$3),0),2))</f>
        <v>B1</v>
      </c>
      <c r="T23" s="87" t="str">
        <f t="array" aca="1" ref="T23" ca="1">IF(ISNA(INDEX('NVRAM map'!$AF$3:$AG$319,MATCH(1,('NVRAM map'!$AF$3:$AF$319=$A23)*('NVRAM map'!$AI$3:$AI$319&gt;=T$3)*('NVRAM map'!$AJ$3:$AJ$319&lt;=T$3),0),2)),"-",INDEX('NVRAM map'!$AF$3:$AG$319,MATCH(1,('NVRAM map'!$AF$3:$AF$319=$A23)*('NVRAM map'!$AI$3:$AI$319&gt;=T$3)*('NVRAM map'!$AJ$3:$AJ$319&lt;=T$3),0),2))</f>
        <v>B1</v>
      </c>
      <c r="U23" s="87" t="str">
        <f t="array" aca="1" ref="U23" ca="1">IF(ISNA(INDEX('NVRAM map'!$AF$3:$AG$319,MATCH(1,('NVRAM map'!$AF$3:$AF$319=$A23)*('NVRAM map'!$AI$3:$AI$319&gt;=U$3)*('NVRAM map'!$AJ$3:$AJ$319&lt;=U$3),0),2)),"-",INDEX('NVRAM map'!$AF$3:$AG$319,MATCH(1,('NVRAM map'!$AF$3:$AF$319=$A23)*('NVRAM map'!$AI$3:$AI$319&gt;=U$3)*('NVRAM map'!$AJ$3:$AJ$319&lt;=U$3),0),2))</f>
        <v>B1</v>
      </c>
      <c r="V23" s="87" t="str">
        <f t="array" aca="1" ref="V23" ca="1">IF(ISNA(INDEX('NVRAM map'!$AF$3:$AG$319,MATCH(1,('NVRAM map'!$AF$3:$AF$319=$A23)*('NVRAM map'!$AI$3:$AI$319&gt;=V$3)*('NVRAM map'!$AJ$3:$AJ$319&lt;=V$3),0),2)),"-",INDEX('NVRAM map'!$AF$3:$AG$319,MATCH(1,('NVRAM map'!$AF$3:$AF$319=$A23)*('NVRAM map'!$AI$3:$AI$319&gt;=V$3)*('NVRAM map'!$AJ$3:$AJ$319&lt;=V$3),0),2))</f>
        <v>B1</v>
      </c>
      <c r="W23" s="87" t="str">
        <f t="array" aca="1" ref="W23" ca="1">IF(ISNA(INDEX('NVRAM map'!$AF$3:$AG$319,MATCH(1,('NVRAM map'!$AF$3:$AF$319=$A23)*('NVRAM map'!$AI$3:$AI$319&gt;=W$3)*('NVRAM map'!$AJ$3:$AJ$319&lt;=W$3),0),2)),"-",INDEX('NVRAM map'!$AF$3:$AG$319,MATCH(1,('NVRAM map'!$AF$3:$AF$319=$A23)*('NVRAM map'!$AI$3:$AI$319&gt;=W$3)*('NVRAM map'!$AJ$3:$AJ$319&lt;=W$3),0),2))</f>
        <v>B1</v>
      </c>
      <c r="X23" s="88" t="str">
        <f ca="1">INDEX('NVRAM map'!$B$3:$B$319,MATCH(A23,'NVRAM map'!$E$3:$E$319,0))</f>
        <v>CUST</v>
      </c>
      <c r="AB23" s="44">
        <f t="shared" ca="1" si="2"/>
        <v>84</v>
      </c>
      <c r="AC23" s="12" t="b">
        <f ca="1">COUNTIF('NVRAM map'!$AD$3:$AE$319,A23)&lt;2</f>
        <v>1</v>
      </c>
      <c r="AD23" s="12">
        <f ca="1">SUMIF('NVRAM map'!$AF$3:$AF$319,A23,'NVRAM map'!$AK$3:$AK$319)</f>
        <v>65535</v>
      </c>
      <c r="AE23" s="12" t="str">
        <f t="shared" ca="1" si="3"/>
        <v>FFFF</v>
      </c>
      <c r="AF23" s="12" t="str">
        <f t="shared" ca="1" si="4"/>
        <v>11111111</v>
      </c>
      <c r="AG23" s="12" t="str">
        <f t="shared" ca="1" si="5"/>
        <v>11111111</v>
      </c>
      <c r="AH23" s="12">
        <f t="shared" ca="1" si="6"/>
        <v>16</v>
      </c>
      <c r="AI23" s="12">
        <f ca="1">SUMIF('NVRAM map'!$AF$3:$AF$319,A23,'NVRAM map'!$AH$3:$AH$319)</f>
        <v>16</v>
      </c>
      <c r="AJ23" s="12" t="b">
        <f t="shared" ca="1" si="7"/>
        <v>1</v>
      </c>
      <c r="AK23" s="12">
        <f ca="1">COUNTIF('NVRAM map'!$AF$3:$AF$319,A23)</f>
        <v>1</v>
      </c>
      <c r="AM23" s="89">
        <v>0</v>
      </c>
      <c r="AN23" s="80">
        <f t="shared" ca="1" si="13"/>
        <v>0</v>
      </c>
      <c r="AO23" s="80">
        <f t="shared" ca="1" si="13"/>
        <v>0</v>
      </c>
      <c r="AP23" s="80">
        <f t="shared" ca="1" si="13"/>
        <v>0</v>
      </c>
      <c r="AQ23" s="80">
        <f t="shared" ca="1" si="13"/>
        <v>0</v>
      </c>
      <c r="AR23" s="80">
        <f t="shared" ca="1" si="13"/>
        <v>0</v>
      </c>
      <c r="AS23" s="80">
        <f t="shared" ca="1" si="13"/>
        <v>0</v>
      </c>
      <c r="AT23" s="80">
        <f t="shared" ca="1" si="13"/>
        <v>0</v>
      </c>
      <c r="AU23" s="80">
        <f t="shared" ca="1" si="13"/>
        <v>0</v>
      </c>
      <c r="AV23" s="80">
        <f t="shared" ca="1" si="13"/>
        <v>0</v>
      </c>
      <c r="AW23" s="80">
        <f t="shared" ca="1" si="13"/>
        <v>0</v>
      </c>
      <c r="AX23" s="80">
        <f t="shared" ca="1" si="13"/>
        <v>0</v>
      </c>
      <c r="AY23" s="80">
        <f t="shared" ca="1" si="13"/>
        <v>0</v>
      </c>
      <c r="AZ23" s="80">
        <f t="shared" ca="1" si="13"/>
        <v>0</v>
      </c>
      <c r="BA23" s="80">
        <f t="shared" ca="1" si="13"/>
        <v>0</v>
      </c>
      <c r="BB23" s="81">
        <f t="shared" ca="1" si="13"/>
        <v>0</v>
      </c>
      <c r="BD23" s="12" t="str">
        <f t="shared" si="9"/>
        <v>0x1026</v>
      </c>
      <c r="BE23" s="12" t="str">
        <f t="shared" ca="1" si="10"/>
        <v>0010000100110011</v>
      </c>
      <c r="BG23" s="53" t="str">
        <f t="shared" ca="1" si="11"/>
        <v>`define EE_B1 9</v>
      </c>
    </row>
    <row r="24" spans="1:59">
      <c r="A24" s="82" t="s">
        <v>287</v>
      </c>
      <c r="B24" s="82">
        <v>40</v>
      </c>
      <c r="C24" s="82">
        <v>10</v>
      </c>
      <c r="D24" s="83">
        <f ca="1">SUMIF('NVRAM map'!$AF$3:$AF$319,A24,'NVRAM map'!$AN$3:$AN$319)</f>
        <v>55473</v>
      </c>
      <c r="E24" s="84" t="str">
        <f t="shared" ca="1" si="0"/>
        <v>D8B1</v>
      </c>
      <c r="F24" s="85" t="str">
        <f t="shared" ca="1" si="12"/>
        <v>D8B1</v>
      </c>
      <c r="G24" s="86" t="str">
        <f ca="1">VLOOKUP(MemoryView!A24,'NVRAM map'!$AD$3:$AE$319,2,0)</f>
        <v>EE_B2</v>
      </c>
      <c r="H24" s="87" t="str">
        <f t="array" aca="1" ref="H24" ca="1">IF(ISNA(INDEX('NVRAM map'!$AF$3:$AG$319,MATCH(1,('NVRAM map'!$AF$3:$AF$319=$A24)*('NVRAM map'!$AI$3:$AI$319&gt;=H$3)*('NVRAM map'!$AJ$3:$AJ$319&lt;=H$3),0),2)),"-",INDEX('NVRAM map'!$AF$3:$AG$319,MATCH(1,('NVRAM map'!$AF$3:$AF$319=$A24)*('NVRAM map'!$AI$3:$AI$319&gt;=H$3)*('NVRAM map'!$AJ$3:$AJ$319&lt;=H$3),0),2))</f>
        <v>B2</v>
      </c>
      <c r="I24" s="87" t="str">
        <f t="array" aca="1" ref="I24" ca="1">IF(ISNA(INDEX('NVRAM map'!$AF$3:$AG$319,MATCH(1,('NVRAM map'!$AF$3:$AF$319=$A24)*('NVRAM map'!$AI$3:$AI$319&gt;=I$3)*('NVRAM map'!$AJ$3:$AJ$319&lt;=I$3),0),2)),"-",INDEX('NVRAM map'!$AF$3:$AG$319,MATCH(1,('NVRAM map'!$AF$3:$AF$319=$A24)*('NVRAM map'!$AI$3:$AI$319&gt;=I$3)*('NVRAM map'!$AJ$3:$AJ$319&lt;=I$3),0),2))</f>
        <v>B2</v>
      </c>
      <c r="J24" s="87" t="str">
        <f t="array" aca="1" ref="J24" ca="1">IF(ISNA(INDEX('NVRAM map'!$AF$3:$AG$319,MATCH(1,('NVRAM map'!$AF$3:$AF$319=$A24)*('NVRAM map'!$AI$3:$AI$319&gt;=J$3)*('NVRAM map'!$AJ$3:$AJ$319&lt;=J$3),0),2)),"-",INDEX('NVRAM map'!$AF$3:$AG$319,MATCH(1,('NVRAM map'!$AF$3:$AF$319=$A24)*('NVRAM map'!$AI$3:$AI$319&gt;=J$3)*('NVRAM map'!$AJ$3:$AJ$319&lt;=J$3),0),2))</f>
        <v>B2</v>
      </c>
      <c r="K24" s="87" t="str">
        <f t="array" aca="1" ref="K24" ca="1">IF(ISNA(INDEX('NVRAM map'!$AF$3:$AG$319,MATCH(1,('NVRAM map'!$AF$3:$AF$319=$A24)*('NVRAM map'!$AI$3:$AI$319&gt;=K$3)*('NVRAM map'!$AJ$3:$AJ$319&lt;=K$3),0),2)),"-",INDEX('NVRAM map'!$AF$3:$AG$319,MATCH(1,('NVRAM map'!$AF$3:$AF$319=$A24)*('NVRAM map'!$AI$3:$AI$319&gt;=K$3)*('NVRAM map'!$AJ$3:$AJ$319&lt;=K$3),0),2))</f>
        <v>B2</v>
      </c>
      <c r="L24" s="87" t="str">
        <f t="array" aca="1" ref="L24" ca="1">IF(ISNA(INDEX('NVRAM map'!$AF$3:$AG$319,MATCH(1,('NVRAM map'!$AF$3:$AF$319=$A24)*('NVRAM map'!$AI$3:$AI$319&gt;=L$3)*('NVRAM map'!$AJ$3:$AJ$319&lt;=L$3),0),2)),"-",INDEX('NVRAM map'!$AF$3:$AG$319,MATCH(1,('NVRAM map'!$AF$3:$AF$319=$A24)*('NVRAM map'!$AI$3:$AI$319&gt;=L$3)*('NVRAM map'!$AJ$3:$AJ$319&lt;=L$3),0),2))</f>
        <v>B2</v>
      </c>
      <c r="M24" s="87" t="str">
        <f t="array" aca="1" ref="M24" ca="1">IF(ISNA(INDEX('NVRAM map'!$AF$3:$AG$319,MATCH(1,('NVRAM map'!$AF$3:$AF$319=$A24)*('NVRAM map'!$AI$3:$AI$319&gt;=M$3)*('NVRAM map'!$AJ$3:$AJ$319&lt;=M$3),0),2)),"-",INDEX('NVRAM map'!$AF$3:$AG$319,MATCH(1,('NVRAM map'!$AF$3:$AF$319=$A24)*('NVRAM map'!$AI$3:$AI$319&gt;=M$3)*('NVRAM map'!$AJ$3:$AJ$319&lt;=M$3),0),2))</f>
        <v>B2</v>
      </c>
      <c r="N24" s="87" t="str">
        <f t="array" aca="1" ref="N24" ca="1">IF(ISNA(INDEX('NVRAM map'!$AF$3:$AG$319,MATCH(1,('NVRAM map'!$AF$3:$AF$319=$A24)*('NVRAM map'!$AI$3:$AI$319&gt;=N$3)*('NVRAM map'!$AJ$3:$AJ$319&lt;=N$3),0),2)),"-",INDEX('NVRAM map'!$AF$3:$AG$319,MATCH(1,('NVRAM map'!$AF$3:$AF$319=$A24)*('NVRAM map'!$AI$3:$AI$319&gt;=N$3)*('NVRAM map'!$AJ$3:$AJ$319&lt;=N$3),0),2))</f>
        <v>B2</v>
      </c>
      <c r="O24" s="87" t="str">
        <f t="array" aca="1" ref="O24" ca="1">IF(ISNA(INDEX('NVRAM map'!$AF$3:$AG$319,MATCH(1,('NVRAM map'!$AF$3:$AF$319=$A24)*('NVRAM map'!$AI$3:$AI$319&gt;=O$3)*('NVRAM map'!$AJ$3:$AJ$319&lt;=O$3),0),2)),"-",INDEX('NVRAM map'!$AF$3:$AG$319,MATCH(1,('NVRAM map'!$AF$3:$AF$319=$A24)*('NVRAM map'!$AI$3:$AI$319&gt;=O$3)*('NVRAM map'!$AJ$3:$AJ$319&lt;=O$3),0),2))</f>
        <v>B2</v>
      </c>
      <c r="P24" s="87" t="str">
        <f t="array" aca="1" ref="P24" ca="1">IF(ISNA(INDEX('NVRAM map'!$AF$3:$AG$319,MATCH(1,('NVRAM map'!$AF$3:$AF$319=$A24)*('NVRAM map'!$AI$3:$AI$319&gt;=P$3)*('NVRAM map'!$AJ$3:$AJ$319&lt;=P$3),0),2)),"-",INDEX('NVRAM map'!$AF$3:$AG$319,MATCH(1,('NVRAM map'!$AF$3:$AF$319=$A24)*('NVRAM map'!$AI$3:$AI$319&gt;=P$3)*('NVRAM map'!$AJ$3:$AJ$319&lt;=P$3),0),2))</f>
        <v>B2</v>
      </c>
      <c r="Q24" s="87" t="str">
        <f t="array" aca="1" ref="Q24" ca="1">IF(ISNA(INDEX('NVRAM map'!$AF$3:$AG$319,MATCH(1,('NVRAM map'!$AF$3:$AF$319=$A24)*('NVRAM map'!$AI$3:$AI$319&gt;=Q$3)*('NVRAM map'!$AJ$3:$AJ$319&lt;=Q$3),0),2)),"-",INDEX('NVRAM map'!$AF$3:$AG$319,MATCH(1,('NVRAM map'!$AF$3:$AF$319=$A24)*('NVRAM map'!$AI$3:$AI$319&gt;=Q$3)*('NVRAM map'!$AJ$3:$AJ$319&lt;=Q$3),0),2))</f>
        <v>B2</v>
      </c>
      <c r="R24" s="87" t="str">
        <f t="array" aca="1" ref="R24" ca="1">IF(ISNA(INDEX('NVRAM map'!$AF$3:$AG$319,MATCH(1,('NVRAM map'!$AF$3:$AF$319=$A24)*('NVRAM map'!$AI$3:$AI$319&gt;=R$3)*('NVRAM map'!$AJ$3:$AJ$319&lt;=R$3),0),2)),"-",INDEX('NVRAM map'!$AF$3:$AG$319,MATCH(1,('NVRAM map'!$AF$3:$AF$319=$A24)*('NVRAM map'!$AI$3:$AI$319&gt;=R$3)*('NVRAM map'!$AJ$3:$AJ$319&lt;=R$3),0),2))</f>
        <v>B2</v>
      </c>
      <c r="S24" s="87" t="str">
        <f t="array" aca="1" ref="S24" ca="1">IF(ISNA(INDEX('NVRAM map'!$AF$3:$AG$319,MATCH(1,('NVRAM map'!$AF$3:$AF$319=$A24)*('NVRAM map'!$AI$3:$AI$319&gt;=S$3)*('NVRAM map'!$AJ$3:$AJ$319&lt;=S$3),0),2)),"-",INDEX('NVRAM map'!$AF$3:$AG$319,MATCH(1,('NVRAM map'!$AF$3:$AF$319=$A24)*('NVRAM map'!$AI$3:$AI$319&gt;=S$3)*('NVRAM map'!$AJ$3:$AJ$319&lt;=S$3),0),2))</f>
        <v>B2</v>
      </c>
      <c r="T24" s="87" t="str">
        <f t="array" aca="1" ref="T24" ca="1">IF(ISNA(INDEX('NVRAM map'!$AF$3:$AG$319,MATCH(1,('NVRAM map'!$AF$3:$AF$319=$A24)*('NVRAM map'!$AI$3:$AI$319&gt;=T$3)*('NVRAM map'!$AJ$3:$AJ$319&lt;=T$3),0),2)),"-",INDEX('NVRAM map'!$AF$3:$AG$319,MATCH(1,('NVRAM map'!$AF$3:$AF$319=$A24)*('NVRAM map'!$AI$3:$AI$319&gt;=T$3)*('NVRAM map'!$AJ$3:$AJ$319&lt;=T$3),0),2))</f>
        <v>B2</v>
      </c>
      <c r="U24" s="87" t="str">
        <f t="array" aca="1" ref="U24" ca="1">IF(ISNA(INDEX('NVRAM map'!$AF$3:$AG$319,MATCH(1,('NVRAM map'!$AF$3:$AF$319=$A24)*('NVRAM map'!$AI$3:$AI$319&gt;=U$3)*('NVRAM map'!$AJ$3:$AJ$319&lt;=U$3),0),2)),"-",INDEX('NVRAM map'!$AF$3:$AG$319,MATCH(1,('NVRAM map'!$AF$3:$AF$319=$A24)*('NVRAM map'!$AI$3:$AI$319&gt;=U$3)*('NVRAM map'!$AJ$3:$AJ$319&lt;=U$3),0),2))</f>
        <v>B2</v>
      </c>
      <c r="V24" s="87" t="str">
        <f t="array" aca="1" ref="V24" ca="1">IF(ISNA(INDEX('NVRAM map'!$AF$3:$AG$319,MATCH(1,('NVRAM map'!$AF$3:$AF$319=$A24)*('NVRAM map'!$AI$3:$AI$319&gt;=V$3)*('NVRAM map'!$AJ$3:$AJ$319&lt;=V$3),0),2)),"-",INDEX('NVRAM map'!$AF$3:$AG$319,MATCH(1,('NVRAM map'!$AF$3:$AF$319=$A24)*('NVRAM map'!$AI$3:$AI$319&gt;=V$3)*('NVRAM map'!$AJ$3:$AJ$319&lt;=V$3),0),2))</f>
        <v>B2</v>
      </c>
      <c r="W24" s="87" t="str">
        <f t="array" aca="1" ref="W24" ca="1">IF(ISNA(INDEX('NVRAM map'!$AF$3:$AG$319,MATCH(1,('NVRAM map'!$AF$3:$AF$319=$A24)*('NVRAM map'!$AI$3:$AI$319&gt;=W$3)*('NVRAM map'!$AJ$3:$AJ$319&lt;=W$3),0),2)),"-",INDEX('NVRAM map'!$AF$3:$AG$319,MATCH(1,('NVRAM map'!$AF$3:$AF$319=$A24)*('NVRAM map'!$AI$3:$AI$319&gt;=W$3)*('NVRAM map'!$AJ$3:$AJ$319&lt;=W$3),0),2))</f>
        <v>B2</v>
      </c>
      <c r="X24" s="88" t="str">
        <f ca="1">INDEX('NVRAM map'!$B$3:$B$319,MATCH(A24,'NVRAM map'!$E$3:$E$319,0))</f>
        <v>CUST</v>
      </c>
      <c r="AB24" s="44">
        <f t="shared" ca="1" si="2"/>
        <v>393</v>
      </c>
      <c r="AC24" s="12" t="b">
        <f ca="1">COUNTIF('NVRAM map'!$AD$3:$AE$319,A24)&lt;2</f>
        <v>1</v>
      </c>
      <c r="AD24" s="12">
        <f ca="1">SUMIF('NVRAM map'!$AF$3:$AF$319,A24,'NVRAM map'!$AK$3:$AK$319)</f>
        <v>65535</v>
      </c>
      <c r="AE24" s="12" t="str">
        <f t="shared" ca="1" si="3"/>
        <v>FFFF</v>
      </c>
      <c r="AF24" s="12" t="str">
        <f t="shared" ca="1" si="4"/>
        <v>11111111</v>
      </c>
      <c r="AG24" s="12" t="str">
        <f t="shared" ca="1" si="5"/>
        <v>11111111</v>
      </c>
      <c r="AH24" s="12">
        <f t="shared" ca="1" si="6"/>
        <v>16</v>
      </c>
      <c r="AI24" s="12">
        <f ca="1">SUMIF('NVRAM map'!$AF$3:$AF$319,A24,'NVRAM map'!$AH$3:$AH$319)</f>
        <v>16</v>
      </c>
      <c r="AJ24" s="12" t="b">
        <f t="shared" ca="1" si="7"/>
        <v>1</v>
      </c>
      <c r="AK24" s="12">
        <f ca="1">COUNTIF('NVRAM map'!$AF$3:$AF$319,A24)</f>
        <v>1</v>
      </c>
      <c r="AM24" s="89">
        <v>0</v>
      </c>
      <c r="AN24" s="80">
        <f t="shared" ca="1" si="13"/>
        <v>0</v>
      </c>
      <c r="AO24" s="80">
        <f t="shared" ca="1" si="13"/>
        <v>0</v>
      </c>
      <c r="AP24" s="80">
        <f t="shared" ca="1" si="13"/>
        <v>0</v>
      </c>
      <c r="AQ24" s="80">
        <f t="shared" ca="1" si="13"/>
        <v>0</v>
      </c>
      <c r="AR24" s="80">
        <f t="shared" ca="1" si="13"/>
        <v>0</v>
      </c>
      <c r="AS24" s="80">
        <f t="shared" ca="1" si="13"/>
        <v>0</v>
      </c>
      <c r="AT24" s="80">
        <f t="shared" ca="1" si="13"/>
        <v>0</v>
      </c>
      <c r="AU24" s="80">
        <f t="shared" ca="1" si="13"/>
        <v>0</v>
      </c>
      <c r="AV24" s="80">
        <f t="shared" ca="1" si="13"/>
        <v>0</v>
      </c>
      <c r="AW24" s="80">
        <f t="shared" ca="1" si="13"/>
        <v>0</v>
      </c>
      <c r="AX24" s="80">
        <f t="shared" ca="1" si="13"/>
        <v>0</v>
      </c>
      <c r="AY24" s="80">
        <f t="shared" ca="1" si="13"/>
        <v>0</v>
      </c>
      <c r="AZ24" s="80">
        <f t="shared" ca="1" si="13"/>
        <v>0</v>
      </c>
      <c r="BA24" s="80">
        <f t="shared" ca="1" si="13"/>
        <v>0</v>
      </c>
      <c r="BB24" s="81">
        <f t="shared" ca="1" si="13"/>
        <v>0</v>
      </c>
      <c r="BD24" s="12" t="str">
        <f t="shared" si="9"/>
        <v>0x1028</v>
      </c>
      <c r="BE24" s="12" t="str">
        <f t="shared" ca="1" si="10"/>
        <v>1101100010110001</v>
      </c>
      <c r="BG24" s="53" t="str">
        <f t="shared" ca="1" si="11"/>
        <v>`define EE_B2 10</v>
      </c>
    </row>
    <row r="25" spans="1:59">
      <c r="A25" s="82" t="s">
        <v>288</v>
      </c>
      <c r="B25" s="82">
        <v>42</v>
      </c>
      <c r="C25" s="82">
        <v>10</v>
      </c>
      <c r="D25" s="83">
        <f ca="1">SUMIF('NVRAM map'!$AF$3:$AF$319,A25,'NVRAM map'!$AN$3:$AN$319)</f>
        <v>54644</v>
      </c>
      <c r="E25" s="84" t="str">
        <f t="shared" ca="1" si="0"/>
        <v>D574</v>
      </c>
      <c r="F25" s="85" t="str">
        <f t="shared" ca="1" si="12"/>
        <v>D574</v>
      </c>
      <c r="G25" s="86" t="str">
        <f ca="1">VLOOKUP(MemoryView!A25,'NVRAM map'!$AD$3:$AE$319,2,0)</f>
        <v>EE_B3</v>
      </c>
      <c r="H25" s="87" t="str">
        <f t="array" aca="1" ref="H25" ca="1">IF(ISNA(INDEX('NVRAM map'!$AF$3:$AG$319,MATCH(1,('NVRAM map'!$AF$3:$AF$319=$A25)*('NVRAM map'!$AI$3:$AI$319&gt;=H$3)*('NVRAM map'!$AJ$3:$AJ$319&lt;=H$3),0),2)),"-",INDEX('NVRAM map'!$AF$3:$AG$319,MATCH(1,('NVRAM map'!$AF$3:$AF$319=$A25)*('NVRAM map'!$AI$3:$AI$319&gt;=H$3)*('NVRAM map'!$AJ$3:$AJ$319&lt;=H$3),0),2))</f>
        <v>B3</v>
      </c>
      <c r="I25" s="87" t="str">
        <f t="array" aca="1" ref="I25" ca="1">IF(ISNA(INDEX('NVRAM map'!$AF$3:$AG$319,MATCH(1,('NVRAM map'!$AF$3:$AF$319=$A25)*('NVRAM map'!$AI$3:$AI$319&gt;=I$3)*('NVRAM map'!$AJ$3:$AJ$319&lt;=I$3),0),2)),"-",INDEX('NVRAM map'!$AF$3:$AG$319,MATCH(1,('NVRAM map'!$AF$3:$AF$319=$A25)*('NVRAM map'!$AI$3:$AI$319&gt;=I$3)*('NVRAM map'!$AJ$3:$AJ$319&lt;=I$3),0),2))</f>
        <v>B3</v>
      </c>
      <c r="J25" s="87" t="str">
        <f t="array" aca="1" ref="J25" ca="1">IF(ISNA(INDEX('NVRAM map'!$AF$3:$AG$319,MATCH(1,('NVRAM map'!$AF$3:$AF$319=$A25)*('NVRAM map'!$AI$3:$AI$319&gt;=J$3)*('NVRAM map'!$AJ$3:$AJ$319&lt;=J$3),0),2)),"-",INDEX('NVRAM map'!$AF$3:$AG$319,MATCH(1,('NVRAM map'!$AF$3:$AF$319=$A25)*('NVRAM map'!$AI$3:$AI$319&gt;=J$3)*('NVRAM map'!$AJ$3:$AJ$319&lt;=J$3),0),2))</f>
        <v>B3</v>
      </c>
      <c r="K25" s="87" t="str">
        <f t="array" aca="1" ref="K25" ca="1">IF(ISNA(INDEX('NVRAM map'!$AF$3:$AG$319,MATCH(1,('NVRAM map'!$AF$3:$AF$319=$A25)*('NVRAM map'!$AI$3:$AI$319&gt;=K$3)*('NVRAM map'!$AJ$3:$AJ$319&lt;=K$3),0),2)),"-",INDEX('NVRAM map'!$AF$3:$AG$319,MATCH(1,('NVRAM map'!$AF$3:$AF$319=$A25)*('NVRAM map'!$AI$3:$AI$319&gt;=K$3)*('NVRAM map'!$AJ$3:$AJ$319&lt;=K$3),0),2))</f>
        <v>B3</v>
      </c>
      <c r="L25" s="87" t="str">
        <f t="array" aca="1" ref="L25" ca="1">IF(ISNA(INDEX('NVRAM map'!$AF$3:$AG$319,MATCH(1,('NVRAM map'!$AF$3:$AF$319=$A25)*('NVRAM map'!$AI$3:$AI$319&gt;=L$3)*('NVRAM map'!$AJ$3:$AJ$319&lt;=L$3),0),2)),"-",INDEX('NVRAM map'!$AF$3:$AG$319,MATCH(1,('NVRAM map'!$AF$3:$AF$319=$A25)*('NVRAM map'!$AI$3:$AI$319&gt;=L$3)*('NVRAM map'!$AJ$3:$AJ$319&lt;=L$3),0),2))</f>
        <v>B3</v>
      </c>
      <c r="M25" s="87" t="str">
        <f t="array" aca="1" ref="M25" ca="1">IF(ISNA(INDEX('NVRAM map'!$AF$3:$AG$319,MATCH(1,('NVRAM map'!$AF$3:$AF$319=$A25)*('NVRAM map'!$AI$3:$AI$319&gt;=M$3)*('NVRAM map'!$AJ$3:$AJ$319&lt;=M$3),0),2)),"-",INDEX('NVRAM map'!$AF$3:$AG$319,MATCH(1,('NVRAM map'!$AF$3:$AF$319=$A25)*('NVRAM map'!$AI$3:$AI$319&gt;=M$3)*('NVRAM map'!$AJ$3:$AJ$319&lt;=M$3),0),2))</f>
        <v>B3</v>
      </c>
      <c r="N25" s="87" t="str">
        <f t="array" aca="1" ref="N25" ca="1">IF(ISNA(INDEX('NVRAM map'!$AF$3:$AG$319,MATCH(1,('NVRAM map'!$AF$3:$AF$319=$A25)*('NVRAM map'!$AI$3:$AI$319&gt;=N$3)*('NVRAM map'!$AJ$3:$AJ$319&lt;=N$3),0),2)),"-",INDEX('NVRAM map'!$AF$3:$AG$319,MATCH(1,('NVRAM map'!$AF$3:$AF$319=$A25)*('NVRAM map'!$AI$3:$AI$319&gt;=N$3)*('NVRAM map'!$AJ$3:$AJ$319&lt;=N$3),0),2))</f>
        <v>B3</v>
      </c>
      <c r="O25" s="87" t="str">
        <f t="array" aca="1" ref="O25" ca="1">IF(ISNA(INDEX('NVRAM map'!$AF$3:$AG$319,MATCH(1,('NVRAM map'!$AF$3:$AF$319=$A25)*('NVRAM map'!$AI$3:$AI$319&gt;=O$3)*('NVRAM map'!$AJ$3:$AJ$319&lt;=O$3),0),2)),"-",INDEX('NVRAM map'!$AF$3:$AG$319,MATCH(1,('NVRAM map'!$AF$3:$AF$319=$A25)*('NVRAM map'!$AI$3:$AI$319&gt;=O$3)*('NVRAM map'!$AJ$3:$AJ$319&lt;=O$3),0),2))</f>
        <v>B3</v>
      </c>
      <c r="P25" s="87" t="str">
        <f t="array" aca="1" ref="P25" ca="1">IF(ISNA(INDEX('NVRAM map'!$AF$3:$AG$319,MATCH(1,('NVRAM map'!$AF$3:$AF$319=$A25)*('NVRAM map'!$AI$3:$AI$319&gt;=P$3)*('NVRAM map'!$AJ$3:$AJ$319&lt;=P$3),0),2)),"-",INDEX('NVRAM map'!$AF$3:$AG$319,MATCH(1,('NVRAM map'!$AF$3:$AF$319=$A25)*('NVRAM map'!$AI$3:$AI$319&gt;=P$3)*('NVRAM map'!$AJ$3:$AJ$319&lt;=P$3),0),2))</f>
        <v>B3</v>
      </c>
      <c r="Q25" s="87" t="str">
        <f t="array" aca="1" ref="Q25" ca="1">IF(ISNA(INDEX('NVRAM map'!$AF$3:$AG$319,MATCH(1,('NVRAM map'!$AF$3:$AF$319=$A25)*('NVRAM map'!$AI$3:$AI$319&gt;=Q$3)*('NVRAM map'!$AJ$3:$AJ$319&lt;=Q$3),0),2)),"-",INDEX('NVRAM map'!$AF$3:$AG$319,MATCH(1,('NVRAM map'!$AF$3:$AF$319=$A25)*('NVRAM map'!$AI$3:$AI$319&gt;=Q$3)*('NVRAM map'!$AJ$3:$AJ$319&lt;=Q$3),0),2))</f>
        <v>B3</v>
      </c>
      <c r="R25" s="87" t="str">
        <f t="array" aca="1" ref="R25" ca="1">IF(ISNA(INDEX('NVRAM map'!$AF$3:$AG$319,MATCH(1,('NVRAM map'!$AF$3:$AF$319=$A25)*('NVRAM map'!$AI$3:$AI$319&gt;=R$3)*('NVRAM map'!$AJ$3:$AJ$319&lt;=R$3),0),2)),"-",INDEX('NVRAM map'!$AF$3:$AG$319,MATCH(1,('NVRAM map'!$AF$3:$AF$319=$A25)*('NVRAM map'!$AI$3:$AI$319&gt;=R$3)*('NVRAM map'!$AJ$3:$AJ$319&lt;=R$3),0),2))</f>
        <v>B3</v>
      </c>
      <c r="S25" s="87" t="str">
        <f t="array" aca="1" ref="S25" ca="1">IF(ISNA(INDEX('NVRAM map'!$AF$3:$AG$319,MATCH(1,('NVRAM map'!$AF$3:$AF$319=$A25)*('NVRAM map'!$AI$3:$AI$319&gt;=S$3)*('NVRAM map'!$AJ$3:$AJ$319&lt;=S$3),0),2)),"-",INDEX('NVRAM map'!$AF$3:$AG$319,MATCH(1,('NVRAM map'!$AF$3:$AF$319=$A25)*('NVRAM map'!$AI$3:$AI$319&gt;=S$3)*('NVRAM map'!$AJ$3:$AJ$319&lt;=S$3),0),2))</f>
        <v>B3</v>
      </c>
      <c r="T25" s="87" t="str">
        <f t="array" aca="1" ref="T25" ca="1">IF(ISNA(INDEX('NVRAM map'!$AF$3:$AG$319,MATCH(1,('NVRAM map'!$AF$3:$AF$319=$A25)*('NVRAM map'!$AI$3:$AI$319&gt;=T$3)*('NVRAM map'!$AJ$3:$AJ$319&lt;=T$3),0),2)),"-",INDEX('NVRAM map'!$AF$3:$AG$319,MATCH(1,('NVRAM map'!$AF$3:$AF$319=$A25)*('NVRAM map'!$AI$3:$AI$319&gt;=T$3)*('NVRAM map'!$AJ$3:$AJ$319&lt;=T$3),0),2))</f>
        <v>B3</v>
      </c>
      <c r="U25" s="87" t="str">
        <f t="array" aca="1" ref="U25" ca="1">IF(ISNA(INDEX('NVRAM map'!$AF$3:$AG$319,MATCH(1,('NVRAM map'!$AF$3:$AF$319=$A25)*('NVRAM map'!$AI$3:$AI$319&gt;=U$3)*('NVRAM map'!$AJ$3:$AJ$319&lt;=U$3),0),2)),"-",INDEX('NVRAM map'!$AF$3:$AG$319,MATCH(1,('NVRAM map'!$AF$3:$AF$319=$A25)*('NVRAM map'!$AI$3:$AI$319&gt;=U$3)*('NVRAM map'!$AJ$3:$AJ$319&lt;=U$3),0),2))</f>
        <v>B3</v>
      </c>
      <c r="V25" s="87" t="str">
        <f t="array" aca="1" ref="V25" ca="1">IF(ISNA(INDEX('NVRAM map'!$AF$3:$AG$319,MATCH(1,('NVRAM map'!$AF$3:$AF$319=$A25)*('NVRAM map'!$AI$3:$AI$319&gt;=V$3)*('NVRAM map'!$AJ$3:$AJ$319&lt;=V$3),0),2)),"-",INDEX('NVRAM map'!$AF$3:$AG$319,MATCH(1,('NVRAM map'!$AF$3:$AF$319=$A25)*('NVRAM map'!$AI$3:$AI$319&gt;=V$3)*('NVRAM map'!$AJ$3:$AJ$319&lt;=V$3),0),2))</f>
        <v>B3</v>
      </c>
      <c r="W25" s="87" t="str">
        <f t="array" aca="1" ref="W25" ca="1">IF(ISNA(INDEX('NVRAM map'!$AF$3:$AG$319,MATCH(1,('NVRAM map'!$AF$3:$AF$319=$A25)*('NVRAM map'!$AI$3:$AI$319&gt;=W$3)*('NVRAM map'!$AJ$3:$AJ$319&lt;=W$3),0),2)),"-",INDEX('NVRAM map'!$AF$3:$AG$319,MATCH(1,('NVRAM map'!$AF$3:$AF$319=$A25)*('NVRAM map'!$AI$3:$AI$319&gt;=W$3)*('NVRAM map'!$AJ$3:$AJ$319&lt;=W$3),0),2))</f>
        <v>B3</v>
      </c>
      <c r="X25" s="88" t="str">
        <f ca="1">INDEX('NVRAM map'!$B$3:$B$319,MATCH(A25,'NVRAM map'!$E$3:$E$319,0))</f>
        <v>CUST</v>
      </c>
      <c r="AB25" s="44">
        <f t="shared" ca="1" si="2"/>
        <v>329</v>
      </c>
      <c r="AC25" s="12" t="b">
        <f ca="1">COUNTIF('NVRAM map'!$AD$3:$AE$319,A25)&lt;2</f>
        <v>1</v>
      </c>
      <c r="AD25" s="12">
        <f ca="1">SUMIF('NVRAM map'!$AF$3:$AF$319,A25,'NVRAM map'!$AK$3:$AK$319)</f>
        <v>65535</v>
      </c>
      <c r="AE25" s="12" t="str">
        <f t="shared" ca="1" si="3"/>
        <v>FFFF</v>
      </c>
      <c r="AF25" s="12" t="str">
        <f t="shared" ca="1" si="4"/>
        <v>11111111</v>
      </c>
      <c r="AG25" s="12" t="str">
        <f t="shared" ca="1" si="5"/>
        <v>11111111</v>
      </c>
      <c r="AH25" s="12">
        <f t="shared" ca="1" si="6"/>
        <v>16</v>
      </c>
      <c r="AI25" s="12">
        <f ca="1">SUMIF('NVRAM map'!$AF$3:$AF$319,A25,'NVRAM map'!$AH$3:$AH$319)</f>
        <v>16</v>
      </c>
      <c r="AJ25" s="12" t="b">
        <f t="shared" ca="1" si="7"/>
        <v>1</v>
      </c>
      <c r="AK25" s="12">
        <f ca="1">COUNTIF('NVRAM map'!$AF$3:$AF$319,A25)</f>
        <v>1</v>
      </c>
      <c r="AM25" s="89">
        <v>0</v>
      </c>
      <c r="AN25" s="80">
        <f t="shared" ca="1" si="13"/>
        <v>0</v>
      </c>
      <c r="AO25" s="80">
        <f t="shared" ca="1" si="13"/>
        <v>0</v>
      </c>
      <c r="AP25" s="80">
        <f t="shared" ca="1" si="13"/>
        <v>0</v>
      </c>
      <c r="AQ25" s="80">
        <f t="shared" ca="1" si="13"/>
        <v>0</v>
      </c>
      <c r="AR25" s="80">
        <f t="shared" ca="1" si="13"/>
        <v>0</v>
      </c>
      <c r="AS25" s="80">
        <f t="shared" ca="1" si="13"/>
        <v>0</v>
      </c>
      <c r="AT25" s="80">
        <f t="shared" ca="1" si="13"/>
        <v>0</v>
      </c>
      <c r="AU25" s="80">
        <f t="shared" ca="1" si="13"/>
        <v>0</v>
      </c>
      <c r="AV25" s="80">
        <f t="shared" ca="1" si="13"/>
        <v>0</v>
      </c>
      <c r="AW25" s="80">
        <f t="shared" ca="1" si="13"/>
        <v>0</v>
      </c>
      <c r="AX25" s="80">
        <f t="shared" ca="1" si="13"/>
        <v>0</v>
      </c>
      <c r="AY25" s="80">
        <f t="shared" ca="1" si="13"/>
        <v>0</v>
      </c>
      <c r="AZ25" s="80">
        <f t="shared" ca="1" si="13"/>
        <v>0</v>
      </c>
      <c r="BA25" s="80">
        <f t="shared" ca="1" si="13"/>
        <v>0</v>
      </c>
      <c r="BB25" s="81">
        <f t="shared" ca="1" si="13"/>
        <v>0</v>
      </c>
      <c r="BD25" s="12" t="str">
        <f t="shared" si="9"/>
        <v>0x102A</v>
      </c>
      <c r="BE25" s="12" t="str">
        <f t="shared" ca="1" si="10"/>
        <v>1101010101110100</v>
      </c>
      <c r="BG25" s="53" t="str">
        <f t="shared" ca="1" si="11"/>
        <v>`define EE_B3 10</v>
      </c>
    </row>
    <row r="26" spans="1:59">
      <c r="A26" s="82" t="s">
        <v>289</v>
      </c>
      <c r="B26" s="82">
        <v>44</v>
      </c>
      <c r="C26" s="82">
        <v>11</v>
      </c>
      <c r="D26" s="83">
        <f ca="1">SUMIF('NVRAM map'!$AF$3:$AF$319,A26,'NVRAM map'!$AN$3:$AN$319)</f>
        <v>65534</v>
      </c>
      <c r="E26" s="84" t="str">
        <f t="shared" ca="1" si="0"/>
        <v>FFFE</v>
      </c>
      <c r="F26" s="85" t="str">
        <f t="shared" ca="1" si="12"/>
        <v>FFFE</v>
      </c>
      <c r="G26" s="86" t="str">
        <f ca="1">VLOOKUP(MemoryView!A26,'NVRAM map'!$AD$3:$AE$319,2,0)</f>
        <v>EE_C0</v>
      </c>
      <c r="H26" s="87" t="str">
        <f t="array" aca="1" ref="H26" ca="1">IF(ISNA(INDEX('NVRAM map'!$AF$3:$AG$319,MATCH(1,('NVRAM map'!$AF$3:$AF$319=$A26)*('NVRAM map'!$AI$3:$AI$319&gt;=H$3)*('NVRAM map'!$AJ$3:$AJ$319&lt;=H$3),0),2)),"-",INDEX('NVRAM map'!$AF$3:$AG$319,MATCH(1,('NVRAM map'!$AF$3:$AF$319=$A26)*('NVRAM map'!$AI$3:$AI$319&gt;=H$3)*('NVRAM map'!$AJ$3:$AJ$319&lt;=H$3),0),2))</f>
        <v>C0</v>
      </c>
      <c r="I26" s="87" t="str">
        <f t="array" aca="1" ref="I26" ca="1">IF(ISNA(INDEX('NVRAM map'!$AF$3:$AG$319,MATCH(1,('NVRAM map'!$AF$3:$AF$319=$A26)*('NVRAM map'!$AI$3:$AI$319&gt;=I$3)*('NVRAM map'!$AJ$3:$AJ$319&lt;=I$3),0),2)),"-",INDEX('NVRAM map'!$AF$3:$AG$319,MATCH(1,('NVRAM map'!$AF$3:$AF$319=$A26)*('NVRAM map'!$AI$3:$AI$319&gt;=I$3)*('NVRAM map'!$AJ$3:$AJ$319&lt;=I$3),0),2))</f>
        <v>C0</v>
      </c>
      <c r="J26" s="87" t="str">
        <f t="array" aca="1" ref="J26" ca="1">IF(ISNA(INDEX('NVRAM map'!$AF$3:$AG$319,MATCH(1,('NVRAM map'!$AF$3:$AF$319=$A26)*('NVRAM map'!$AI$3:$AI$319&gt;=J$3)*('NVRAM map'!$AJ$3:$AJ$319&lt;=J$3),0),2)),"-",INDEX('NVRAM map'!$AF$3:$AG$319,MATCH(1,('NVRAM map'!$AF$3:$AF$319=$A26)*('NVRAM map'!$AI$3:$AI$319&gt;=J$3)*('NVRAM map'!$AJ$3:$AJ$319&lt;=J$3),0),2))</f>
        <v>C0</v>
      </c>
      <c r="K26" s="87" t="str">
        <f t="array" aca="1" ref="K26" ca="1">IF(ISNA(INDEX('NVRAM map'!$AF$3:$AG$319,MATCH(1,('NVRAM map'!$AF$3:$AF$319=$A26)*('NVRAM map'!$AI$3:$AI$319&gt;=K$3)*('NVRAM map'!$AJ$3:$AJ$319&lt;=K$3),0),2)),"-",INDEX('NVRAM map'!$AF$3:$AG$319,MATCH(1,('NVRAM map'!$AF$3:$AF$319=$A26)*('NVRAM map'!$AI$3:$AI$319&gt;=K$3)*('NVRAM map'!$AJ$3:$AJ$319&lt;=K$3),0),2))</f>
        <v>C0</v>
      </c>
      <c r="L26" s="87" t="str">
        <f t="array" aca="1" ref="L26" ca="1">IF(ISNA(INDEX('NVRAM map'!$AF$3:$AG$319,MATCH(1,('NVRAM map'!$AF$3:$AF$319=$A26)*('NVRAM map'!$AI$3:$AI$319&gt;=L$3)*('NVRAM map'!$AJ$3:$AJ$319&lt;=L$3),0),2)),"-",INDEX('NVRAM map'!$AF$3:$AG$319,MATCH(1,('NVRAM map'!$AF$3:$AF$319=$A26)*('NVRAM map'!$AI$3:$AI$319&gt;=L$3)*('NVRAM map'!$AJ$3:$AJ$319&lt;=L$3),0),2))</f>
        <v>C0</v>
      </c>
      <c r="M26" s="87" t="str">
        <f t="array" aca="1" ref="M26" ca="1">IF(ISNA(INDEX('NVRAM map'!$AF$3:$AG$319,MATCH(1,('NVRAM map'!$AF$3:$AF$319=$A26)*('NVRAM map'!$AI$3:$AI$319&gt;=M$3)*('NVRAM map'!$AJ$3:$AJ$319&lt;=M$3),0),2)),"-",INDEX('NVRAM map'!$AF$3:$AG$319,MATCH(1,('NVRAM map'!$AF$3:$AF$319=$A26)*('NVRAM map'!$AI$3:$AI$319&gt;=M$3)*('NVRAM map'!$AJ$3:$AJ$319&lt;=M$3),0),2))</f>
        <v>C0</v>
      </c>
      <c r="N26" s="87" t="str">
        <f t="array" aca="1" ref="N26" ca="1">IF(ISNA(INDEX('NVRAM map'!$AF$3:$AG$319,MATCH(1,('NVRAM map'!$AF$3:$AF$319=$A26)*('NVRAM map'!$AI$3:$AI$319&gt;=N$3)*('NVRAM map'!$AJ$3:$AJ$319&lt;=N$3),0),2)),"-",INDEX('NVRAM map'!$AF$3:$AG$319,MATCH(1,('NVRAM map'!$AF$3:$AF$319=$A26)*('NVRAM map'!$AI$3:$AI$319&gt;=N$3)*('NVRAM map'!$AJ$3:$AJ$319&lt;=N$3),0),2))</f>
        <v>C0</v>
      </c>
      <c r="O26" s="87" t="str">
        <f t="array" aca="1" ref="O26" ca="1">IF(ISNA(INDEX('NVRAM map'!$AF$3:$AG$319,MATCH(1,('NVRAM map'!$AF$3:$AF$319=$A26)*('NVRAM map'!$AI$3:$AI$319&gt;=O$3)*('NVRAM map'!$AJ$3:$AJ$319&lt;=O$3),0),2)),"-",INDEX('NVRAM map'!$AF$3:$AG$319,MATCH(1,('NVRAM map'!$AF$3:$AF$319=$A26)*('NVRAM map'!$AI$3:$AI$319&gt;=O$3)*('NVRAM map'!$AJ$3:$AJ$319&lt;=O$3),0),2))</f>
        <v>C0</v>
      </c>
      <c r="P26" s="87" t="str">
        <f t="array" aca="1" ref="P26" ca="1">IF(ISNA(INDEX('NVRAM map'!$AF$3:$AG$319,MATCH(1,('NVRAM map'!$AF$3:$AF$319=$A26)*('NVRAM map'!$AI$3:$AI$319&gt;=P$3)*('NVRAM map'!$AJ$3:$AJ$319&lt;=P$3),0),2)),"-",INDEX('NVRAM map'!$AF$3:$AG$319,MATCH(1,('NVRAM map'!$AF$3:$AF$319=$A26)*('NVRAM map'!$AI$3:$AI$319&gt;=P$3)*('NVRAM map'!$AJ$3:$AJ$319&lt;=P$3),0),2))</f>
        <v>C0</v>
      </c>
      <c r="Q26" s="87" t="str">
        <f t="array" aca="1" ref="Q26" ca="1">IF(ISNA(INDEX('NVRAM map'!$AF$3:$AG$319,MATCH(1,('NVRAM map'!$AF$3:$AF$319=$A26)*('NVRAM map'!$AI$3:$AI$319&gt;=Q$3)*('NVRAM map'!$AJ$3:$AJ$319&lt;=Q$3),0),2)),"-",INDEX('NVRAM map'!$AF$3:$AG$319,MATCH(1,('NVRAM map'!$AF$3:$AF$319=$A26)*('NVRAM map'!$AI$3:$AI$319&gt;=Q$3)*('NVRAM map'!$AJ$3:$AJ$319&lt;=Q$3),0),2))</f>
        <v>C0</v>
      </c>
      <c r="R26" s="87" t="str">
        <f t="array" aca="1" ref="R26" ca="1">IF(ISNA(INDEX('NVRAM map'!$AF$3:$AG$319,MATCH(1,('NVRAM map'!$AF$3:$AF$319=$A26)*('NVRAM map'!$AI$3:$AI$319&gt;=R$3)*('NVRAM map'!$AJ$3:$AJ$319&lt;=R$3),0),2)),"-",INDEX('NVRAM map'!$AF$3:$AG$319,MATCH(1,('NVRAM map'!$AF$3:$AF$319=$A26)*('NVRAM map'!$AI$3:$AI$319&gt;=R$3)*('NVRAM map'!$AJ$3:$AJ$319&lt;=R$3),0),2))</f>
        <v>C0</v>
      </c>
      <c r="S26" s="87" t="str">
        <f t="array" aca="1" ref="S26" ca="1">IF(ISNA(INDEX('NVRAM map'!$AF$3:$AG$319,MATCH(1,('NVRAM map'!$AF$3:$AF$319=$A26)*('NVRAM map'!$AI$3:$AI$319&gt;=S$3)*('NVRAM map'!$AJ$3:$AJ$319&lt;=S$3),0),2)),"-",INDEX('NVRAM map'!$AF$3:$AG$319,MATCH(1,('NVRAM map'!$AF$3:$AF$319=$A26)*('NVRAM map'!$AI$3:$AI$319&gt;=S$3)*('NVRAM map'!$AJ$3:$AJ$319&lt;=S$3),0),2))</f>
        <v>C0</v>
      </c>
      <c r="T26" s="87" t="str">
        <f t="array" aca="1" ref="T26" ca="1">IF(ISNA(INDEX('NVRAM map'!$AF$3:$AG$319,MATCH(1,('NVRAM map'!$AF$3:$AF$319=$A26)*('NVRAM map'!$AI$3:$AI$319&gt;=T$3)*('NVRAM map'!$AJ$3:$AJ$319&lt;=T$3),0),2)),"-",INDEX('NVRAM map'!$AF$3:$AG$319,MATCH(1,('NVRAM map'!$AF$3:$AF$319=$A26)*('NVRAM map'!$AI$3:$AI$319&gt;=T$3)*('NVRAM map'!$AJ$3:$AJ$319&lt;=T$3),0),2))</f>
        <v>C0</v>
      </c>
      <c r="U26" s="87" t="str">
        <f t="array" aca="1" ref="U26" ca="1">IF(ISNA(INDEX('NVRAM map'!$AF$3:$AG$319,MATCH(1,('NVRAM map'!$AF$3:$AF$319=$A26)*('NVRAM map'!$AI$3:$AI$319&gt;=U$3)*('NVRAM map'!$AJ$3:$AJ$319&lt;=U$3),0),2)),"-",INDEX('NVRAM map'!$AF$3:$AG$319,MATCH(1,('NVRAM map'!$AF$3:$AF$319=$A26)*('NVRAM map'!$AI$3:$AI$319&gt;=U$3)*('NVRAM map'!$AJ$3:$AJ$319&lt;=U$3),0),2))</f>
        <v>C0</v>
      </c>
      <c r="V26" s="87" t="str">
        <f t="array" aca="1" ref="V26" ca="1">IF(ISNA(INDEX('NVRAM map'!$AF$3:$AG$319,MATCH(1,('NVRAM map'!$AF$3:$AF$319=$A26)*('NVRAM map'!$AI$3:$AI$319&gt;=V$3)*('NVRAM map'!$AJ$3:$AJ$319&lt;=V$3),0),2)),"-",INDEX('NVRAM map'!$AF$3:$AG$319,MATCH(1,('NVRAM map'!$AF$3:$AF$319=$A26)*('NVRAM map'!$AI$3:$AI$319&gt;=V$3)*('NVRAM map'!$AJ$3:$AJ$319&lt;=V$3),0),2))</f>
        <v>C0</v>
      </c>
      <c r="W26" s="87" t="str">
        <f t="array" aca="1" ref="W26" ca="1">IF(ISNA(INDEX('NVRAM map'!$AF$3:$AG$319,MATCH(1,('NVRAM map'!$AF$3:$AF$319=$A26)*('NVRAM map'!$AI$3:$AI$319&gt;=W$3)*('NVRAM map'!$AJ$3:$AJ$319&lt;=W$3),0),2)),"-",INDEX('NVRAM map'!$AF$3:$AG$319,MATCH(1,('NVRAM map'!$AF$3:$AF$319=$A26)*('NVRAM map'!$AI$3:$AI$319&gt;=W$3)*('NVRAM map'!$AJ$3:$AJ$319&lt;=W$3),0),2))</f>
        <v>C0</v>
      </c>
      <c r="X26" s="88" t="str">
        <f ca="1">INDEX('NVRAM map'!$B$3:$B$319,MATCH(A26,'NVRAM map'!$E$3:$E$319,0))</f>
        <v>CUST</v>
      </c>
      <c r="AB26" s="44">
        <f t="shared" ca="1" si="2"/>
        <v>509</v>
      </c>
      <c r="AC26" s="12" t="b">
        <f ca="1">COUNTIF('NVRAM map'!$AD$3:$AE$319,A26)&lt;2</f>
        <v>1</v>
      </c>
      <c r="AD26" s="12">
        <f ca="1">SUMIF('NVRAM map'!$AF$3:$AF$319,A26,'NVRAM map'!$AK$3:$AK$319)</f>
        <v>65535</v>
      </c>
      <c r="AE26" s="12" t="str">
        <f t="shared" ca="1" si="3"/>
        <v>FFFF</v>
      </c>
      <c r="AF26" s="12" t="str">
        <f t="shared" ca="1" si="4"/>
        <v>11111111</v>
      </c>
      <c r="AG26" s="12" t="str">
        <f t="shared" ca="1" si="5"/>
        <v>11111111</v>
      </c>
      <c r="AH26" s="12">
        <f t="shared" ca="1" si="6"/>
        <v>16</v>
      </c>
      <c r="AI26" s="12">
        <f ca="1">SUMIF('NVRAM map'!$AF$3:$AF$319,A26,'NVRAM map'!$AH$3:$AH$319)</f>
        <v>16</v>
      </c>
      <c r="AJ26" s="12" t="b">
        <f t="shared" ca="1" si="7"/>
        <v>1</v>
      </c>
      <c r="AK26" s="12">
        <f ca="1">COUNTIF('NVRAM map'!$AF$3:$AF$319,A26)</f>
        <v>1</v>
      </c>
      <c r="AM26" s="89">
        <v>0</v>
      </c>
      <c r="AN26" s="80">
        <f t="shared" ca="1" si="13"/>
        <v>0</v>
      </c>
      <c r="AO26" s="80">
        <f t="shared" ca="1" si="13"/>
        <v>0</v>
      </c>
      <c r="AP26" s="80">
        <f t="shared" ca="1" si="13"/>
        <v>0</v>
      </c>
      <c r="AQ26" s="80">
        <f t="shared" ca="1" si="13"/>
        <v>0</v>
      </c>
      <c r="AR26" s="80">
        <f t="shared" ca="1" si="13"/>
        <v>0</v>
      </c>
      <c r="AS26" s="80">
        <f t="shared" ca="1" si="13"/>
        <v>0</v>
      </c>
      <c r="AT26" s="80">
        <f t="shared" ca="1" si="13"/>
        <v>0</v>
      </c>
      <c r="AU26" s="80">
        <f t="shared" ca="1" si="13"/>
        <v>0</v>
      </c>
      <c r="AV26" s="80">
        <f t="shared" ca="1" si="13"/>
        <v>0</v>
      </c>
      <c r="AW26" s="80">
        <f t="shared" ca="1" si="13"/>
        <v>0</v>
      </c>
      <c r="AX26" s="80">
        <f t="shared" ca="1" si="13"/>
        <v>0</v>
      </c>
      <c r="AY26" s="80">
        <f t="shared" ca="1" si="13"/>
        <v>0</v>
      </c>
      <c r="AZ26" s="80">
        <f t="shared" ca="1" si="13"/>
        <v>0</v>
      </c>
      <c r="BA26" s="80">
        <f t="shared" ca="1" si="13"/>
        <v>0</v>
      </c>
      <c r="BB26" s="81">
        <f t="shared" ca="1" si="13"/>
        <v>0</v>
      </c>
      <c r="BD26" s="12" t="str">
        <f t="shared" si="9"/>
        <v>0x102C</v>
      </c>
      <c r="BE26" s="12" t="str">
        <f t="shared" ca="1" si="10"/>
        <v>1111111111111110</v>
      </c>
      <c r="BG26" s="53" t="str">
        <f t="shared" ca="1" si="11"/>
        <v>`define EE_C0 11</v>
      </c>
    </row>
    <row r="27" spans="1:59">
      <c r="A27" s="82" t="s">
        <v>290</v>
      </c>
      <c r="B27" s="82">
        <v>46</v>
      </c>
      <c r="C27" s="82">
        <v>11</v>
      </c>
      <c r="D27" s="83">
        <f ca="1">SUMIF('NVRAM map'!$AF$3:$AF$319,A27,'NVRAM map'!$AN$3:$AN$319)</f>
        <v>0</v>
      </c>
      <c r="E27" s="84" t="str">
        <f t="shared" ca="1" si="0"/>
        <v>0000</v>
      </c>
      <c r="F27" s="85" t="str">
        <f t="shared" ca="1" si="12"/>
        <v>0000</v>
      </c>
      <c r="G27" s="86" t="str">
        <f ca="1">VLOOKUP(MemoryView!A27,'NVRAM map'!$AD$3:$AE$319,2,0)</f>
        <v>EE_C1</v>
      </c>
      <c r="H27" s="87" t="str">
        <f t="array" aca="1" ref="H27" ca="1">IF(ISNA(INDEX('NVRAM map'!$AF$3:$AG$319,MATCH(1,('NVRAM map'!$AF$3:$AF$319=$A27)*('NVRAM map'!$AI$3:$AI$319&gt;=H$3)*('NVRAM map'!$AJ$3:$AJ$319&lt;=H$3),0),2)),"-",INDEX('NVRAM map'!$AF$3:$AG$319,MATCH(1,('NVRAM map'!$AF$3:$AF$319=$A27)*('NVRAM map'!$AI$3:$AI$319&gt;=H$3)*('NVRAM map'!$AJ$3:$AJ$319&lt;=H$3),0),2))</f>
        <v>C1</v>
      </c>
      <c r="I27" s="87" t="str">
        <f t="array" aca="1" ref="I27" ca="1">IF(ISNA(INDEX('NVRAM map'!$AF$3:$AG$319,MATCH(1,('NVRAM map'!$AF$3:$AF$319=$A27)*('NVRAM map'!$AI$3:$AI$319&gt;=I$3)*('NVRAM map'!$AJ$3:$AJ$319&lt;=I$3),0),2)),"-",INDEX('NVRAM map'!$AF$3:$AG$319,MATCH(1,('NVRAM map'!$AF$3:$AF$319=$A27)*('NVRAM map'!$AI$3:$AI$319&gt;=I$3)*('NVRAM map'!$AJ$3:$AJ$319&lt;=I$3),0),2))</f>
        <v>C1</v>
      </c>
      <c r="J27" s="87" t="str">
        <f t="array" aca="1" ref="J27" ca="1">IF(ISNA(INDEX('NVRAM map'!$AF$3:$AG$319,MATCH(1,('NVRAM map'!$AF$3:$AF$319=$A27)*('NVRAM map'!$AI$3:$AI$319&gt;=J$3)*('NVRAM map'!$AJ$3:$AJ$319&lt;=J$3),0),2)),"-",INDEX('NVRAM map'!$AF$3:$AG$319,MATCH(1,('NVRAM map'!$AF$3:$AF$319=$A27)*('NVRAM map'!$AI$3:$AI$319&gt;=J$3)*('NVRAM map'!$AJ$3:$AJ$319&lt;=J$3),0),2))</f>
        <v>C1</v>
      </c>
      <c r="K27" s="87" t="str">
        <f t="array" aca="1" ref="K27" ca="1">IF(ISNA(INDEX('NVRAM map'!$AF$3:$AG$319,MATCH(1,('NVRAM map'!$AF$3:$AF$319=$A27)*('NVRAM map'!$AI$3:$AI$319&gt;=K$3)*('NVRAM map'!$AJ$3:$AJ$319&lt;=K$3),0),2)),"-",INDEX('NVRAM map'!$AF$3:$AG$319,MATCH(1,('NVRAM map'!$AF$3:$AF$319=$A27)*('NVRAM map'!$AI$3:$AI$319&gt;=K$3)*('NVRAM map'!$AJ$3:$AJ$319&lt;=K$3),0),2))</f>
        <v>C1</v>
      </c>
      <c r="L27" s="87" t="str">
        <f t="array" aca="1" ref="L27" ca="1">IF(ISNA(INDEX('NVRAM map'!$AF$3:$AG$319,MATCH(1,('NVRAM map'!$AF$3:$AF$319=$A27)*('NVRAM map'!$AI$3:$AI$319&gt;=L$3)*('NVRAM map'!$AJ$3:$AJ$319&lt;=L$3),0),2)),"-",INDEX('NVRAM map'!$AF$3:$AG$319,MATCH(1,('NVRAM map'!$AF$3:$AF$319=$A27)*('NVRAM map'!$AI$3:$AI$319&gt;=L$3)*('NVRAM map'!$AJ$3:$AJ$319&lt;=L$3),0),2))</f>
        <v>C1</v>
      </c>
      <c r="M27" s="87" t="str">
        <f t="array" aca="1" ref="M27" ca="1">IF(ISNA(INDEX('NVRAM map'!$AF$3:$AG$319,MATCH(1,('NVRAM map'!$AF$3:$AF$319=$A27)*('NVRAM map'!$AI$3:$AI$319&gt;=M$3)*('NVRAM map'!$AJ$3:$AJ$319&lt;=M$3),0),2)),"-",INDEX('NVRAM map'!$AF$3:$AG$319,MATCH(1,('NVRAM map'!$AF$3:$AF$319=$A27)*('NVRAM map'!$AI$3:$AI$319&gt;=M$3)*('NVRAM map'!$AJ$3:$AJ$319&lt;=M$3),0),2))</f>
        <v>C1</v>
      </c>
      <c r="N27" s="87" t="str">
        <f t="array" aca="1" ref="N27" ca="1">IF(ISNA(INDEX('NVRAM map'!$AF$3:$AG$319,MATCH(1,('NVRAM map'!$AF$3:$AF$319=$A27)*('NVRAM map'!$AI$3:$AI$319&gt;=N$3)*('NVRAM map'!$AJ$3:$AJ$319&lt;=N$3),0),2)),"-",INDEX('NVRAM map'!$AF$3:$AG$319,MATCH(1,('NVRAM map'!$AF$3:$AF$319=$A27)*('NVRAM map'!$AI$3:$AI$319&gt;=N$3)*('NVRAM map'!$AJ$3:$AJ$319&lt;=N$3),0),2))</f>
        <v>C1</v>
      </c>
      <c r="O27" s="87" t="str">
        <f t="array" aca="1" ref="O27" ca="1">IF(ISNA(INDEX('NVRAM map'!$AF$3:$AG$319,MATCH(1,('NVRAM map'!$AF$3:$AF$319=$A27)*('NVRAM map'!$AI$3:$AI$319&gt;=O$3)*('NVRAM map'!$AJ$3:$AJ$319&lt;=O$3),0),2)),"-",INDEX('NVRAM map'!$AF$3:$AG$319,MATCH(1,('NVRAM map'!$AF$3:$AF$319=$A27)*('NVRAM map'!$AI$3:$AI$319&gt;=O$3)*('NVRAM map'!$AJ$3:$AJ$319&lt;=O$3),0),2))</f>
        <v>C1</v>
      </c>
      <c r="P27" s="87" t="str">
        <f t="array" aca="1" ref="P27" ca="1">IF(ISNA(INDEX('NVRAM map'!$AF$3:$AG$319,MATCH(1,('NVRAM map'!$AF$3:$AF$319=$A27)*('NVRAM map'!$AI$3:$AI$319&gt;=P$3)*('NVRAM map'!$AJ$3:$AJ$319&lt;=P$3),0),2)),"-",INDEX('NVRAM map'!$AF$3:$AG$319,MATCH(1,('NVRAM map'!$AF$3:$AF$319=$A27)*('NVRAM map'!$AI$3:$AI$319&gt;=P$3)*('NVRAM map'!$AJ$3:$AJ$319&lt;=P$3),0),2))</f>
        <v>C1</v>
      </c>
      <c r="Q27" s="87" t="str">
        <f t="array" aca="1" ref="Q27" ca="1">IF(ISNA(INDEX('NVRAM map'!$AF$3:$AG$319,MATCH(1,('NVRAM map'!$AF$3:$AF$319=$A27)*('NVRAM map'!$AI$3:$AI$319&gt;=Q$3)*('NVRAM map'!$AJ$3:$AJ$319&lt;=Q$3),0),2)),"-",INDEX('NVRAM map'!$AF$3:$AG$319,MATCH(1,('NVRAM map'!$AF$3:$AF$319=$A27)*('NVRAM map'!$AI$3:$AI$319&gt;=Q$3)*('NVRAM map'!$AJ$3:$AJ$319&lt;=Q$3),0),2))</f>
        <v>C1</v>
      </c>
      <c r="R27" s="87" t="str">
        <f t="array" aca="1" ref="R27" ca="1">IF(ISNA(INDEX('NVRAM map'!$AF$3:$AG$319,MATCH(1,('NVRAM map'!$AF$3:$AF$319=$A27)*('NVRAM map'!$AI$3:$AI$319&gt;=R$3)*('NVRAM map'!$AJ$3:$AJ$319&lt;=R$3),0),2)),"-",INDEX('NVRAM map'!$AF$3:$AG$319,MATCH(1,('NVRAM map'!$AF$3:$AF$319=$A27)*('NVRAM map'!$AI$3:$AI$319&gt;=R$3)*('NVRAM map'!$AJ$3:$AJ$319&lt;=R$3),0),2))</f>
        <v>C1</v>
      </c>
      <c r="S27" s="87" t="str">
        <f t="array" aca="1" ref="S27" ca="1">IF(ISNA(INDEX('NVRAM map'!$AF$3:$AG$319,MATCH(1,('NVRAM map'!$AF$3:$AF$319=$A27)*('NVRAM map'!$AI$3:$AI$319&gt;=S$3)*('NVRAM map'!$AJ$3:$AJ$319&lt;=S$3),0),2)),"-",INDEX('NVRAM map'!$AF$3:$AG$319,MATCH(1,('NVRAM map'!$AF$3:$AF$319=$A27)*('NVRAM map'!$AI$3:$AI$319&gt;=S$3)*('NVRAM map'!$AJ$3:$AJ$319&lt;=S$3),0),2))</f>
        <v>C1</v>
      </c>
      <c r="T27" s="87" t="str">
        <f t="array" aca="1" ref="T27" ca="1">IF(ISNA(INDEX('NVRAM map'!$AF$3:$AG$319,MATCH(1,('NVRAM map'!$AF$3:$AF$319=$A27)*('NVRAM map'!$AI$3:$AI$319&gt;=T$3)*('NVRAM map'!$AJ$3:$AJ$319&lt;=T$3),0),2)),"-",INDEX('NVRAM map'!$AF$3:$AG$319,MATCH(1,('NVRAM map'!$AF$3:$AF$319=$A27)*('NVRAM map'!$AI$3:$AI$319&gt;=T$3)*('NVRAM map'!$AJ$3:$AJ$319&lt;=T$3),0),2))</f>
        <v>C1</v>
      </c>
      <c r="U27" s="87" t="str">
        <f t="array" aca="1" ref="U27" ca="1">IF(ISNA(INDEX('NVRAM map'!$AF$3:$AG$319,MATCH(1,('NVRAM map'!$AF$3:$AF$319=$A27)*('NVRAM map'!$AI$3:$AI$319&gt;=U$3)*('NVRAM map'!$AJ$3:$AJ$319&lt;=U$3),0),2)),"-",INDEX('NVRAM map'!$AF$3:$AG$319,MATCH(1,('NVRAM map'!$AF$3:$AF$319=$A27)*('NVRAM map'!$AI$3:$AI$319&gt;=U$3)*('NVRAM map'!$AJ$3:$AJ$319&lt;=U$3),0),2))</f>
        <v>C1</v>
      </c>
      <c r="V27" s="87" t="str">
        <f t="array" aca="1" ref="V27" ca="1">IF(ISNA(INDEX('NVRAM map'!$AF$3:$AG$319,MATCH(1,('NVRAM map'!$AF$3:$AF$319=$A27)*('NVRAM map'!$AI$3:$AI$319&gt;=V$3)*('NVRAM map'!$AJ$3:$AJ$319&lt;=V$3),0),2)),"-",INDEX('NVRAM map'!$AF$3:$AG$319,MATCH(1,('NVRAM map'!$AF$3:$AF$319=$A27)*('NVRAM map'!$AI$3:$AI$319&gt;=V$3)*('NVRAM map'!$AJ$3:$AJ$319&lt;=V$3),0),2))</f>
        <v>C1</v>
      </c>
      <c r="W27" s="87" t="str">
        <f t="array" aca="1" ref="W27" ca="1">IF(ISNA(INDEX('NVRAM map'!$AF$3:$AG$319,MATCH(1,('NVRAM map'!$AF$3:$AF$319=$A27)*('NVRAM map'!$AI$3:$AI$319&gt;=W$3)*('NVRAM map'!$AJ$3:$AJ$319&lt;=W$3),0),2)),"-",INDEX('NVRAM map'!$AF$3:$AG$319,MATCH(1,('NVRAM map'!$AF$3:$AF$319=$A27)*('NVRAM map'!$AI$3:$AI$319&gt;=W$3)*('NVRAM map'!$AJ$3:$AJ$319&lt;=W$3),0),2))</f>
        <v>C1</v>
      </c>
      <c r="X27" s="88" t="str">
        <f ca="1">INDEX('NVRAM map'!$B$3:$B$319,MATCH(A27,'NVRAM map'!$E$3:$E$319,0))</f>
        <v>CUST</v>
      </c>
      <c r="AB27" s="44">
        <f t="shared" ca="1" si="2"/>
        <v>0</v>
      </c>
      <c r="AC27" s="12" t="b">
        <f ca="1">COUNTIF('NVRAM map'!$AD$3:$AE$319,A27)&lt;2</f>
        <v>1</v>
      </c>
      <c r="AD27" s="12">
        <f ca="1">SUMIF('NVRAM map'!$AF$3:$AF$319,A27,'NVRAM map'!$AK$3:$AK$319)</f>
        <v>65535</v>
      </c>
      <c r="AE27" s="12" t="str">
        <f t="shared" ca="1" si="3"/>
        <v>FFFF</v>
      </c>
      <c r="AF27" s="12" t="str">
        <f t="shared" ca="1" si="4"/>
        <v>11111111</v>
      </c>
      <c r="AG27" s="12" t="str">
        <f t="shared" ca="1" si="5"/>
        <v>11111111</v>
      </c>
      <c r="AH27" s="12">
        <f t="shared" ca="1" si="6"/>
        <v>16</v>
      </c>
      <c r="AI27" s="12">
        <f ca="1">SUMIF('NVRAM map'!$AF$3:$AF$319,A27,'NVRAM map'!$AH$3:$AH$319)</f>
        <v>16</v>
      </c>
      <c r="AJ27" s="12" t="b">
        <f t="shared" ca="1" si="7"/>
        <v>1</v>
      </c>
      <c r="AK27" s="12">
        <f ca="1">COUNTIF('NVRAM map'!$AF$3:$AF$319,A27)</f>
        <v>1</v>
      </c>
      <c r="AM27" s="89">
        <v>0</v>
      </c>
      <c r="AN27" s="80">
        <f t="shared" ca="1" si="13"/>
        <v>0</v>
      </c>
      <c r="AO27" s="80">
        <f t="shared" ca="1" si="13"/>
        <v>0</v>
      </c>
      <c r="AP27" s="80">
        <f t="shared" ca="1" si="13"/>
        <v>0</v>
      </c>
      <c r="AQ27" s="80">
        <f t="shared" ca="1" si="13"/>
        <v>0</v>
      </c>
      <c r="AR27" s="80">
        <f t="shared" ca="1" si="13"/>
        <v>0</v>
      </c>
      <c r="AS27" s="80">
        <f t="shared" ca="1" si="13"/>
        <v>0</v>
      </c>
      <c r="AT27" s="80">
        <f t="shared" ca="1" si="13"/>
        <v>0</v>
      </c>
      <c r="AU27" s="80">
        <f t="shared" ca="1" si="13"/>
        <v>0</v>
      </c>
      <c r="AV27" s="80">
        <f t="shared" ca="1" si="13"/>
        <v>0</v>
      </c>
      <c r="AW27" s="80">
        <f t="shared" ca="1" si="13"/>
        <v>0</v>
      </c>
      <c r="AX27" s="80">
        <f t="shared" ca="1" si="13"/>
        <v>0</v>
      </c>
      <c r="AY27" s="80">
        <f t="shared" ca="1" si="13"/>
        <v>0</v>
      </c>
      <c r="AZ27" s="80">
        <f t="shared" ca="1" si="13"/>
        <v>0</v>
      </c>
      <c r="BA27" s="80">
        <f t="shared" ca="1" si="13"/>
        <v>0</v>
      </c>
      <c r="BB27" s="81">
        <f t="shared" ca="1" si="13"/>
        <v>0</v>
      </c>
      <c r="BD27" s="12" t="str">
        <f t="shared" si="9"/>
        <v>0x102E</v>
      </c>
      <c r="BE27" s="12" t="str">
        <f t="shared" ca="1" si="10"/>
        <v>0000000000000000</v>
      </c>
      <c r="BG27" s="53" t="str">
        <f t="shared" ca="1" si="11"/>
        <v>`define EE_C1 11</v>
      </c>
    </row>
    <row r="28" spans="1:59">
      <c r="A28" s="82" t="s">
        <v>291</v>
      </c>
      <c r="B28" s="82">
        <v>48</v>
      </c>
      <c r="C28" s="82">
        <v>12</v>
      </c>
      <c r="D28" s="83">
        <f ca="1">SUMIF('NVRAM map'!$AF$3:$AF$319,A28,'NVRAM map'!$AN$3:$AN$319)</f>
        <v>32726</v>
      </c>
      <c r="E28" s="84" t="str">
        <f t="shared" ca="1" si="0"/>
        <v>7FD6</v>
      </c>
      <c r="F28" s="85" t="str">
        <f t="shared" ca="1" si="12"/>
        <v>7FD6</v>
      </c>
      <c r="G28" s="86" t="str">
        <f ca="1">VLOOKUP(MemoryView!A28,'NVRAM map'!$AD$3:$AE$319,2,0)</f>
        <v>EE_TINT_T0</v>
      </c>
      <c r="H28" s="87" t="str">
        <f t="array" aca="1" ref="H28" ca="1">IF(ISNA(INDEX('NVRAM map'!$AF$3:$AG$319,MATCH(1,('NVRAM map'!$AF$3:$AF$319=$A28)*('NVRAM map'!$AI$3:$AI$319&gt;=H$3)*('NVRAM map'!$AJ$3:$AJ$319&lt;=H$3),0),2)),"-",INDEX('NVRAM map'!$AF$3:$AG$319,MATCH(1,('NVRAM map'!$AF$3:$AF$319=$A28)*('NVRAM map'!$AI$3:$AI$319&gt;=H$3)*('NVRAM map'!$AJ$3:$AJ$319&lt;=H$3),0),2))</f>
        <v>TINT_T0</v>
      </c>
      <c r="I28" s="87" t="str">
        <f t="array" aca="1" ref="I28" ca="1">IF(ISNA(INDEX('NVRAM map'!$AF$3:$AG$319,MATCH(1,('NVRAM map'!$AF$3:$AF$319=$A28)*('NVRAM map'!$AI$3:$AI$319&gt;=I$3)*('NVRAM map'!$AJ$3:$AJ$319&lt;=I$3),0),2)),"-",INDEX('NVRAM map'!$AF$3:$AG$319,MATCH(1,('NVRAM map'!$AF$3:$AF$319=$A28)*('NVRAM map'!$AI$3:$AI$319&gt;=I$3)*('NVRAM map'!$AJ$3:$AJ$319&lt;=I$3),0),2))</f>
        <v>TINT_T0</v>
      </c>
      <c r="J28" s="87" t="str">
        <f t="array" aca="1" ref="J28" ca="1">IF(ISNA(INDEX('NVRAM map'!$AF$3:$AG$319,MATCH(1,('NVRAM map'!$AF$3:$AF$319=$A28)*('NVRAM map'!$AI$3:$AI$319&gt;=J$3)*('NVRAM map'!$AJ$3:$AJ$319&lt;=J$3),0),2)),"-",INDEX('NVRAM map'!$AF$3:$AG$319,MATCH(1,('NVRAM map'!$AF$3:$AF$319=$A28)*('NVRAM map'!$AI$3:$AI$319&gt;=J$3)*('NVRAM map'!$AJ$3:$AJ$319&lt;=J$3),0),2))</f>
        <v>TINT_T0</v>
      </c>
      <c r="K28" s="87" t="str">
        <f t="array" aca="1" ref="K28" ca="1">IF(ISNA(INDEX('NVRAM map'!$AF$3:$AG$319,MATCH(1,('NVRAM map'!$AF$3:$AF$319=$A28)*('NVRAM map'!$AI$3:$AI$319&gt;=K$3)*('NVRAM map'!$AJ$3:$AJ$319&lt;=K$3),0),2)),"-",INDEX('NVRAM map'!$AF$3:$AG$319,MATCH(1,('NVRAM map'!$AF$3:$AF$319=$A28)*('NVRAM map'!$AI$3:$AI$319&gt;=K$3)*('NVRAM map'!$AJ$3:$AJ$319&lt;=K$3),0),2))</f>
        <v>TINT_T0</v>
      </c>
      <c r="L28" s="87" t="str">
        <f t="array" aca="1" ref="L28" ca="1">IF(ISNA(INDEX('NVRAM map'!$AF$3:$AG$319,MATCH(1,('NVRAM map'!$AF$3:$AF$319=$A28)*('NVRAM map'!$AI$3:$AI$319&gt;=L$3)*('NVRAM map'!$AJ$3:$AJ$319&lt;=L$3),0),2)),"-",INDEX('NVRAM map'!$AF$3:$AG$319,MATCH(1,('NVRAM map'!$AF$3:$AF$319=$A28)*('NVRAM map'!$AI$3:$AI$319&gt;=L$3)*('NVRAM map'!$AJ$3:$AJ$319&lt;=L$3),0),2))</f>
        <v>TINT_T0</v>
      </c>
      <c r="M28" s="87" t="str">
        <f t="array" aca="1" ref="M28" ca="1">IF(ISNA(INDEX('NVRAM map'!$AF$3:$AG$319,MATCH(1,('NVRAM map'!$AF$3:$AF$319=$A28)*('NVRAM map'!$AI$3:$AI$319&gt;=M$3)*('NVRAM map'!$AJ$3:$AJ$319&lt;=M$3),0),2)),"-",INDEX('NVRAM map'!$AF$3:$AG$319,MATCH(1,('NVRAM map'!$AF$3:$AF$319=$A28)*('NVRAM map'!$AI$3:$AI$319&gt;=M$3)*('NVRAM map'!$AJ$3:$AJ$319&lt;=M$3),0),2))</f>
        <v>TINT_T0</v>
      </c>
      <c r="N28" s="87" t="str">
        <f t="array" aca="1" ref="N28" ca="1">IF(ISNA(INDEX('NVRAM map'!$AF$3:$AG$319,MATCH(1,('NVRAM map'!$AF$3:$AF$319=$A28)*('NVRAM map'!$AI$3:$AI$319&gt;=N$3)*('NVRAM map'!$AJ$3:$AJ$319&lt;=N$3),0),2)),"-",INDEX('NVRAM map'!$AF$3:$AG$319,MATCH(1,('NVRAM map'!$AF$3:$AF$319=$A28)*('NVRAM map'!$AI$3:$AI$319&gt;=N$3)*('NVRAM map'!$AJ$3:$AJ$319&lt;=N$3),0),2))</f>
        <v>TINT_T0</v>
      </c>
      <c r="O28" s="87" t="str">
        <f t="array" aca="1" ref="O28" ca="1">IF(ISNA(INDEX('NVRAM map'!$AF$3:$AG$319,MATCH(1,('NVRAM map'!$AF$3:$AF$319=$A28)*('NVRAM map'!$AI$3:$AI$319&gt;=O$3)*('NVRAM map'!$AJ$3:$AJ$319&lt;=O$3),0),2)),"-",INDEX('NVRAM map'!$AF$3:$AG$319,MATCH(1,('NVRAM map'!$AF$3:$AF$319=$A28)*('NVRAM map'!$AI$3:$AI$319&gt;=O$3)*('NVRAM map'!$AJ$3:$AJ$319&lt;=O$3),0),2))</f>
        <v>TINT_T0</v>
      </c>
      <c r="P28" s="87" t="str">
        <f t="array" aca="1" ref="P28" ca="1">IF(ISNA(INDEX('NVRAM map'!$AF$3:$AG$319,MATCH(1,('NVRAM map'!$AF$3:$AF$319=$A28)*('NVRAM map'!$AI$3:$AI$319&gt;=P$3)*('NVRAM map'!$AJ$3:$AJ$319&lt;=P$3),0),2)),"-",INDEX('NVRAM map'!$AF$3:$AG$319,MATCH(1,('NVRAM map'!$AF$3:$AF$319=$A28)*('NVRAM map'!$AI$3:$AI$319&gt;=P$3)*('NVRAM map'!$AJ$3:$AJ$319&lt;=P$3),0),2))</f>
        <v>TINT_T0</v>
      </c>
      <c r="Q28" s="87" t="str">
        <f t="array" aca="1" ref="Q28" ca="1">IF(ISNA(INDEX('NVRAM map'!$AF$3:$AG$319,MATCH(1,('NVRAM map'!$AF$3:$AF$319=$A28)*('NVRAM map'!$AI$3:$AI$319&gt;=Q$3)*('NVRAM map'!$AJ$3:$AJ$319&lt;=Q$3),0),2)),"-",INDEX('NVRAM map'!$AF$3:$AG$319,MATCH(1,('NVRAM map'!$AF$3:$AF$319=$A28)*('NVRAM map'!$AI$3:$AI$319&gt;=Q$3)*('NVRAM map'!$AJ$3:$AJ$319&lt;=Q$3),0),2))</f>
        <v>TINT_T0</v>
      </c>
      <c r="R28" s="87" t="str">
        <f t="array" aca="1" ref="R28" ca="1">IF(ISNA(INDEX('NVRAM map'!$AF$3:$AG$319,MATCH(1,('NVRAM map'!$AF$3:$AF$319=$A28)*('NVRAM map'!$AI$3:$AI$319&gt;=R$3)*('NVRAM map'!$AJ$3:$AJ$319&lt;=R$3),0),2)),"-",INDEX('NVRAM map'!$AF$3:$AG$319,MATCH(1,('NVRAM map'!$AF$3:$AF$319=$A28)*('NVRAM map'!$AI$3:$AI$319&gt;=R$3)*('NVRAM map'!$AJ$3:$AJ$319&lt;=R$3),0),2))</f>
        <v>TINT_T0</v>
      </c>
      <c r="S28" s="87" t="str">
        <f t="array" aca="1" ref="S28" ca="1">IF(ISNA(INDEX('NVRAM map'!$AF$3:$AG$319,MATCH(1,('NVRAM map'!$AF$3:$AF$319=$A28)*('NVRAM map'!$AI$3:$AI$319&gt;=S$3)*('NVRAM map'!$AJ$3:$AJ$319&lt;=S$3),0),2)),"-",INDEX('NVRAM map'!$AF$3:$AG$319,MATCH(1,('NVRAM map'!$AF$3:$AF$319=$A28)*('NVRAM map'!$AI$3:$AI$319&gt;=S$3)*('NVRAM map'!$AJ$3:$AJ$319&lt;=S$3),0),2))</f>
        <v>TINT_T0</v>
      </c>
      <c r="T28" s="87" t="str">
        <f t="array" aca="1" ref="T28" ca="1">IF(ISNA(INDEX('NVRAM map'!$AF$3:$AG$319,MATCH(1,('NVRAM map'!$AF$3:$AF$319=$A28)*('NVRAM map'!$AI$3:$AI$319&gt;=T$3)*('NVRAM map'!$AJ$3:$AJ$319&lt;=T$3),0),2)),"-",INDEX('NVRAM map'!$AF$3:$AG$319,MATCH(1,('NVRAM map'!$AF$3:$AF$319=$A28)*('NVRAM map'!$AI$3:$AI$319&gt;=T$3)*('NVRAM map'!$AJ$3:$AJ$319&lt;=T$3),0),2))</f>
        <v>TINT_T0</v>
      </c>
      <c r="U28" s="87" t="str">
        <f t="array" aca="1" ref="U28" ca="1">IF(ISNA(INDEX('NVRAM map'!$AF$3:$AG$319,MATCH(1,('NVRAM map'!$AF$3:$AF$319=$A28)*('NVRAM map'!$AI$3:$AI$319&gt;=U$3)*('NVRAM map'!$AJ$3:$AJ$319&lt;=U$3),0),2)),"-",INDEX('NVRAM map'!$AF$3:$AG$319,MATCH(1,('NVRAM map'!$AF$3:$AF$319=$A28)*('NVRAM map'!$AI$3:$AI$319&gt;=U$3)*('NVRAM map'!$AJ$3:$AJ$319&lt;=U$3),0),2))</f>
        <v>TINT_T0</v>
      </c>
      <c r="V28" s="87" t="str">
        <f t="array" aca="1" ref="V28" ca="1">IF(ISNA(INDEX('NVRAM map'!$AF$3:$AG$319,MATCH(1,('NVRAM map'!$AF$3:$AF$319=$A28)*('NVRAM map'!$AI$3:$AI$319&gt;=V$3)*('NVRAM map'!$AJ$3:$AJ$319&lt;=V$3),0),2)),"-",INDEX('NVRAM map'!$AF$3:$AG$319,MATCH(1,('NVRAM map'!$AF$3:$AF$319=$A28)*('NVRAM map'!$AI$3:$AI$319&gt;=V$3)*('NVRAM map'!$AJ$3:$AJ$319&lt;=V$3),0),2))</f>
        <v>TINT_T0</v>
      </c>
      <c r="W28" s="87" t="str">
        <f t="array" aca="1" ref="W28" ca="1">IF(ISNA(INDEX('NVRAM map'!$AF$3:$AG$319,MATCH(1,('NVRAM map'!$AF$3:$AF$319=$A28)*('NVRAM map'!$AI$3:$AI$319&gt;=W$3)*('NVRAM map'!$AJ$3:$AJ$319&lt;=W$3),0),2)),"-",INDEX('NVRAM map'!$AF$3:$AG$319,MATCH(1,('NVRAM map'!$AF$3:$AF$319=$A28)*('NVRAM map'!$AI$3:$AI$319&gt;=W$3)*('NVRAM map'!$AJ$3:$AJ$319&lt;=W$3),0),2))</f>
        <v>TINT_T0</v>
      </c>
      <c r="X28" s="88" t="str">
        <f ca="1">INDEX('NVRAM map'!$B$3:$B$319,MATCH(A28,'NVRAM map'!$E$3:$E$319,0))</f>
        <v>CUST</v>
      </c>
      <c r="AB28" s="44">
        <f t="shared" ca="1" si="2"/>
        <v>341</v>
      </c>
      <c r="AC28" s="12" t="b">
        <f ca="1">COUNTIF('NVRAM map'!$AD$3:$AE$319,A28)&lt;2</f>
        <v>1</v>
      </c>
      <c r="AD28" s="12">
        <f ca="1">SUMIF('NVRAM map'!$AF$3:$AF$319,A28,'NVRAM map'!$AK$3:$AK$319)</f>
        <v>65535</v>
      </c>
      <c r="AE28" s="12" t="str">
        <f t="shared" ca="1" si="3"/>
        <v>FFFF</v>
      </c>
      <c r="AF28" s="12" t="str">
        <f t="shared" ca="1" si="4"/>
        <v>11111111</v>
      </c>
      <c r="AG28" s="12" t="str">
        <f t="shared" ca="1" si="5"/>
        <v>11111111</v>
      </c>
      <c r="AH28" s="12">
        <f t="shared" ca="1" si="6"/>
        <v>16</v>
      </c>
      <c r="AI28" s="12">
        <f ca="1">SUMIF('NVRAM map'!$AF$3:$AF$319,A28,'NVRAM map'!$AH$3:$AH$319)</f>
        <v>16</v>
      </c>
      <c r="AJ28" s="12" t="b">
        <f t="shared" ca="1" si="7"/>
        <v>1</v>
      </c>
      <c r="AK28" s="12">
        <f ca="1">COUNTIF('NVRAM map'!$AF$3:$AF$319,A28)</f>
        <v>1</v>
      </c>
      <c r="AM28" s="89">
        <v>0</v>
      </c>
      <c r="AN28" s="80">
        <f t="shared" ca="1" si="13"/>
        <v>0</v>
      </c>
      <c r="AO28" s="80">
        <f t="shared" ca="1" si="13"/>
        <v>0</v>
      </c>
      <c r="AP28" s="80">
        <f t="shared" ca="1" si="13"/>
        <v>0</v>
      </c>
      <c r="AQ28" s="80">
        <f t="shared" ca="1" si="13"/>
        <v>0</v>
      </c>
      <c r="AR28" s="80">
        <f t="shared" ca="1" si="13"/>
        <v>0</v>
      </c>
      <c r="AS28" s="80">
        <f t="shared" ca="1" si="13"/>
        <v>0</v>
      </c>
      <c r="AT28" s="80">
        <f t="shared" ca="1" si="13"/>
        <v>0</v>
      </c>
      <c r="AU28" s="80">
        <f t="shared" ca="1" si="13"/>
        <v>0</v>
      </c>
      <c r="AV28" s="80">
        <f t="shared" ca="1" si="13"/>
        <v>0</v>
      </c>
      <c r="AW28" s="80">
        <f t="shared" ca="1" si="13"/>
        <v>0</v>
      </c>
      <c r="AX28" s="80">
        <f t="shared" ca="1" si="13"/>
        <v>0</v>
      </c>
      <c r="AY28" s="80">
        <f t="shared" ca="1" si="13"/>
        <v>0</v>
      </c>
      <c r="AZ28" s="80">
        <f t="shared" ca="1" si="13"/>
        <v>0</v>
      </c>
      <c r="BA28" s="80">
        <f t="shared" ca="1" si="13"/>
        <v>0</v>
      </c>
      <c r="BB28" s="81">
        <f t="shared" ca="1" si="13"/>
        <v>0</v>
      </c>
      <c r="BD28" s="12" t="str">
        <f t="shared" si="9"/>
        <v>0x1030</v>
      </c>
      <c r="BE28" s="12" t="str">
        <f t="shared" ca="1" si="10"/>
        <v>0111111111010110</v>
      </c>
      <c r="BG28" s="53" t="str">
        <f t="shared" ca="1" si="11"/>
        <v>`define EE_TINT_T0 12</v>
      </c>
    </row>
    <row r="29" spans="1:59">
      <c r="A29" s="82" t="s">
        <v>292</v>
      </c>
      <c r="B29" s="82">
        <v>50</v>
      </c>
      <c r="C29" s="82">
        <v>12</v>
      </c>
      <c r="D29" s="83">
        <f ca="1">SUMIF('NVRAM map'!$AF$3:$AF$319,A29,'NVRAM map'!$AN$3:$AN$319)</f>
        <v>1707</v>
      </c>
      <c r="E29" s="84" t="str">
        <f t="shared" ca="1" si="0"/>
        <v>06AB</v>
      </c>
      <c r="F29" s="85" t="str">
        <f t="shared" ca="1" si="12"/>
        <v>06AB</v>
      </c>
      <c r="G29" s="86" t="str">
        <f ca="1">VLOOKUP(MemoryView!A29,'NVRAM map'!$AD$3:$AE$319,2,0)</f>
        <v>EE_TDEV_D0</v>
      </c>
      <c r="H29" s="87" t="str">
        <f t="array" aca="1" ref="H29" ca="1">IF(ISNA(INDEX('NVRAM map'!$AF$3:$AG$319,MATCH(1,('NVRAM map'!$AF$3:$AF$319=$A29)*('NVRAM map'!$AI$3:$AI$319&gt;=H$3)*('NVRAM map'!$AJ$3:$AJ$319&lt;=H$3),0),2)),"-",INDEX('NVRAM map'!$AF$3:$AG$319,MATCH(1,('NVRAM map'!$AF$3:$AF$319=$A29)*('NVRAM map'!$AI$3:$AI$319&gt;=H$3)*('NVRAM map'!$AJ$3:$AJ$319&lt;=H$3),0),2))</f>
        <v>TDEV_D0</v>
      </c>
      <c r="I29" s="87" t="str">
        <f t="array" aca="1" ref="I29" ca="1">IF(ISNA(INDEX('NVRAM map'!$AF$3:$AG$319,MATCH(1,('NVRAM map'!$AF$3:$AF$319=$A29)*('NVRAM map'!$AI$3:$AI$319&gt;=I$3)*('NVRAM map'!$AJ$3:$AJ$319&lt;=I$3),0),2)),"-",INDEX('NVRAM map'!$AF$3:$AG$319,MATCH(1,('NVRAM map'!$AF$3:$AF$319=$A29)*('NVRAM map'!$AI$3:$AI$319&gt;=I$3)*('NVRAM map'!$AJ$3:$AJ$319&lt;=I$3),0),2))</f>
        <v>TDEV_D0</v>
      </c>
      <c r="J29" s="87" t="str">
        <f t="array" aca="1" ref="J29" ca="1">IF(ISNA(INDEX('NVRAM map'!$AF$3:$AG$319,MATCH(1,('NVRAM map'!$AF$3:$AF$319=$A29)*('NVRAM map'!$AI$3:$AI$319&gt;=J$3)*('NVRAM map'!$AJ$3:$AJ$319&lt;=J$3),0),2)),"-",INDEX('NVRAM map'!$AF$3:$AG$319,MATCH(1,('NVRAM map'!$AF$3:$AF$319=$A29)*('NVRAM map'!$AI$3:$AI$319&gt;=J$3)*('NVRAM map'!$AJ$3:$AJ$319&lt;=J$3),0),2))</f>
        <v>TDEV_D0</v>
      </c>
      <c r="K29" s="87" t="str">
        <f t="array" aca="1" ref="K29" ca="1">IF(ISNA(INDEX('NVRAM map'!$AF$3:$AG$319,MATCH(1,('NVRAM map'!$AF$3:$AF$319=$A29)*('NVRAM map'!$AI$3:$AI$319&gt;=K$3)*('NVRAM map'!$AJ$3:$AJ$319&lt;=K$3),0),2)),"-",INDEX('NVRAM map'!$AF$3:$AG$319,MATCH(1,('NVRAM map'!$AF$3:$AF$319=$A29)*('NVRAM map'!$AI$3:$AI$319&gt;=K$3)*('NVRAM map'!$AJ$3:$AJ$319&lt;=K$3),0),2))</f>
        <v>TDEV_D0</v>
      </c>
      <c r="L29" s="87" t="str">
        <f t="array" aca="1" ref="L29" ca="1">IF(ISNA(INDEX('NVRAM map'!$AF$3:$AG$319,MATCH(1,('NVRAM map'!$AF$3:$AF$319=$A29)*('NVRAM map'!$AI$3:$AI$319&gt;=L$3)*('NVRAM map'!$AJ$3:$AJ$319&lt;=L$3),0),2)),"-",INDEX('NVRAM map'!$AF$3:$AG$319,MATCH(1,('NVRAM map'!$AF$3:$AF$319=$A29)*('NVRAM map'!$AI$3:$AI$319&gt;=L$3)*('NVRAM map'!$AJ$3:$AJ$319&lt;=L$3),0),2))</f>
        <v>TDEV_D0</v>
      </c>
      <c r="M29" s="87" t="str">
        <f t="array" aca="1" ref="M29" ca="1">IF(ISNA(INDEX('NVRAM map'!$AF$3:$AG$319,MATCH(1,('NVRAM map'!$AF$3:$AF$319=$A29)*('NVRAM map'!$AI$3:$AI$319&gt;=M$3)*('NVRAM map'!$AJ$3:$AJ$319&lt;=M$3),0),2)),"-",INDEX('NVRAM map'!$AF$3:$AG$319,MATCH(1,('NVRAM map'!$AF$3:$AF$319=$A29)*('NVRAM map'!$AI$3:$AI$319&gt;=M$3)*('NVRAM map'!$AJ$3:$AJ$319&lt;=M$3),0),2))</f>
        <v>TDEV_D0</v>
      </c>
      <c r="N29" s="87" t="str">
        <f t="array" aca="1" ref="N29" ca="1">IF(ISNA(INDEX('NVRAM map'!$AF$3:$AG$319,MATCH(1,('NVRAM map'!$AF$3:$AF$319=$A29)*('NVRAM map'!$AI$3:$AI$319&gt;=N$3)*('NVRAM map'!$AJ$3:$AJ$319&lt;=N$3),0),2)),"-",INDEX('NVRAM map'!$AF$3:$AG$319,MATCH(1,('NVRAM map'!$AF$3:$AF$319=$A29)*('NVRAM map'!$AI$3:$AI$319&gt;=N$3)*('NVRAM map'!$AJ$3:$AJ$319&lt;=N$3),0),2))</f>
        <v>TDEV_D0</v>
      </c>
      <c r="O29" s="87" t="str">
        <f t="array" aca="1" ref="O29" ca="1">IF(ISNA(INDEX('NVRAM map'!$AF$3:$AG$319,MATCH(1,('NVRAM map'!$AF$3:$AF$319=$A29)*('NVRAM map'!$AI$3:$AI$319&gt;=O$3)*('NVRAM map'!$AJ$3:$AJ$319&lt;=O$3),0),2)),"-",INDEX('NVRAM map'!$AF$3:$AG$319,MATCH(1,('NVRAM map'!$AF$3:$AF$319=$A29)*('NVRAM map'!$AI$3:$AI$319&gt;=O$3)*('NVRAM map'!$AJ$3:$AJ$319&lt;=O$3),0),2))</f>
        <v>TDEV_D0</v>
      </c>
      <c r="P29" s="87" t="str">
        <f t="array" aca="1" ref="P29" ca="1">IF(ISNA(INDEX('NVRAM map'!$AF$3:$AG$319,MATCH(1,('NVRAM map'!$AF$3:$AF$319=$A29)*('NVRAM map'!$AI$3:$AI$319&gt;=P$3)*('NVRAM map'!$AJ$3:$AJ$319&lt;=P$3),0),2)),"-",INDEX('NVRAM map'!$AF$3:$AG$319,MATCH(1,('NVRAM map'!$AF$3:$AF$319=$A29)*('NVRAM map'!$AI$3:$AI$319&gt;=P$3)*('NVRAM map'!$AJ$3:$AJ$319&lt;=P$3),0),2))</f>
        <v>TDEV_D0</v>
      </c>
      <c r="Q29" s="87" t="str">
        <f t="array" aca="1" ref="Q29" ca="1">IF(ISNA(INDEX('NVRAM map'!$AF$3:$AG$319,MATCH(1,('NVRAM map'!$AF$3:$AF$319=$A29)*('NVRAM map'!$AI$3:$AI$319&gt;=Q$3)*('NVRAM map'!$AJ$3:$AJ$319&lt;=Q$3),0),2)),"-",INDEX('NVRAM map'!$AF$3:$AG$319,MATCH(1,('NVRAM map'!$AF$3:$AF$319=$A29)*('NVRAM map'!$AI$3:$AI$319&gt;=Q$3)*('NVRAM map'!$AJ$3:$AJ$319&lt;=Q$3),0),2))</f>
        <v>TDEV_D0</v>
      </c>
      <c r="R29" s="87" t="str">
        <f t="array" aca="1" ref="R29" ca="1">IF(ISNA(INDEX('NVRAM map'!$AF$3:$AG$319,MATCH(1,('NVRAM map'!$AF$3:$AF$319=$A29)*('NVRAM map'!$AI$3:$AI$319&gt;=R$3)*('NVRAM map'!$AJ$3:$AJ$319&lt;=R$3),0),2)),"-",INDEX('NVRAM map'!$AF$3:$AG$319,MATCH(1,('NVRAM map'!$AF$3:$AF$319=$A29)*('NVRAM map'!$AI$3:$AI$319&gt;=R$3)*('NVRAM map'!$AJ$3:$AJ$319&lt;=R$3),0),2))</f>
        <v>TDEV_D0</v>
      </c>
      <c r="S29" s="87" t="str">
        <f t="array" aca="1" ref="S29" ca="1">IF(ISNA(INDEX('NVRAM map'!$AF$3:$AG$319,MATCH(1,('NVRAM map'!$AF$3:$AF$319=$A29)*('NVRAM map'!$AI$3:$AI$319&gt;=S$3)*('NVRAM map'!$AJ$3:$AJ$319&lt;=S$3),0),2)),"-",INDEX('NVRAM map'!$AF$3:$AG$319,MATCH(1,('NVRAM map'!$AF$3:$AF$319=$A29)*('NVRAM map'!$AI$3:$AI$319&gt;=S$3)*('NVRAM map'!$AJ$3:$AJ$319&lt;=S$3),0),2))</f>
        <v>TDEV_D0</v>
      </c>
      <c r="T29" s="87" t="str">
        <f t="array" aca="1" ref="T29" ca="1">IF(ISNA(INDEX('NVRAM map'!$AF$3:$AG$319,MATCH(1,('NVRAM map'!$AF$3:$AF$319=$A29)*('NVRAM map'!$AI$3:$AI$319&gt;=T$3)*('NVRAM map'!$AJ$3:$AJ$319&lt;=T$3),0),2)),"-",INDEX('NVRAM map'!$AF$3:$AG$319,MATCH(1,('NVRAM map'!$AF$3:$AF$319=$A29)*('NVRAM map'!$AI$3:$AI$319&gt;=T$3)*('NVRAM map'!$AJ$3:$AJ$319&lt;=T$3),0),2))</f>
        <v>TDEV_D0</v>
      </c>
      <c r="U29" s="87" t="str">
        <f t="array" aca="1" ref="U29" ca="1">IF(ISNA(INDEX('NVRAM map'!$AF$3:$AG$319,MATCH(1,('NVRAM map'!$AF$3:$AF$319=$A29)*('NVRAM map'!$AI$3:$AI$319&gt;=U$3)*('NVRAM map'!$AJ$3:$AJ$319&lt;=U$3),0),2)),"-",INDEX('NVRAM map'!$AF$3:$AG$319,MATCH(1,('NVRAM map'!$AF$3:$AF$319=$A29)*('NVRAM map'!$AI$3:$AI$319&gt;=U$3)*('NVRAM map'!$AJ$3:$AJ$319&lt;=U$3),0),2))</f>
        <v>TDEV_D0</v>
      </c>
      <c r="V29" s="87" t="str">
        <f t="array" aca="1" ref="V29" ca="1">IF(ISNA(INDEX('NVRAM map'!$AF$3:$AG$319,MATCH(1,('NVRAM map'!$AF$3:$AF$319=$A29)*('NVRAM map'!$AI$3:$AI$319&gt;=V$3)*('NVRAM map'!$AJ$3:$AJ$319&lt;=V$3),0),2)),"-",INDEX('NVRAM map'!$AF$3:$AG$319,MATCH(1,('NVRAM map'!$AF$3:$AF$319=$A29)*('NVRAM map'!$AI$3:$AI$319&gt;=V$3)*('NVRAM map'!$AJ$3:$AJ$319&lt;=V$3),0),2))</f>
        <v>TDEV_D0</v>
      </c>
      <c r="W29" s="87" t="str">
        <f t="array" aca="1" ref="W29" ca="1">IF(ISNA(INDEX('NVRAM map'!$AF$3:$AG$319,MATCH(1,('NVRAM map'!$AF$3:$AF$319=$A29)*('NVRAM map'!$AI$3:$AI$319&gt;=W$3)*('NVRAM map'!$AJ$3:$AJ$319&lt;=W$3),0),2)),"-",INDEX('NVRAM map'!$AF$3:$AG$319,MATCH(1,('NVRAM map'!$AF$3:$AF$319=$A29)*('NVRAM map'!$AI$3:$AI$319&gt;=W$3)*('NVRAM map'!$AJ$3:$AJ$319&lt;=W$3),0),2))</f>
        <v>TDEV_D0</v>
      </c>
      <c r="X29" s="88" t="str">
        <f ca="1">INDEX('NVRAM map'!$B$3:$B$319,MATCH(A29,'NVRAM map'!$E$3:$E$319,0))</f>
        <v>CUST</v>
      </c>
      <c r="AB29" s="44">
        <f t="shared" ca="1" si="2"/>
        <v>177</v>
      </c>
      <c r="AC29" s="12" t="b">
        <f ca="1">COUNTIF('NVRAM map'!$AD$3:$AE$319,A29)&lt;2</f>
        <v>1</v>
      </c>
      <c r="AD29" s="12">
        <f ca="1">SUMIF('NVRAM map'!$AF$3:$AF$319,A29,'NVRAM map'!$AK$3:$AK$319)</f>
        <v>65535</v>
      </c>
      <c r="AE29" s="12" t="str">
        <f t="shared" ca="1" si="3"/>
        <v>FFFF</v>
      </c>
      <c r="AF29" s="12" t="str">
        <f t="shared" ca="1" si="4"/>
        <v>11111111</v>
      </c>
      <c r="AG29" s="12" t="str">
        <f t="shared" ca="1" si="5"/>
        <v>11111111</v>
      </c>
      <c r="AH29" s="12">
        <f t="shared" ca="1" si="6"/>
        <v>16</v>
      </c>
      <c r="AI29" s="12">
        <f ca="1">SUMIF('NVRAM map'!$AF$3:$AF$319,A29,'NVRAM map'!$AH$3:$AH$319)</f>
        <v>16</v>
      </c>
      <c r="AJ29" s="12" t="b">
        <f t="shared" ca="1" si="7"/>
        <v>1</v>
      </c>
      <c r="AK29" s="12">
        <f ca="1">COUNTIF('NVRAM map'!$AF$3:$AF$319,A29)</f>
        <v>1</v>
      </c>
      <c r="AM29" s="89">
        <v>0</v>
      </c>
      <c r="AN29" s="80">
        <f t="shared" ca="1" si="13"/>
        <v>0</v>
      </c>
      <c r="AO29" s="80">
        <f t="shared" ca="1" si="13"/>
        <v>0</v>
      </c>
      <c r="AP29" s="80">
        <f t="shared" ca="1" si="13"/>
        <v>0</v>
      </c>
      <c r="AQ29" s="80">
        <f t="shared" ca="1" si="13"/>
        <v>0</v>
      </c>
      <c r="AR29" s="80">
        <f t="shared" ca="1" si="13"/>
        <v>0</v>
      </c>
      <c r="AS29" s="80">
        <f t="shared" ca="1" si="13"/>
        <v>0</v>
      </c>
      <c r="AT29" s="80">
        <f t="shared" ca="1" si="13"/>
        <v>0</v>
      </c>
      <c r="AU29" s="80">
        <f t="shared" ca="1" si="13"/>
        <v>0</v>
      </c>
      <c r="AV29" s="80">
        <f t="shared" ca="1" si="13"/>
        <v>0</v>
      </c>
      <c r="AW29" s="80">
        <f t="shared" ca="1" si="13"/>
        <v>0</v>
      </c>
      <c r="AX29" s="80">
        <f t="shared" ca="1" si="13"/>
        <v>0</v>
      </c>
      <c r="AY29" s="80">
        <f t="shared" ca="1" si="13"/>
        <v>0</v>
      </c>
      <c r="AZ29" s="80">
        <f t="shared" ca="1" si="13"/>
        <v>0</v>
      </c>
      <c r="BA29" s="80">
        <f t="shared" ca="1" si="13"/>
        <v>0</v>
      </c>
      <c r="BB29" s="81">
        <f t="shared" ca="1" si="13"/>
        <v>0</v>
      </c>
      <c r="BD29" s="12" t="str">
        <f t="shared" si="9"/>
        <v>0x1032</v>
      </c>
      <c r="BE29" s="12" t="str">
        <f t="shared" ca="1" si="10"/>
        <v>0000011010101011</v>
      </c>
      <c r="BG29" s="53" t="str">
        <f t="shared" ca="1" si="11"/>
        <v>`define EE_TDEV_D0 12</v>
      </c>
    </row>
    <row r="30" spans="1:59">
      <c r="A30" s="82" t="s">
        <v>293</v>
      </c>
      <c r="B30" s="82">
        <v>52</v>
      </c>
      <c r="C30" s="82">
        <v>13</v>
      </c>
      <c r="D30" s="83">
        <f ca="1">SUMIF('NVRAM map'!$AF$3:$AF$319,A30,'NVRAM map'!$AN$3:$AN$319)</f>
        <v>6082</v>
      </c>
      <c r="E30" s="84" t="str">
        <f t="shared" ca="1" si="0"/>
        <v>17C2</v>
      </c>
      <c r="F30" s="85" t="str">
        <f t="shared" ca="1" si="12"/>
        <v>17C2</v>
      </c>
      <c r="G30" s="86" t="str">
        <f ca="1">VLOOKUP(MemoryView!A30,'NVRAM map'!$AD$3:$AE$319,2,0)</f>
        <v>EE_TDEV_D1</v>
      </c>
      <c r="H30" s="87" t="str">
        <f t="array" aca="1" ref="H30" ca="1">IF(ISNA(INDEX('NVRAM map'!$AF$3:$AG$319,MATCH(1,('NVRAM map'!$AF$3:$AF$319=$A30)*('NVRAM map'!$AI$3:$AI$319&gt;=H$3)*('NVRAM map'!$AJ$3:$AJ$319&lt;=H$3),0),2)),"-",INDEX('NVRAM map'!$AF$3:$AG$319,MATCH(1,('NVRAM map'!$AF$3:$AF$319=$A30)*('NVRAM map'!$AI$3:$AI$319&gt;=H$3)*('NVRAM map'!$AJ$3:$AJ$319&lt;=H$3),0),2))</f>
        <v>TDEV_D1</v>
      </c>
      <c r="I30" s="87" t="str">
        <f t="array" aca="1" ref="I30" ca="1">IF(ISNA(INDEX('NVRAM map'!$AF$3:$AG$319,MATCH(1,('NVRAM map'!$AF$3:$AF$319=$A30)*('NVRAM map'!$AI$3:$AI$319&gt;=I$3)*('NVRAM map'!$AJ$3:$AJ$319&lt;=I$3),0),2)),"-",INDEX('NVRAM map'!$AF$3:$AG$319,MATCH(1,('NVRAM map'!$AF$3:$AF$319=$A30)*('NVRAM map'!$AI$3:$AI$319&gt;=I$3)*('NVRAM map'!$AJ$3:$AJ$319&lt;=I$3),0),2))</f>
        <v>TDEV_D1</v>
      </c>
      <c r="J30" s="87" t="str">
        <f t="array" aca="1" ref="J30" ca="1">IF(ISNA(INDEX('NVRAM map'!$AF$3:$AG$319,MATCH(1,('NVRAM map'!$AF$3:$AF$319=$A30)*('NVRAM map'!$AI$3:$AI$319&gt;=J$3)*('NVRAM map'!$AJ$3:$AJ$319&lt;=J$3),0),2)),"-",INDEX('NVRAM map'!$AF$3:$AG$319,MATCH(1,('NVRAM map'!$AF$3:$AF$319=$A30)*('NVRAM map'!$AI$3:$AI$319&gt;=J$3)*('NVRAM map'!$AJ$3:$AJ$319&lt;=J$3),0),2))</f>
        <v>TDEV_D1</v>
      </c>
      <c r="K30" s="87" t="str">
        <f t="array" aca="1" ref="K30" ca="1">IF(ISNA(INDEX('NVRAM map'!$AF$3:$AG$319,MATCH(1,('NVRAM map'!$AF$3:$AF$319=$A30)*('NVRAM map'!$AI$3:$AI$319&gt;=K$3)*('NVRAM map'!$AJ$3:$AJ$319&lt;=K$3),0),2)),"-",INDEX('NVRAM map'!$AF$3:$AG$319,MATCH(1,('NVRAM map'!$AF$3:$AF$319=$A30)*('NVRAM map'!$AI$3:$AI$319&gt;=K$3)*('NVRAM map'!$AJ$3:$AJ$319&lt;=K$3),0),2))</f>
        <v>TDEV_D1</v>
      </c>
      <c r="L30" s="87" t="str">
        <f t="array" aca="1" ref="L30" ca="1">IF(ISNA(INDEX('NVRAM map'!$AF$3:$AG$319,MATCH(1,('NVRAM map'!$AF$3:$AF$319=$A30)*('NVRAM map'!$AI$3:$AI$319&gt;=L$3)*('NVRAM map'!$AJ$3:$AJ$319&lt;=L$3),0),2)),"-",INDEX('NVRAM map'!$AF$3:$AG$319,MATCH(1,('NVRAM map'!$AF$3:$AF$319=$A30)*('NVRAM map'!$AI$3:$AI$319&gt;=L$3)*('NVRAM map'!$AJ$3:$AJ$319&lt;=L$3),0),2))</f>
        <v>TDEV_D1</v>
      </c>
      <c r="M30" s="87" t="str">
        <f t="array" aca="1" ref="M30" ca="1">IF(ISNA(INDEX('NVRAM map'!$AF$3:$AG$319,MATCH(1,('NVRAM map'!$AF$3:$AF$319=$A30)*('NVRAM map'!$AI$3:$AI$319&gt;=M$3)*('NVRAM map'!$AJ$3:$AJ$319&lt;=M$3),0),2)),"-",INDEX('NVRAM map'!$AF$3:$AG$319,MATCH(1,('NVRAM map'!$AF$3:$AF$319=$A30)*('NVRAM map'!$AI$3:$AI$319&gt;=M$3)*('NVRAM map'!$AJ$3:$AJ$319&lt;=M$3),0),2))</f>
        <v>TDEV_D1</v>
      </c>
      <c r="N30" s="87" t="str">
        <f t="array" aca="1" ref="N30" ca="1">IF(ISNA(INDEX('NVRAM map'!$AF$3:$AG$319,MATCH(1,('NVRAM map'!$AF$3:$AF$319=$A30)*('NVRAM map'!$AI$3:$AI$319&gt;=N$3)*('NVRAM map'!$AJ$3:$AJ$319&lt;=N$3),0),2)),"-",INDEX('NVRAM map'!$AF$3:$AG$319,MATCH(1,('NVRAM map'!$AF$3:$AF$319=$A30)*('NVRAM map'!$AI$3:$AI$319&gt;=N$3)*('NVRAM map'!$AJ$3:$AJ$319&lt;=N$3),0),2))</f>
        <v>TDEV_D1</v>
      </c>
      <c r="O30" s="87" t="str">
        <f t="array" aca="1" ref="O30" ca="1">IF(ISNA(INDEX('NVRAM map'!$AF$3:$AG$319,MATCH(1,('NVRAM map'!$AF$3:$AF$319=$A30)*('NVRAM map'!$AI$3:$AI$319&gt;=O$3)*('NVRAM map'!$AJ$3:$AJ$319&lt;=O$3),0),2)),"-",INDEX('NVRAM map'!$AF$3:$AG$319,MATCH(1,('NVRAM map'!$AF$3:$AF$319=$A30)*('NVRAM map'!$AI$3:$AI$319&gt;=O$3)*('NVRAM map'!$AJ$3:$AJ$319&lt;=O$3),0),2))</f>
        <v>TDEV_D1</v>
      </c>
      <c r="P30" s="87" t="str">
        <f t="array" aca="1" ref="P30" ca="1">IF(ISNA(INDEX('NVRAM map'!$AF$3:$AG$319,MATCH(1,('NVRAM map'!$AF$3:$AF$319=$A30)*('NVRAM map'!$AI$3:$AI$319&gt;=P$3)*('NVRAM map'!$AJ$3:$AJ$319&lt;=P$3),0),2)),"-",INDEX('NVRAM map'!$AF$3:$AG$319,MATCH(1,('NVRAM map'!$AF$3:$AF$319=$A30)*('NVRAM map'!$AI$3:$AI$319&gt;=P$3)*('NVRAM map'!$AJ$3:$AJ$319&lt;=P$3),0),2))</f>
        <v>TDEV_D1</v>
      </c>
      <c r="Q30" s="87" t="str">
        <f t="array" aca="1" ref="Q30" ca="1">IF(ISNA(INDEX('NVRAM map'!$AF$3:$AG$319,MATCH(1,('NVRAM map'!$AF$3:$AF$319=$A30)*('NVRAM map'!$AI$3:$AI$319&gt;=Q$3)*('NVRAM map'!$AJ$3:$AJ$319&lt;=Q$3),0),2)),"-",INDEX('NVRAM map'!$AF$3:$AG$319,MATCH(1,('NVRAM map'!$AF$3:$AF$319=$A30)*('NVRAM map'!$AI$3:$AI$319&gt;=Q$3)*('NVRAM map'!$AJ$3:$AJ$319&lt;=Q$3),0),2))</f>
        <v>TDEV_D1</v>
      </c>
      <c r="R30" s="87" t="str">
        <f t="array" aca="1" ref="R30" ca="1">IF(ISNA(INDEX('NVRAM map'!$AF$3:$AG$319,MATCH(1,('NVRAM map'!$AF$3:$AF$319=$A30)*('NVRAM map'!$AI$3:$AI$319&gt;=R$3)*('NVRAM map'!$AJ$3:$AJ$319&lt;=R$3),0),2)),"-",INDEX('NVRAM map'!$AF$3:$AG$319,MATCH(1,('NVRAM map'!$AF$3:$AF$319=$A30)*('NVRAM map'!$AI$3:$AI$319&gt;=R$3)*('NVRAM map'!$AJ$3:$AJ$319&lt;=R$3),0),2))</f>
        <v>TDEV_D1</v>
      </c>
      <c r="S30" s="87" t="str">
        <f t="array" aca="1" ref="S30" ca="1">IF(ISNA(INDEX('NVRAM map'!$AF$3:$AG$319,MATCH(1,('NVRAM map'!$AF$3:$AF$319=$A30)*('NVRAM map'!$AI$3:$AI$319&gt;=S$3)*('NVRAM map'!$AJ$3:$AJ$319&lt;=S$3),0),2)),"-",INDEX('NVRAM map'!$AF$3:$AG$319,MATCH(1,('NVRAM map'!$AF$3:$AF$319=$A30)*('NVRAM map'!$AI$3:$AI$319&gt;=S$3)*('NVRAM map'!$AJ$3:$AJ$319&lt;=S$3),0),2))</f>
        <v>TDEV_D1</v>
      </c>
      <c r="T30" s="87" t="str">
        <f t="array" aca="1" ref="T30" ca="1">IF(ISNA(INDEX('NVRAM map'!$AF$3:$AG$319,MATCH(1,('NVRAM map'!$AF$3:$AF$319=$A30)*('NVRAM map'!$AI$3:$AI$319&gt;=T$3)*('NVRAM map'!$AJ$3:$AJ$319&lt;=T$3),0),2)),"-",INDEX('NVRAM map'!$AF$3:$AG$319,MATCH(1,('NVRAM map'!$AF$3:$AF$319=$A30)*('NVRAM map'!$AI$3:$AI$319&gt;=T$3)*('NVRAM map'!$AJ$3:$AJ$319&lt;=T$3),0),2))</f>
        <v>TDEV_D1</v>
      </c>
      <c r="U30" s="87" t="str">
        <f t="array" aca="1" ref="U30" ca="1">IF(ISNA(INDEX('NVRAM map'!$AF$3:$AG$319,MATCH(1,('NVRAM map'!$AF$3:$AF$319=$A30)*('NVRAM map'!$AI$3:$AI$319&gt;=U$3)*('NVRAM map'!$AJ$3:$AJ$319&lt;=U$3),0),2)),"-",INDEX('NVRAM map'!$AF$3:$AG$319,MATCH(1,('NVRAM map'!$AF$3:$AF$319=$A30)*('NVRAM map'!$AI$3:$AI$319&gt;=U$3)*('NVRAM map'!$AJ$3:$AJ$319&lt;=U$3),0),2))</f>
        <v>TDEV_D1</v>
      </c>
      <c r="V30" s="87" t="str">
        <f t="array" aca="1" ref="V30" ca="1">IF(ISNA(INDEX('NVRAM map'!$AF$3:$AG$319,MATCH(1,('NVRAM map'!$AF$3:$AF$319=$A30)*('NVRAM map'!$AI$3:$AI$319&gt;=V$3)*('NVRAM map'!$AJ$3:$AJ$319&lt;=V$3),0),2)),"-",INDEX('NVRAM map'!$AF$3:$AG$319,MATCH(1,('NVRAM map'!$AF$3:$AF$319=$A30)*('NVRAM map'!$AI$3:$AI$319&gt;=V$3)*('NVRAM map'!$AJ$3:$AJ$319&lt;=V$3),0),2))</f>
        <v>TDEV_D1</v>
      </c>
      <c r="W30" s="87" t="str">
        <f t="array" aca="1" ref="W30" ca="1">IF(ISNA(INDEX('NVRAM map'!$AF$3:$AG$319,MATCH(1,('NVRAM map'!$AF$3:$AF$319=$A30)*('NVRAM map'!$AI$3:$AI$319&gt;=W$3)*('NVRAM map'!$AJ$3:$AJ$319&lt;=W$3),0),2)),"-",INDEX('NVRAM map'!$AF$3:$AG$319,MATCH(1,('NVRAM map'!$AF$3:$AF$319=$A30)*('NVRAM map'!$AI$3:$AI$319&gt;=W$3)*('NVRAM map'!$AJ$3:$AJ$319&lt;=W$3),0),2))</f>
        <v>TDEV_D1</v>
      </c>
      <c r="X30" s="88" t="str">
        <f ca="1">INDEX('NVRAM map'!$B$3:$B$319,MATCH(A30,'NVRAM map'!$E$3:$E$319,0))</f>
        <v>CUST</v>
      </c>
      <c r="AB30" s="44">
        <f t="shared" ca="1" si="2"/>
        <v>217</v>
      </c>
      <c r="AC30" s="12" t="b">
        <f ca="1">COUNTIF('NVRAM map'!$AD$3:$AE$319,A30)&lt;2</f>
        <v>1</v>
      </c>
      <c r="AD30" s="12">
        <f ca="1">SUMIF('NVRAM map'!$AF$3:$AF$319,A30,'NVRAM map'!$AK$3:$AK$319)</f>
        <v>65535</v>
      </c>
      <c r="AE30" s="12" t="str">
        <f t="shared" ca="1" si="3"/>
        <v>FFFF</v>
      </c>
      <c r="AF30" s="12" t="str">
        <f t="shared" ca="1" si="4"/>
        <v>11111111</v>
      </c>
      <c r="AG30" s="12" t="str">
        <f t="shared" ca="1" si="5"/>
        <v>11111111</v>
      </c>
      <c r="AH30" s="12">
        <f t="shared" ca="1" si="6"/>
        <v>16</v>
      </c>
      <c r="AI30" s="12">
        <f ca="1">SUMIF('NVRAM map'!$AF$3:$AF$319,A30,'NVRAM map'!$AH$3:$AH$319)</f>
        <v>16</v>
      </c>
      <c r="AJ30" s="12" t="b">
        <f t="shared" ca="1" si="7"/>
        <v>1</v>
      </c>
      <c r="AK30" s="12">
        <f ca="1">COUNTIF('NVRAM map'!$AF$3:$AF$319,A30)</f>
        <v>1</v>
      </c>
      <c r="AM30" s="89">
        <v>0</v>
      </c>
      <c r="AN30" s="80">
        <f t="shared" ca="1" si="13"/>
        <v>0</v>
      </c>
      <c r="AO30" s="80">
        <f t="shared" ca="1" si="13"/>
        <v>0</v>
      </c>
      <c r="AP30" s="80">
        <f t="shared" ca="1" si="13"/>
        <v>0</v>
      </c>
      <c r="AQ30" s="80">
        <f t="shared" ca="1" si="13"/>
        <v>0</v>
      </c>
      <c r="AR30" s="80">
        <f t="shared" ca="1" si="13"/>
        <v>0</v>
      </c>
      <c r="AS30" s="80">
        <f t="shared" ca="1" si="13"/>
        <v>0</v>
      </c>
      <c r="AT30" s="80">
        <f t="shared" ca="1" si="13"/>
        <v>0</v>
      </c>
      <c r="AU30" s="80">
        <f t="shared" ca="1" si="13"/>
        <v>0</v>
      </c>
      <c r="AV30" s="80">
        <f t="shared" ca="1" si="13"/>
        <v>0</v>
      </c>
      <c r="AW30" s="80">
        <f t="shared" ca="1" si="13"/>
        <v>0</v>
      </c>
      <c r="AX30" s="80">
        <f t="shared" ca="1" si="13"/>
        <v>0</v>
      </c>
      <c r="AY30" s="80">
        <f t="shared" ca="1" si="13"/>
        <v>0</v>
      </c>
      <c r="AZ30" s="80">
        <f t="shared" ca="1" si="13"/>
        <v>0</v>
      </c>
      <c r="BA30" s="80">
        <f t="shared" ca="1" si="13"/>
        <v>0</v>
      </c>
      <c r="BB30" s="81">
        <f t="shared" ca="1" si="13"/>
        <v>0</v>
      </c>
      <c r="BD30" s="12" t="str">
        <f t="shared" si="9"/>
        <v>0x1034</v>
      </c>
      <c r="BE30" s="12" t="str">
        <f t="shared" ca="1" si="10"/>
        <v>0001011111000010</v>
      </c>
      <c r="BG30" s="53" t="str">
        <f t="shared" ca="1" si="11"/>
        <v>`define EE_TDEV_D1 13</v>
      </c>
    </row>
    <row r="31" spans="1:59">
      <c r="A31" s="82" t="s">
        <v>294</v>
      </c>
      <c r="B31" s="82">
        <v>54</v>
      </c>
      <c r="C31" s="82">
        <v>13</v>
      </c>
      <c r="D31" s="83">
        <f ca="1">SUMIF('NVRAM map'!$AF$3:$AF$319,A31,'NVRAM map'!$AN$3:$AN$319)</f>
        <v>65386</v>
      </c>
      <c r="E31" s="84" t="str">
        <f t="shared" ca="1" si="0"/>
        <v>FF6A</v>
      </c>
      <c r="F31" s="85" t="str">
        <f t="shared" ca="1" si="12"/>
        <v>FF6A</v>
      </c>
      <c r="G31" s="86" t="str">
        <f ca="1">VLOOKUP(MemoryView!A31,'NVRAM map'!$AD$3:$AE$319,2,0)</f>
        <v>EE_TDEV_D2</v>
      </c>
      <c r="H31" s="87" t="str">
        <f t="array" aca="1" ref="H31" ca="1">IF(ISNA(INDEX('NVRAM map'!$AF$3:$AG$319,MATCH(1,('NVRAM map'!$AF$3:$AF$319=$A31)*('NVRAM map'!$AI$3:$AI$319&gt;=H$3)*('NVRAM map'!$AJ$3:$AJ$319&lt;=H$3),0),2)),"-",INDEX('NVRAM map'!$AF$3:$AG$319,MATCH(1,('NVRAM map'!$AF$3:$AF$319=$A31)*('NVRAM map'!$AI$3:$AI$319&gt;=H$3)*('NVRAM map'!$AJ$3:$AJ$319&lt;=H$3),0),2))</f>
        <v>TDEV_D2</v>
      </c>
      <c r="I31" s="87" t="str">
        <f t="array" aca="1" ref="I31" ca="1">IF(ISNA(INDEX('NVRAM map'!$AF$3:$AG$319,MATCH(1,('NVRAM map'!$AF$3:$AF$319=$A31)*('NVRAM map'!$AI$3:$AI$319&gt;=I$3)*('NVRAM map'!$AJ$3:$AJ$319&lt;=I$3),0),2)),"-",INDEX('NVRAM map'!$AF$3:$AG$319,MATCH(1,('NVRAM map'!$AF$3:$AF$319=$A31)*('NVRAM map'!$AI$3:$AI$319&gt;=I$3)*('NVRAM map'!$AJ$3:$AJ$319&lt;=I$3),0),2))</f>
        <v>TDEV_D2</v>
      </c>
      <c r="J31" s="87" t="str">
        <f t="array" aca="1" ref="J31" ca="1">IF(ISNA(INDEX('NVRAM map'!$AF$3:$AG$319,MATCH(1,('NVRAM map'!$AF$3:$AF$319=$A31)*('NVRAM map'!$AI$3:$AI$319&gt;=J$3)*('NVRAM map'!$AJ$3:$AJ$319&lt;=J$3),0),2)),"-",INDEX('NVRAM map'!$AF$3:$AG$319,MATCH(1,('NVRAM map'!$AF$3:$AF$319=$A31)*('NVRAM map'!$AI$3:$AI$319&gt;=J$3)*('NVRAM map'!$AJ$3:$AJ$319&lt;=J$3),0),2))</f>
        <v>TDEV_D2</v>
      </c>
      <c r="K31" s="87" t="str">
        <f t="array" aca="1" ref="K31" ca="1">IF(ISNA(INDEX('NVRAM map'!$AF$3:$AG$319,MATCH(1,('NVRAM map'!$AF$3:$AF$319=$A31)*('NVRAM map'!$AI$3:$AI$319&gt;=K$3)*('NVRAM map'!$AJ$3:$AJ$319&lt;=K$3),0),2)),"-",INDEX('NVRAM map'!$AF$3:$AG$319,MATCH(1,('NVRAM map'!$AF$3:$AF$319=$A31)*('NVRAM map'!$AI$3:$AI$319&gt;=K$3)*('NVRAM map'!$AJ$3:$AJ$319&lt;=K$3),0),2))</f>
        <v>TDEV_D2</v>
      </c>
      <c r="L31" s="87" t="str">
        <f t="array" aca="1" ref="L31" ca="1">IF(ISNA(INDEX('NVRAM map'!$AF$3:$AG$319,MATCH(1,('NVRAM map'!$AF$3:$AF$319=$A31)*('NVRAM map'!$AI$3:$AI$319&gt;=L$3)*('NVRAM map'!$AJ$3:$AJ$319&lt;=L$3),0),2)),"-",INDEX('NVRAM map'!$AF$3:$AG$319,MATCH(1,('NVRAM map'!$AF$3:$AF$319=$A31)*('NVRAM map'!$AI$3:$AI$319&gt;=L$3)*('NVRAM map'!$AJ$3:$AJ$319&lt;=L$3),0),2))</f>
        <v>TDEV_D2</v>
      </c>
      <c r="M31" s="87" t="str">
        <f t="array" aca="1" ref="M31" ca="1">IF(ISNA(INDEX('NVRAM map'!$AF$3:$AG$319,MATCH(1,('NVRAM map'!$AF$3:$AF$319=$A31)*('NVRAM map'!$AI$3:$AI$319&gt;=M$3)*('NVRAM map'!$AJ$3:$AJ$319&lt;=M$3),0),2)),"-",INDEX('NVRAM map'!$AF$3:$AG$319,MATCH(1,('NVRAM map'!$AF$3:$AF$319=$A31)*('NVRAM map'!$AI$3:$AI$319&gt;=M$3)*('NVRAM map'!$AJ$3:$AJ$319&lt;=M$3),0),2))</f>
        <v>TDEV_D2</v>
      </c>
      <c r="N31" s="87" t="str">
        <f t="array" aca="1" ref="N31" ca="1">IF(ISNA(INDEX('NVRAM map'!$AF$3:$AG$319,MATCH(1,('NVRAM map'!$AF$3:$AF$319=$A31)*('NVRAM map'!$AI$3:$AI$319&gt;=N$3)*('NVRAM map'!$AJ$3:$AJ$319&lt;=N$3),0),2)),"-",INDEX('NVRAM map'!$AF$3:$AG$319,MATCH(1,('NVRAM map'!$AF$3:$AF$319=$A31)*('NVRAM map'!$AI$3:$AI$319&gt;=N$3)*('NVRAM map'!$AJ$3:$AJ$319&lt;=N$3),0),2))</f>
        <v>TDEV_D2</v>
      </c>
      <c r="O31" s="87" t="str">
        <f t="array" aca="1" ref="O31" ca="1">IF(ISNA(INDEX('NVRAM map'!$AF$3:$AG$319,MATCH(1,('NVRAM map'!$AF$3:$AF$319=$A31)*('NVRAM map'!$AI$3:$AI$319&gt;=O$3)*('NVRAM map'!$AJ$3:$AJ$319&lt;=O$3),0),2)),"-",INDEX('NVRAM map'!$AF$3:$AG$319,MATCH(1,('NVRAM map'!$AF$3:$AF$319=$A31)*('NVRAM map'!$AI$3:$AI$319&gt;=O$3)*('NVRAM map'!$AJ$3:$AJ$319&lt;=O$3),0),2))</f>
        <v>TDEV_D2</v>
      </c>
      <c r="P31" s="87" t="str">
        <f t="array" aca="1" ref="P31" ca="1">IF(ISNA(INDEX('NVRAM map'!$AF$3:$AG$319,MATCH(1,('NVRAM map'!$AF$3:$AF$319=$A31)*('NVRAM map'!$AI$3:$AI$319&gt;=P$3)*('NVRAM map'!$AJ$3:$AJ$319&lt;=P$3),0),2)),"-",INDEX('NVRAM map'!$AF$3:$AG$319,MATCH(1,('NVRAM map'!$AF$3:$AF$319=$A31)*('NVRAM map'!$AI$3:$AI$319&gt;=P$3)*('NVRAM map'!$AJ$3:$AJ$319&lt;=P$3),0),2))</f>
        <v>TDEV_D2</v>
      </c>
      <c r="Q31" s="87" t="str">
        <f t="array" aca="1" ref="Q31" ca="1">IF(ISNA(INDEX('NVRAM map'!$AF$3:$AG$319,MATCH(1,('NVRAM map'!$AF$3:$AF$319=$A31)*('NVRAM map'!$AI$3:$AI$319&gt;=Q$3)*('NVRAM map'!$AJ$3:$AJ$319&lt;=Q$3),0),2)),"-",INDEX('NVRAM map'!$AF$3:$AG$319,MATCH(1,('NVRAM map'!$AF$3:$AF$319=$A31)*('NVRAM map'!$AI$3:$AI$319&gt;=Q$3)*('NVRAM map'!$AJ$3:$AJ$319&lt;=Q$3),0),2))</f>
        <v>TDEV_D2</v>
      </c>
      <c r="R31" s="87" t="str">
        <f t="array" aca="1" ref="R31" ca="1">IF(ISNA(INDEX('NVRAM map'!$AF$3:$AG$319,MATCH(1,('NVRAM map'!$AF$3:$AF$319=$A31)*('NVRAM map'!$AI$3:$AI$319&gt;=R$3)*('NVRAM map'!$AJ$3:$AJ$319&lt;=R$3),0),2)),"-",INDEX('NVRAM map'!$AF$3:$AG$319,MATCH(1,('NVRAM map'!$AF$3:$AF$319=$A31)*('NVRAM map'!$AI$3:$AI$319&gt;=R$3)*('NVRAM map'!$AJ$3:$AJ$319&lt;=R$3),0),2))</f>
        <v>TDEV_D2</v>
      </c>
      <c r="S31" s="87" t="str">
        <f t="array" aca="1" ref="S31" ca="1">IF(ISNA(INDEX('NVRAM map'!$AF$3:$AG$319,MATCH(1,('NVRAM map'!$AF$3:$AF$319=$A31)*('NVRAM map'!$AI$3:$AI$319&gt;=S$3)*('NVRAM map'!$AJ$3:$AJ$319&lt;=S$3),0),2)),"-",INDEX('NVRAM map'!$AF$3:$AG$319,MATCH(1,('NVRAM map'!$AF$3:$AF$319=$A31)*('NVRAM map'!$AI$3:$AI$319&gt;=S$3)*('NVRAM map'!$AJ$3:$AJ$319&lt;=S$3),0),2))</f>
        <v>TDEV_D2</v>
      </c>
      <c r="T31" s="87" t="str">
        <f t="array" aca="1" ref="T31" ca="1">IF(ISNA(INDEX('NVRAM map'!$AF$3:$AG$319,MATCH(1,('NVRAM map'!$AF$3:$AF$319=$A31)*('NVRAM map'!$AI$3:$AI$319&gt;=T$3)*('NVRAM map'!$AJ$3:$AJ$319&lt;=T$3),0),2)),"-",INDEX('NVRAM map'!$AF$3:$AG$319,MATCH(1,('NVRAM map'!$AF$3:$AF$319=$A31)*('NVRAM map'!$AI$3:$AI$319&gt;=T$3)*('NVRAM map'!$AJ$3:$AJ$319&lt;=T$3),0),2))</f>
        <v>TDEV_D2</v>
      </c>
      <c r="U31" s="87" t="str">
        <f t="array" aca="1" ref="U31" ca="1">IF(ISNA(INDEX('NVRAM map'!$AF$3:$AG$319,MATCH(1,('NVRAM map'!$AF$3:$AF$319=$A31)*('NVRAM map'!$AI$3:$AI$319&gt;=U$3)*('NVRAM map'!$AJ$3:$AJ$319&lt;=U$3),0),2)),"-",INDEX('NVRAM map'!$AF$3:$AG$319,MATCH(1,('NVRAM map'!$AF$3:$AF$319=$A31)*('NVRAM map'!$AI$3:$AI$319&gt;=U$3)*('NVRAM map'!$AJ$3:$AJ$319&lt;=U$3),0),2))</f>
        <v>TDEV_D2</v>
      </c>
      <c r="V31" s="87" t="str">
        <f t="array" aca="1" ref="V31" ca="1">IF(ISNA(INDEX('NVRAM map'!$AF$3:$AG$319,MATCH(1,('NVRAM map'!$AF$3:$AF$319=$A31)*('NVRAM map'!$AI$3:$AI$319&gt;=V$3)*('NVRAM map'!$AJ$3:$AJ$319&lt;=V$3),0),2)),"-",INDEX('NVRAM map'!$AF$3:$AG$319,MATCH(1,('NVRAM map'!$AF$3:$AF$319=$A31)*('NVRAM map'!$AI$3:$AI$319&gt;=V$3)*('NVRAM map'!$AJ$3:$AJ$319&lt;=V$3),0),2))</f>
        <v>TDEV_D2</v>
      </c>
      <c r="W31" s="87" t="str">
        <f t="array" aca="1" ref="W31" ca="1">IF(ISNA(INDEX('NVRAM map'!$AF$3:$AG$319,MATCH(1,('NVRAM map'!$AF$3:$AF$319=$A31)*('NVRAM map'!$AI$3:$AI$319&gt;=W$3)*('NVRAM map'!$AJ$3:$AJ$319&lt;=W$3),0),2)),"-",INDEX('NVRAM map'!$AF$3:$AG$319,MATCH(1,('NVRAM map'!$AF$3:$AF$319=$A31)*('NVRAM map'!$AI$3:$AI$319&gt;=W$3)*('NVRAM map'!$AJ$3:$AJ$319&lt;=W$3),0),2))</f>
        <v>TDEV_D2</v>
      </c>
      <c r="X31" s="88" t="str">
        <f ca="1">INDEX('NVRAM map'!$B$3:$B$319,MATCH(A31,'NVRAM map'!$E$3:$E$319,0))</f>
        <v>CUST</v>
      </c>
      <c r="AB31" s="44">
        <f t="shared" ca="1" si="2"/>
        <v>361</v>
      </c>
      <c r="AC31" s="12" t="b">
        <f ca="1">COUNTIF('NVRAM map'!$AD$3:$AE$319,A31)&lt;2</f>
        <v>1</v>
      </c>
      <c r="AD31" s="12">
        <f ca="1">SUMIF('NVRAM map'!$AF$3:$AF$319,A31,'NVRAM map'!$AK$3:$AK$319)</f>
        <v>65535</v>
      </c>
      <c r="AE31" s="12" t="str">
        <f t="shared" ca="1" si="3"/>
        <v>FFFF</v>
      </c>
      <c r="AF31" s="12" t="str">
        <f t="shared" ca="1" si="4"/>
        <v>11111111</v>
      </c>
      <c r="AG31" s="12" t="str">
        <f t="shared" ca="1" si="5"/>
        <v>11111111</v>
      </c>
      <c r="AH31" s="12">
        <f t="shared" ca="1" si="6"/>
        <v>16</v>
      </c>
      <c r="AI31" s="12">
        <f ca="1">SUMIF('NVRAM map'!$AF$3:$AF$319,A31,'NVRAM map'!$AH$3:$AH$319)</f>
        <v>16</v>
      </c>
      <c r="AJ31" s="12" t="b">
        <f t="shared" ca="1" si="7"/>
        <v>1</v>
      </c>
      <c r="AK31" s="12">
        <f ca="1">COUNTIF('NVRAM map'!$AF$3:$AF$319,A31)</f>
        <v>1</v>
      </c>
      <c r="AM31" s="89">
        <v>0</v>
      </c>
      <c r="AN31" s="80">
        <f t="shared" ca="1" si="13"/>
        <v>0</v>
      </c>
      <c r="AO31" s="80">
        <f t="shared" ca="1" si="13"/>
        <v>0</v>
      </c>
      <c r="AP31" s="80">
        <f t="shared" ca="1" si="13"/>
        <v>0</v>
      </c>
      <c r="AQ31" s="80">
        <f t="shared" ca="1" si="13"/>
        <v>0</v>
      </c>
      <c r="AR31" s="80">
        <f t="shared" ca="1" si="13"/>
        <v>0</v>
      </c>
      <c r="AS31" s="80">
        <f t="shared" ca="1" si="13"/>
        <v>0</v>
      </c>
      <c r="AT31" s="80">
        <f t="shared" ca="1" si="13"/>
        <v>0</v>
      </c>
      <c r="AU31" s="80">
        <f t="shared" ca="1" si="13"/>
        <v>0</v>
      </c>
      <c r="AV31" s="80">
        <f t="shared" ca="1" si="13"/>
        <v>0</v>
      </c>
      <c r="AW31" s="80">
        <f t="shared" ca="1" si="13"/>
        <v>0</v>
      </c>
      <c r="AX31" s="80">
        <f t="shared" ca="1" si="13"/>
        <v>0</v>
      </c>
      <c r="AY31" s="80">
        <f t="shared" ca="1" si="13"/>
        <v>0</v>
      </c>
      <c r="AZ31" s="80">
        <f t="shared" ca="1" si="13"/>
        <v>0</v>
      </c>
      <c r="BA31" s="80">
        <f t="shared" ca="1" si="13"/>
        <v>0</v>
      </c>
      <c r="BB31" s="81">
        <f t="shared" ca="1" si="13"/>
        <v>0</v>
      </c>
      <c r="BD31" s="12" t="str">
        <f t="shared" si="9"/>
        <v>0x1036</v>
      </c>
      <c r="BE31" s="12" t="str">
        <f t="shared" ca="1" si="10"/>
        <v>1111111101101010</v>
      </c>
      <c r="BG31" s="53" t="str">
        <f t="shared" ca="1" si="11"/>
        <v>`define EE_TDEV_D2 13</v>
      </c>
    </row>
    <row r="32" spans="1:59">
      <c r="A32" s="82" t="s">
        <v>295</v>
      </c>
      <c r="B32" s="82">
        <v>56</v>
      </c>
      <c r="C32" s="82">
        <v>14</v>
      </c>
      <c r="D32" s="83">
        <f ca="1">SUMIF('NVRAM map'!$AF$3:$AF$319,A32,'NVRAM map'!$AN$3:$AN$319)</f>
        <v>13500</v>
      </c>
      <c r="E32" s="84" t="str">
        <f t="shared" ca="1" si="0"/>
        <v>34BC</v>
      </c>
      <c r="F32" s="85" t="str">
        <f t="shared" ca="1" si="12"/>
        <v>34BC</v>
      </c>
      <c r="G32" s="86" t="str">
        <f ca="1">VLOOKUP(MemoryView!A32,'NVRAM map'!$AD$3:$AE$319,2,0)</f>
        <v>EE_TMEMS_T0</v>
      </c>
      <c r="H32" s="87" t="str">
        <f t="array" aca="1" ref="H32" ca="1">IF(ISNA(INDEX('NVRAM map'!$AF$3:$AG$319,MATCH(1,('NVRAM map'!$AF$3:$AF$319=$A32)*('NVRAM map'!$AI$3:$AI$319&gt;=H$3)*('NVRAM map'!$AJ$3:$AJ$319&lt;=H$3),0),2)),"-",INDEX('NVRAM map'!$AF$3:$AG$319,MATCH(1,('NVRAM map'!$AF$3:$AF$319=$A32)*('NVRAM map'!$AI$3:$AI$319&gt;=H$3)*('NVRAM map'!$AJ$3:$AJ$319&lt;=H$3),0),2))</f>
        <v>TMEMS_T0</v>
      </c>
      <c r="I32" s="87" t="str">
        <f t="array" aca="1" ref="I32" ca="1">IF(ISNA(INDEX('NVRAM map'!$AF$3:$AG$319,MATCH(1,('NVRAM map'!$AF$3:$AF$319=$A32)*('NVRAM map'!$AI$3:$AI$319&gt;=I$3)*('NVRAM map'!$AJ$3:$AJ$319&lt;=I$3),0),2)),"-",INDEX('NVRAM map'!$AF$3:$AG$319,MATCH(1,('NVRAM map'!$AF$3:$AF$319=$A32)*('NVRAM map'!$AI$3:$AI$319&gt;=I$3)*('NVRAM map'!$AJ$3:$AJ$319&lt;=I$3),0),2))</f>
        <v>TMEMS_T0</v>
      </c>
      <c r="J32" s="87" t="str">
        <f t="array" aca="1" ref="J32" ca="1">IF(ISNA(INDEX('NVRAM map'!$AF$3:$AG$319,MATCH(1,('NVRAM map'!$AF$3:$AF$319=$A32)*('NVRAM map'!$AI$3:$AI$319&gt;=J$3)*('NVRAM map'!$AJ$3:$AJ$319&lt;=J$3),0),2)),"-",INDEX('NVRAM map'!$AF$3:$AG$319,MATCH(1,('NVRAM map'!$AF$3:$AF$319=$A32)*('NVRAM map'!$AI$3:$AI$319&gt;=J$3)*('NVRAM map'!$AJ$3:$AJ$319&lt;=J$3),0),2))</f>
        <v>TMEMS_T0</v>
      </c>
      <c r="K32" s="87" t="str">
        <f t="array" aca="1" ref="K32" ca="1">IF(ISNA(INDEX('NVRAM map'!$AF$3:$AG$319,MATCH(1,('NVRAM map'!$AF$3:$AF$319=$A32)*('NVRAM map'!$AI$3:$AI$319&gt;=K$3)*('NVRAM map'!$AJ$3:$AJ$319&lt;=K$3),0),2)),"-",INDEX('NVRAM map'!$AF$3:$AG$319,MATCH(1,('NVRAM map'!$AF$3:$AF$319=$A32)*('NVRAM map'!$AI$3:$AI$319&gt;=K$3)*('NVRAM map'!$AJ$3:$AJ$319&lt;=K$3),0),2))</f>
        <v>TMEMS_T0</v>
      </c>
      <c r="L32" s="87" t="str">
        <f t="array" aca="1" ref="L32" ca="1">IF(ISNA(INDEX('NVRAM map'!$AF$3:$AG$319,MATCH(1,('NVRAM map'!$AF$3:$AF$319=$A32)*('NVRAM map'!$AI$3:$AI$319&gt;=L$3)*('NVRAM map'!$AJ$3:$AJ$319&lt;=L$3),0),2)),"-",INDEX('NVRAM map'!$AF$3:$AG$319,MATCH(1,('NVRAM map'!$AF$3:$AF$319=$A32)*('NVRAM map'!$AI$3:$AI$319&gt;=L$3)*('NVRAM map'!$AJ$3:$AJ$319&lt;=L$3),0),2))</f>
        <v>TMEMS_T0</v>
      </c>
      <c r="M32" s="87" t="str">
        <f t="array" aca="1" ref="M32" ca="1">IF(ISNA(INDEX('NVRAM map'!$AF$3:$AG$319,MATCH(1,('NVRAM map'!$AF$3:$AF$319=$A32)*('NVRAM map'!$AI$3:$AI$319&gt;=M$3)*('NVRAM map'!$AJ$3:$AJ$319&lt;=M$3),0),2)),"-",INDEX('NVRAM map'!$AF$3:$AG$319,MATCH(1,('NVRAM map'!$AF$3:$AF$319=$A32)*('NVRAM map'!$AI$3:$AI$319&gt;=M$3)*('NVRAM map'!$AJ$3:$AJ$319&lt;=M$3),0),2))</f>
        <v>TMEMS_T0</v>
      </c>
      <c r="N32" s="87" t="str">
        <f t="array" aca="1" ref="N32" ca="1">IF(ISNA(INDEX('NVRAM map'!$AF$3:$AG$319,MATCH(1,('NVRAM map'!$AF$3:$AF$319=$A32)*('NVRAM map'!$AI$3:$AI$319&gt;=N$3)*('NVRAM map'!$AJ$3:$AJ$319&lt;=N$3),0),2)),"-",INDEX('NVRAM map'!$AF$3:$AG$319,MATCH(1,('NVRAM map'!$AF$3:$AF$319=$A32)*('NVRAM map'!$AI$3:$AI$319&gt;=N$3)*('NVRAM map'!$AJ$3:$AJ$319&lt;=N$3),0),2))</f>
        <v>TMEMS_T0</v>
      </c>
      <c r="O32" s="87" t="str">
        <f t="array" aca="1" ref="O32" ca="1">IF(ISNA(INDEX('NVRAM map'!$AF$3:$AG$319,MATCH(1,('NVRAM map'!$AF$3:$AF$319=$A32)*('NVRAM map'!$AI$3:$AI$319&gt;=O$3)*('NVRAM map'!$AJ$3:$AJ$319&lt;=O$3),0),2)),"-",INDEX('NVRAM map'!$AF$3:$AG$319,MATCH(1,('NVRAM map'!$AF$3:$AF$319=$A32)*('NVRAM map'!$AI$3:$AI$319&gt;=O$3)*('NVRAM map'!$AJ$3:$AJ$319&lt;=O$3),0),2))</f>
        <v>TMEMS_T0</v>
      </c>
      <c r="P32" s="87" t="str">
        <f t="array" aca="1" ref="P32" ca="1">IF(ISNA(INDEX('NVRAM map'!$AF$3:$AG$319,MATCH(1,('NVRAM map'!$AF$3:$AF$319=$A32)*('NVRAM map'!$AI$3:$AI$319&gt;=P$3)*('NVRAM map'!$AJ$3:$AJ$319&lt;=P$3),0),2)),"-",INDEX('NVRAM map'!$AF$3:$AG$319,MATCH(1,('NVRAM map'!$AF$3:$AF$319=$A32)*('NVRAM map'!$AI$3:$AI$319&gt;=P$3)*('NVRAM map'!$AJ$3:$AJ$319&lt;=P$3),0),2))</f>
        <v>TMEMS_T0</v>
      </c>
      <c r="Q32" s="87" t="str">
        <f t="array" aca="1" ref="Q32" ca="1">IF(ISNA(INDEX('NVRAM map'!$AF$3:$AG$319,MATCH(1,('NVRAM map'!$AF$3:$AF$319=$A32)*('NVRAM map'!$AI$3:$AI$319&gt;=Q$3)*('NVRAM map'!$AJ$3:$AJ$319&lt;=Q$3),0),2)),"-",INDEX('NVRAM map'!$AF$3:$AG$319,MATCH(1,('NVRAM map'!$AF$3:$AF$319=$A32)*('NVRAM map'!$AI$3:$AI$319&gt;=Q$3)*('NVRAM map'!$AJ$3:$AJ$319&lt;=Q$3),0),2))</f>
        <v>TMEMS_T0</v>
      </c>
      <c r="R32" s="87" t="str">
        <f t="array" aca="1" ref="R32" ca="1">IF(ISNA(INDEX('NVRAM map'!$AF$3:$AG$319,MATCH(1,('NVRAM map'!$AF$3:$AF$319=$A32)*('NVRAM map'!$AI$3:$AI$319&gt;=R$3)*('NVRAM map'!$AJ$3:$AJ$319&lt;=R$3),0),2)),"-",INDEX('NVRAM map'!$AF$3:$AG$319,MATCH(1,('NVRAM map'!$AF$3:$AF$319=$A32)*('NVRAM map'!$AI$3:$AI$319&gt;=R$3)*('NVRAM map'!$AJ$3:$AJ$319&lt;=R$3),0),2))</f>
        <v>TMEMS_T0</v>
      </c>
      <c r="S32" s="87" t="str">
        <f t="array" aca="1" ref="S32" ca="1">IF(ISNA(INDEX('NVRAM map'!$AF$3:$AG$319,MATCH(1,('NVRAM map'!$AF$3:$AF$319=$A32)*('NVRAM map'!$AI$3:$AI$319&gt;=S$3)*('NVRAM map'!$AJ$3:$AJ$319&lt;=S$3),0),2)),"-",INDEX('NVRAM map'!$AF$3:$AG$319,MATCH(1,('NVRAM map'!$AF$3:$AF$319=$A32)*('NVRAM map'!$AI$3:$AI$319&gt;=S$3)*('NVRAM map'!$AJ$3:$AJ$319&lt;=S$3),0),2))</f>
        <v>TMEMS_T0</v>
      </c>
      <c r="T32" s="87" t="str">
        <f t="array" aca="1" ref="T32" ca="1">IF(ISNA(INDEX('NVRAM map'!$AF$3:$AG$319,MATCH(1,('NVRAM map'!$AF$3:$AF$319=$A32)*('NVRAM map'!$AI$3:$AI$319&gt;=T$3)*('NVRAM map'!$AJ$3:$AJ$319&lt;=T$3),0),2)),"-",INDEX('NVRAM map'!$AF$3:$AG$319,MATCH(1,('NVRAM map'!$AF$3:$AF$319=$A32)*('NVRAM map'!$AI$3:$AI$319&gt;=T$3)*('NVRAM map'!$AJ$3:$AJ$319&lt;=T$3),0),2))</f>
        <v>TMEMS_T0</v>
      </c>
      <c r="U32" s="87" t="str">
        <f t="array" aca="1" ref="U32" ca="1">IF(ISNA(INDEX('NVRAM map'!$AF$3:$AG$319,MATCH(1,('NVRAM map'!$AF$3:$AF$319=$A32)*('NVRAM map'!$AI$3:$AI$319&gt;=U$3)*('NVRAM map'!$AJ$3:$AJ$319&lt;=U$3),0),2)),"-",INDEX('NVRAM map'!$AF$3:$AG$319,MATCH(1,('NVRAM map'!$AF$3:$AF$319=$A32)*('NVRAM map'!$AI$3:$AI$319&gt;=U$3)*('NVRAM map'!$AJ$3:$AJ$319&lt;=U$3),0),2))</f>
        <v>TMEMS_T0</v>
      </c>
      <c r="V32" s="87" t="str">
        <f t="array" aca="1" ref="V32" ca="1">IF(ISNA(INDEX('NVRAM map'!$AF$3:$AG$319,MATCH(1,('NVRAM map'!$AF$3:$AF$319=$A32)*('NVRAM map'!$AI$3:$AI$319&gt;=V$3)*('NVRAM map'!$AJ$3:$AJ$319&lt;=V$3),0),2)),"-",INDEX('NVRAM map'!$AF$3:$AG$319,MATCH(1,('NVRAM map'!$AF$3:$AF$319=$A32)*('NVRAM map'!$AI$3:$AI$319&gt;=V$3)*('NVRAM map'!$AJ$3:$AJ$319&lt;=V$3),0),2))</f>
        <v>TMEMS_T0</v>
      </c>
      <c r="W32" s="87" t="str">
        <f t="array" aca="1" ref="W32" ca="1">IF(ISNA(INDEX('NVRAM map'!$AF$3:$AG$319,MATCH(1,('NVRAM map'!$AF$3:$AF$319=$A32)*('NVRAM map'!$AI$3:$AI$319&gt;=W$3)*('NVRAM map'!$AJ$3:$AJ$319&lt;=W$3),0),2)),"-",INDEX('NVRAM map'!$AF$3:$AG$319,MATCH(1,('NVRAM map'!$AF$3:$AF$319=$A32)*('NVRAM map'!$AI$3:$AI$319&gt;=W$3)*('NVRAM map'!$AJ$3:$AJ$319&lt;=W$3),0),2))</f>
        <v>TMEMS_T0</v>
      </c>
      <c r="X32" s="88" t="str">
        <f ca="1">INDEX('NVRAM map'!$B$3:$B$319,MATCH(A32,'NVRAM map'!$E$3:$E$319,0))</f>
        <v>CUST</v>
      </c>
      <c r="AB32" s="44">
        <f t="shared" ca="1" si="2"/>
        <v>240</v>
      </c>
      <c r="AC32" s="12" t="b">
        <f ca="1">COUNTIF('NVRAM map'!$AD$3:$AE$319,A32)&lt;2</f>
        <v>1</v>
      </c>
      <c r="AD32" s="12">
        <f ca="1">SUMIF('NVRAM map'!$AF$3:$AF$319,A32,'NVRAM map'!$AK$3:$AK$319)</f>
        <v>65535</v>
      </c>
      <c r="AE32" s="12" t="str">
        <f t="shared" ca="1" si="3"/>
        <v>FFFF</v>
      </c>
      <c r="AF32" s="12" t="str">
        <f t="shared" ca="1" si="4"/>
        <v>11111111</v>
      </c>
      <c r="AG32" s="12" t="str">
        <f t="shared" ca="1" si="5"/>
        <v>11111111</v>
      </c>
      <c r="AH32" s="12">
        <f t="shared" ca="1" si="6"/>
        <v>16</v>
      </c>
      <c r="AI32" s="12">
        <f ca="1">SUMIF('NVRAM map'!$AF$3:$AF$319,A32,'NVRAM map'!$AH$3:$AH$319)</f>
        <v>16</v>
      </c>
      <c r="AJ32" s="12" t="b">
        <f t="shared" ca="1" si="7"/>
        <v>1</v>
      </c>
      <c r="AK32" s="12">
        <f ca="1">COUNTIF('NVRAM map'!$AF$3:$AF$319,A32)</f>
        <v>1</v>
      </c>
      <c r="AM32" s="89">
        <v>0</v>
      </c>
      <c r="AN32" s="80">
        <f t="shared" ca="1" si="13"/>
        <v>0</v>
      </c>
      <c r="AO32" s="80">
        <f t="shared" ca="1" si="13"/>
        <v>0</v>
      </c>
      <c r="AP32" s="80">
        <f t="shared" ca="1" si="13"/>
        <v>0</v>
      </c>
      <c r="AQ32" s="80">
        <f t="shared" ca="1" si="13"/>
        <v>0</v>
      </c>
      <c r="AR32" s="80">
        <f t="shared" ca="1" si="13"/>
        <v>0</v>
      </c>
      <c r="AS32" s="80">
        <f t="shared" ca="1" si="13"/>
        <v>0</v>
      </c>
      <c r="AT32" s="80">
        <f t="shared" ca="1" si="13"/>
        <v>0</v>
      </c>
      <c r="AU32" s="80">
        <f t="shared" ca="1" si="13"/>
        <v>0</v>
      </c>
      <c r="AV32" s="80">
        <f t="shared" ca="1" si="13"/>
        <v>0</v>
      </c>
      <c r="AW32" s="80">
        <f t="shared" ca="1" si="13"/>
        <v>0</v>
      </c>
      <c r="AX32" s="80">
        <f t="shared" ca="1" si="13"/>
        <v>0</v>
      </c>
      <c r="AY32" s="80">
        <f t="shared" ca="1" si="13"/>
        <v>0</v>
      </c>
      <c r="AZ32" s="80">
        <f t="shared" ca="1" si="13"/>
        <v>0</v>
      </c>
      <c r="BA32" s="80">
        <f t="shared" ca="1" si="13"/>
        <v>0</v>
      </c>
      <c r="BB32" s="81">
        <f t="shared" ca="1" si="13"/>
        <v>0</v>
      </c>
      <c r="BD32" s="12" t="str">
        <f t="shared" si="9"/>
        <v>0x1038</v>
      </c>
      <c r="BE32" s="12" t="str">
        <f t="shared" ca="1" si="10"/>
        <v>0011010010111100</v>
      </c>
      <c r="BG32" s="53" t="str">
        <f t="shared" ca="1" si="11"/>
        <v>`define EE_TMEMS_T0 14</v>
      </c>
    </row>
    <row r="33" spans="1:59">
      <c r="A33" s="82" t="s">
        <v>296</v>
      </c>
      <c r="B33" s="82">
        <v>58</v>
      </c>
      <c r="C33" s="82">
        <v>14</v>
      </c>
      <c r="D33" s="83">
        <f ca="1">SUMIF('NVRAM map'!$AF$3:$AF$319,A33,'NVRAM map'!$AN$3:$AN$319)</f>
        <v>58804</v>
      </c>
      <c r="E33" s="84" t="str">
        <f t="shared" ca="1" si="0"/>
        <v>E5B4</v>
      </c>
      <c r="F33" s="85" t="str">
        <f t="shared" ca="1" si="12"/>
        <v>E5B4</v>
      </c>
      <c r="G33" s="86" t="str">
        <f ca="1">VLOOKUP(MemoryView!A33,'NVRAM map'!$AD$3:$AE$319,2,0)</f>
        <v>EE_TMEMS_D0</v>
      </c>
      <c r="H33" s="87" t="str">
        <f t="array" aca="1" ref="H33" ca="1">IF(ISNA(INDEX('NVRAM map'!$AF$3:$AG$319,MATCH(1,('NVRAM map'!$AF$3:$AF$319=$A33)*('NVRAM map'!$AI$3:$AI$319&gt;=H$3)*('NVRAM map'!$AJ$3:$AJ$319&lt;=H$3),0),2)),"-",INDEX('NVRAM map'!$AF$3:$AG$319,MATCH(1,('NVRAM map'!$AF$3:$AF$319=$A33)*('NVRAM map'!$AI$3:$AI$319&gt;=H$3)*('NVRAM map'!$AJ$3:$AJ$319&lt;=H$3),0),2))</f>
        <v>TMEMS_D0</v>
      </c>
      <c r="I33" s="87" t="str">
        <f t="array" aca="1" ref="I33" ca="1">IF(ISNA(INDEX('NVRAM map'!$AF$3:$AG$319,MATCH(1,('NVRAM map'!$AF$3:$AF$319=$A33)*('NVRAM map'!$AI$3:$AI$319&gt;=I$3)*('NVRAM map'!$AJ$3:$AJ$319&lt;=I$3),0),2)),"-",INDEX('NVRAM map'!$AF$3:$AG$319,MATCH(1,('NVRAM map'!$AF$3:$AF$319=$A33)*('NVRAM map'!$AI$3:$AI$319&gt;=I$3)*('NVRAM map'!$AJ$3:$AJ$319&lt;=I$3),0),2))</f>
        <v>TMEMS_D0</v>
      </c>
      <c r="J33" s="87" t="str">
        <f t="array" aca="1" ref="J33" ca="1">IF(ISNA(INDEX('NVRAM map'!$AF$3:$AG$319,MATCH(1,('NVRAM map'!$AF$3:$AF$319=$A33)*('NVRAM map'!$AI$3:$AI$319&gt;=J$3)*('NVRAM map'!$AJ$3:$AJ$319&lt;=J$3),0),2)),"-",INDEX('NVRAM map'!$AF$3:$AG$319,MATCH(1,('NVRAM map'!$AF$3:$AF$319=$A33)*('NVRAM map'!$AI$3:$AI$319&gt;=J$3)*('NVRAM map'!$AJ$3:$AJ$319&lt;=J$3),0),2))</f>
        <v>TMEMS_D0</v>
      </c>
      <c r="K33" s="87" t="str">
        <f t="array" aca="1" ref="K33" ca="1">IF(ISNA(INDEX('NVRAM map'!$AF$3:$AG$319,MATCH(1,('NVRAM map'!$AF$3:$AF$319=$A33)*('NVRAM map'!$AI$3:$AI$319&gt;=K$3)*('NVRAM map'!$AJ$3:$AJ$319&lt;=K$3),0),2)),"-",INDEX('NVRAM map'!$AF$3:$AG$319,MATCH(1,('NVRAM map'!$AF$3:$AF$319=$A33)*('NVRAM map'!$AI$3:$AI$319&gt;=K$3)*('NVRAM map'!$AJ$3:$AJ$319&lt;=K$3),0),2))</f>
        <v>TMEMS_D0</v>
      </c>
      <c r="L33" s="87" t="str">
        <f t="array" aca="1" ref="L33" ca="1">IF(ISNA(INDEX('NVRAM map'!$AF$3:$AG$319,MATCH(1,('NVRAM map'!$AF$3:$AF$319=$A33)*('NVRAM map'!$AI$3:$AI$319&gt;=L$3)*('NVRAM map'!$AJ$3:$AJ$319&lt;=L$3),0),2)),"-",INDEX('NVRAM map'!$AF$3:$AG$319,MATCH(1,('NVRAM map'!$AF$3:$AF$319=$A33)*('NVRAM map'!$AI$3:$AI$319&gt;=L$3)*('NVRAM map'!$AJ$3:$AJ$319&lt;=L$3),0),2))</f>
        <v>TMEMS_D0</v>
      </c>
      <c r="M33" s="87" t="str">
        <f t="array" aca="1" ref="M33" ca="1">IF(ISNA(INDEX('NVRAM map'!$AF$3:$AG$319,MATCH(1,('NVRAM map'!$AF$3:$AF$319=$A33)*('NVRAM map'!$AI$3:$AI$319&gt;=M$3)*('NVRAM map'!$AJ$3:$AJ$319&lt;=M$3),0),2)),"-",INDEX('NVRAM map'!$AF$3:$AG$319,MATCH(1,('NVRAM map'!$AF$3:$AF$319=$A33)*('NVRAM map'!$AI$3:$AI$319&gt;=M$3)*('NVRAM map'!$AJ$3:$AJ$319&lt;=M$3),0),2))</f>
        <v>TMEMS_D0</v>
      </c>
      <c r="N33" s="87" t="str">
        <f t="array" aca="1" ref="N33" ca="1">IF(ISNA(INDEX('NVRAM map'!$AF$3:$AG$319,MATCH(1,('NVRAM map'!$AF$3:$AF$319=$A33)*('NVRAM map'!$AI$3:$AI$319&gt;=N$3)*('NVRAM map'!$AJ$3:$AJ$319&lt;=N$3),0),2)),"-",INDEX('NVRAM map'!$AF$3:$AG$319,MATCH(1,('NVRAM map'!$AF$3:$AF$319=$A33)*('NVRAM map'!$AI$3:$AI$319&gt;=N$3)*('NVRAM map'!$AJ$3:$AJ$319&lt;=N$3),0),2))</f>
        <v>TMEMS_D0</v>
      </c>
      <c r="O33" s="87" t="str">
        <f t="array" aca="1" ref="O33" ca="1">IF(ISNA(INDEX('NVRAM map'!$AF$3:$AG$319,MATCH(1,('NVRAM map'!$AF$3:$AF$319=$A33)*('NVRAM map'!$AI$3:$AI$319&gt;=O$3)*('NVRAM map'!$AJ$3:$AJ$319&lt;=O$3),0),2)),"-",INDEX('NVRAM map'!$AF$3:$AG$319,MATCH(1,('NVRAM map'!$AF$3:$AF$319=$A33)*('NVRAM map'!$AI$3:$AI$319&gt;=O$3)*('NVRAM map'!$AJ$3:$AJ$319&lt;=O$3),0),2))</f>
        <v>TMEMS_D0</v>
      </c>
      <c r="P33" s="87" t="str">
        <f t="array" aca="1" ref="P33" ca="1">IF(ISNA(INDEX('NVRAM map'!$AF$3:$AG$319,MATCH(1,('NVRAM map'!$AF$3:$AF$319=$A33)*('NVRAM map'!$AI$3:$AI$319&gt;=P$3)*('NVRAM map'!$AJ$3:$AJ$319&lt;=P$3),0),2)),"-",INDEX('NVRAM map'!$AF$3:$AG$319,MATCH(1,('NVRAM map'!$AF$3:$AF$319=$A33)*('NVRAM map'!$AI$3:$AI$319&gt;=P$3)*('NVRAM map'!$AJ$3:$AJ$319&lt;=P$3),0),2))</f>
        <v>TMEMS_D0</v>
      </c>
      <c r="Q33" s="87" t="str">
        <f t="array" aca="1" ref="Q33" ca="1">IF(ISNA(INDEX('NVRAM map'!$AF$3:$AG$319,MATCH(1,('NVRAM map'!$AF$3:$AF$319=$A33)*('NVRAM map'!$AI$3:$AI$319&gt;=Q$3)*('NVRAM map'!$AJ$3:$AJ$319&lt;=Q$3),0),2)),"-",INDEX('NVRAM map'!$AF$3:$AG$319,MATCH(1,('NVRAM map'!$AF$3:$AF$319=$A33)*('NVRAM map'!$AI$3:$AI$319&gt;=Q$3)*('NVRAM map'!$AJ$3:$AJ$319&lt;=Q$3),0),2))</f>
        <v>TMEMS_D0</v>
      </c>
      <c r="R33" s="87" t="str">
        <f t="array" aca="1" ref="R33" ca="1">IF(ISNA(INDEX('NVRAM map'!$AF$3:$AG$319,MATCH(1,('NVRAM map'!$AF$3:$AF$319=$A33)*('NVRAM map'!$AI$3:$AI$319&gt;=R$3)*('NVRAM map'!$AJ$3:$AJ$319&lt;=R$3),0),2)),"-",INDEX('NVRAM map'!$AF$3:$AG$319,MATCH(1,('NVRAM map'!$AF$3:$AF$319=$A33)*('NVRAM map'!$AI$3:$AI$319&gt;=R$3)*('NVRAM map'!$AJ$3:$AJ$319&lt;=R$3),0),2))</f>
        <v>TMEMS_D0</v>
      </c>
      <c r="S33" s="87" t="str">
        <f t="array" aca="1" ref="S33" ca="1">IF(ISNA(INDEX('NVRAM map'!$AF$3:$AG$319,MATCH(1,('NVRAM map'!$AF$3:$AF$319=$A33)*('NVRAM map'!$AI$3:$AI$319&gt;=S$3)*('NVRAM map'!$AJ$3:$AJ$319&lt;=S$3),0),2)),"-",INDEX('NVRAM map'!$AF$3:$AG$319,MATCH(1,('NVRAM map'!$AF$3:$AF$319=$A33)*('NVRAM map'!$AI$3:$AI$319&gt;=S$3)*('NVRAM map'!$AJ$3:$AJ$319&lt;=S$3),0),2))</f>
        <v>TMEMS_D0</v>
      </c>
      <c r="T33" s="87" t="str">
        <f t="array" aca="1" ref="T33" ca="1">IF(ISNA(INDEX('NVRAM map'!$AF$3:$AG$319,MATCH(1,('NVRAM map'!$AF$3:$AF$319=$A33)*('NVRAM map'!$AI$3:$AI$319&gt;=T$3)*('NVRAM map'!$AJ$3:$AJ$319&lt;=T$3),0),2)),"-",INDEX('NVRAM map'!$AF$3:$AG$319,MATCH(1,('NVRAM map'!$AF$3:$AF$319=$A33)*('NVRAM map'!$AI$3:$AI$319&gt;=T$3)*('NVRAM map'!$AJ$3:$AJ$319&lt;=T$3),0),2))</f>
        <v>TMEMS_D0</v>
      </c>
      <c r="U33" s="87" t="str">
        <f t="array" aca="1" ref="U33" ca="1">IF(ISNA(INDEX('NVRAM map'!$AF$3:$AG$319,MATCH(1,('NVRAM map'!$AF$3:$AF$319=$A33)*('NVRAM map'!$AI$3:$AI$319&gt;=U$3)*('NVRAM map'!$AJ$3:$AJ$319&lt;=U$3),0),2)),"-",INDEX('NVRAM map'!$AF$3:$AG$319,MATCH(1,('NVRAM map'!$AF$3:$AF$319=$A33)*('NVRAM map'!$AI$3:$AI$319&gt;=U$3)*('NVRAM map'!$AJ$3:$AJ$319&lt;=U$3),0),2))</f>
        <v>TMEMS_D0</v>
      </c>
      <c r="V33" s="87" t="str">
        <f t="array" aca="1" ref="V33" ca="1">IF(ISNA(INDEX('NVRAM map'!$AF$3:$AG$319,MATCH(1,('NVRAM map'!$AF$3:$AF$319=$A33)*('NVRAM map'!$AI$3:$AI$319&gt;=V$3)*('NVRAM map'!$AJ$3:$AJ$319&lt;=V$3),0),2)),"-",INDEX('NVRAM map'!$AF$3:$AG$319,MATCH(1,('NVRAM map'!$AF$3:$AF$319=$A33)*('NVRAM map'!$AI$3:$AI$319&gt;=V$3)*('NVRAM map'!$AJ$3:$AJ$319&lt;=V$3),0),2))</f>
        <v>TMEMS_D0</v>
      </c>
      <c r="W33" s="87" t="str">
        <f t="array" aca="1" ref="W33" ca="1">IF(ISNA(INDEX('NVRAM map'!$AF$3:$AG$319,MATCH(1,('NVRAM map'!$AF$3:$AF$319=$A33)*('NVRAM map'!$AI$3:$AI$319&gt;=W$3)*('NVRAM map'!$AJ$3:$AJ$319&lt;=W$3),0),2)),"-",INDEX('NVRAM map'!$AF$3:$AG$319,MATCH(1,('NVRAM map'!$AF$3:$AF$319=$A33)*('NVRAM map'!$AI$3:$AI$319&gt;=W$3)*('NVRAM map'!$AJ$3:$AJ$319&lt;=W$3),0),2))</f>
        <v>TMEMS_D0</v>
      </c>
      <c r="X33" s="88" t="str">
        <f ca="1">INDEX('NVRAM map'!$B$3:$B$319,MATCH(A33,'NVRAM map'!$E$3:$E$319,0))</f>
        <v>CUST</v>
      </c>
      <c r="AB33" s="44">
        <f t="shared" ca="1" si="2"/>
        <v>409</v>
      </c>
      <c r="AC33" s="12" t="b">
        <f ca="1">COUNTIF('NVRAM map'!$AD$3:$AE$319,A33)&lt;2</f>
        <v>1</v>
      </c>
      <c r="AD33" s="12">
        <f ca="1">SUMIF('NVRAM map'!$AF$3:$AF$319,A33,'NVRAM map'!$AK$3:$AK$319)</f>
        <v>65535</v>
      </c>
      <c r="AE33" s="12" t="str">
        <f t="shared" ca="1" si="3"/>
        <v>FFFF</v>
      </c>
      <c r="AF33" s="12" t="str">
        <f t="shared" ca="1" si="4"/>
        <v>11111111</v>
      </c>
      <c r="AG33" s="12" t="str">
        <f t="shared" ca="1" si="5"/>
        <v>11111111</v>
      </c>
      <c r="AH33" s="12">
        <f t="shared" ca="1" si="6"/>
        <v>16</v>
      </c>
      <c r="AI33" s="12">
        <f ca="1">SUMIF('NVRAM map'!$AF$3:$AF$319,A33,'NVRAM map'!$AH$3:$AH$319)</f>
        <v>16</v>
      </c>
      <c r="AJ33" s="12" t="b">
        <f t="shared" ca="1" si="7"/>
        <v>1</v>
      </c>
      <c r="AK33" s="12">
        <f ca="1">COUNTIF('NVRAM map'!$AF$3:$AF$319,A33)</f>
        <v>1</v>
      </c>
      <c r="AM33" s="89">
        <v>0</v>
      </c>
      <c r="AN33" s="80">
        <f t="shared" ca="1" si="13"/>
        <v>0</v>
      </c>
      <c r="AO33" s="80">
        <f t="shared" ca="1" si="13"/>
        <v>0</v>
      </c>
      <c r="AP33" s="80">
        <f t="shared" ca="1" si="13"/>
        <v>0</v>
      </c>
      <c r="AQ33" s="80">
        <f t="shared" ca="1" si="13"/>
        <v>0</v>
      </c>
      <c r="AR33" s="80">
        <f t="shared" ca="1" si="13"/>
        <v>0</v>
      </c>
      <c r="AS33" s="80">
        <f t="shared" ca="1" si="13"/>
        <v>0</v>
      </c>
      <c r="AT33" s="80">
        <f t="shared" ca="1" si="13"/>
        <v>0</v>
      </c>
      <c r="AU33" s="80">
        <f t="shared" ca="1" si="13"/>
        <v>0</v>
      </c>
      <c r="AV33" s="80">
        <f t="shared" ca="1" si="13"/>
        <v>0</v>
      </c>
      <c r="AW33" s="80">
        <f t="shared" ca="1" si="13"/>
        <v>0</v>
      </c>
      <c r="AX33" s="80">
        <f t="shared" ca="1" si="13"/>
        <v>0</v>
      </c>
      <c r="AY33" s="80">
        <f t="shared" ca="1" si="13"/>
        <v>0</v>
      </c>
      <c r="AZ33" s="80">
        <f t="shared" ca="1" si="13"/>
        <v>0</v>
      </c>
      <c r="BA33" s="80">
        <f t="shared" ca="1" si="13"/>
        <v>0</v>
      </c>
      <c r="BB33" s="81">
        <f t="shared" ca="1" si="13"/>
        <v>0</v>
      </c>
      <c r="BD33" s="12" t="str">
        <f t="shared" si="9"/>
        <v>0x103A</v>
      </c>
      <c r="BE33" s="12" t="str">
        <f t="shared" ca="1" si="10"/>
        <v>1110010110110100</v>
      </c>
      <c r="BG33" s="53" t="str">
        <f t="shared" ca="1" si="11"/>
        <v>`define EE_TMEMS_D0 14</v>
      </c>
    </row>
    <row r="34" spans="1:59">
      <c r="A34" s="82" t="s">
        <v>297</v>
      </c>
      <c r="B34" s="82">
        <v>60</v>
      </c>
      <c r="C34" s="82">
        <v>15</v>
      </c>
      <c r="D34" s="83">
        <f ca="1">SUMIF('NVRAM map'!$AF$3:$AF$319,A34,'NVRAM map'!$AN$3:$AN$319)</f>
        <v>19594</v>
      </c>
      <c r="E34" s="84" t="str">
        <f t="shared" ca="1" si="0"/>
        <v>4C8A</v>
      </c>
      <c r="F34" s="85" t="str">
        <f t="shared" ca="1" si="12"/>
        <v>4C8A</v>
      </c>
      <c r="G34" s="86" t="str">
        <f ca="1">VLOOKUP(MemoryView!A34,'NVRAM map'!$AD$3:$AE$319,2,0)</f>
        <v>EE_TMEMS_D1</v>
      </c>
      <c r="H34" s="87" t="str">
        <f t="array" aca="1" ref="H34" ca="1">IF(ISNA(INDEX('NVRAM map'!$AF$3:$AG$319,MATCH(1,('NVRAM map'!$AF$3:$AF$319=$A34)*('NVRAM map'!$AI$3:$AI$319&gt;=H$3)*('NVRAM map'!$AJ$3:$AJ$319&lt;=H$3),0),2)),"-",INDEX('NVRAM map'!$AF$3:$AG$319,MATCH(1,('NVRAM map'!$AF$3:$AF$319=$A34)*('NVRAM map'!$AI$3:$AI$319&gt;=H$3)*('NVRAM map'!$AJ$3:$AJ$319&lt;=H$3),0),2))</f>
        <v>TMEMS_D1</v>
      </c>
      <c r="I34" s="87" t="str">
        <f t="array" aca="1" ref="I34" ca="1">IF(ISNA(INDEX('NVRAM map'!$AF$3:$AG$319,MATCH(1,('NVRAM map'!$AF$3:$AF$319=$A34)*('NVRAM map'!$AI$3:$AI$319&gt;=I$3)*('NVRAM map'!$AJ$3:$AJ$319&lt;=I$3),0),2)),"-",INDEX('NVRAM map'!$AF$3:$AG$319,MATCH(1,('NVRAM map'!$AF$3:$AF$319=$A34)*('NVRAM map'!$AI$3:$AI$319&gt;=I$3)*('NVRAM map'!$AJ$3:$AJ$319&lt;=I$3),0),2))</f>
        <v>TMEMS_D1</v>
      </c>
      <c r="J34" s="87" t="str">
        <f t="array" aca="1" ref="J34" ca="1">IF(ISNA(INDEX('NVRAM map'!$AF$3:$AG$319,MATCH(1,('NVRAM map'!$AF$3:$AF$319=$A34)*('NVRAM map'!$AI$3:$AI$319&gt;=J$3)*('NVRAM map'!$AJ$3:$AJ$319&lt;=J$3),0),2)),"-",INDEX('NVRAM map'!$AF$3:$AG$319,MATCH(1,('NVRAM map'!$AF$3:$AF$319=$A34)*('NVRAM map'!$AI$3:$AI$319&gt;=J$3)*('NVRAM map'!$AJ$3:$AJ$319&lt;=J$3),0),2))</f>
        <v>TMEMS_D1</v>
      </c>
      <c r="K34" s="87" t="str">
        <f t="array" aca="1" ref="K34" ca="1">IF(ISNA(INDEX('NVRAM map'!$AF$3:$AG$319,MATCH(1,('NVRAM map'!$AF$3:$AF$319=$A34)*('NVRAM map'!$AI$3:$AI$319&gt;=K$3)*('NVRAM map'!$AJ$3:$AJ$319&lt;=K$3),0),2)),"-",INDEX('NVRAM map'!$AF$3:$AG$319,MATCH(1,('NVRAM map'!$AF$3:$AF$319=$A34)*('NVRAM map'!$AI$3:$AI$319&gt;=K$3)*('NVRAM map'!$AJ$3:$AJ$319&lt;=K$3),0),2))</f>
        <v>TMEMS_D1</v>
      </c>
      <c r="L34" s="87" t="str">
        <f t="array" aca="1" ref="L34" ca="1">IF(ISNA(INDEX('NVRAM map'!$AF$3:$AG$319,MATCH(1,('NVRAM map'!$AF$3:$AF$319=$A34)*('NVRAM map'!$AI$3:$AI$319&gt;=L$3)*('NVRAM map'!$AJ$3:$AJ$319&lt;=L$3),0),2)),"-",INDEX('NVRAM map'!$AF$3:$AG$319,MATCH(1,('NVRAM map'!$AF$3:$AF$319=$A34)*('NVRAM map'!$AI$3:$AI$319&gt;=L$3)*('NVRAM map'!$AJ$3:$AJ$319&lt;=L$3),0),2))</f>
        <v>TMEMS_D1</v>
      </c>
      <c r="M34" s="87" t="str">
        <f t="array" aca="1" ref="M34" ca="1">IF(ISNA(INDEX('NVRAM map'!$AF$3:$AG$319,MATCH(1,('NVRAM map'!$AF$3:$AF$319=$A34)*('NVRAM map'!$AI$3:$AI$319&gt;=M$3)*('NVRAM map'!$AJ$3:$AJ$319&lt;=M$3),0),2)),"-",INDEX('NVRAM map'!$AF$3:$AG$319,MATCH(1,('NVRAM map'!$AF$3:$AF$319=$A34)*('NVRAM map'!$AI$3:$AI$319&gt;=M$3)*('NVRAM map'!$AJ$3:$AJ$319&lt;=M$3),0),2))</f>
        <v>TMEMS_D1</v>
      </c>
      <c r="N34" s="87" t="str">
        <f t="array" aca="1" ref="N34" ca="1">IF(ISNA(INDEX('NVRAM map'!$AF$3:$AG$319,MATCH(1,('NVRAM map'!$AF$3:$AF$319=$A34)*('NVRAM map'!$AI$3:$AI$319&gt;=N$3)*('NVRAM map'!$AJ$3:$AJ$319&lt;=N$3),0),2)),"-",INDEX('NVRAM map'!$AF$3:$AG$319,MATCH(1,('NVRAM map'!$AF$3:$AF$319=$A34)*('NVRAM map'!$AI$3:$AI$319&gt;=N$3)*('NVRAM map'!$AJ$3:$AJ$319&lt;=N$3),0),2))</f>
        <v>TMEMS_D1</v>
      </c>
      <c r="O34" s="87" t="str">
        <f t="array" aca="1" ref="O34" ca="1">IF(ISNA(INDEX('NVRAM map'!$AF$3:$AG$319,MATCH(1,('NVRAM map'!$AF$3:$AF$319=$A34)*('NVRAM map'!$AI$3:$AI$319&gt;=O$3)*('NVRAM map'!$AJ$3:$AJ$319&lt;=O$3),0),2)),"-",INDEX('NVRAM map'!$AF$3:$AG$319,MATCH(1,('NVRAM map'!$AF$3:$AF$319=$A34)*('NVRAM map'!$AI$3:$AI$319&gt;=O$3)*('NVRAM map'!$AJ$3:$AJ$319&lt;=O$3),0),2))</f>
        <v>TMEMS_D1</v>
      </c>
      <c r="P34" s="87" t="str">
        <f t="array" aca="1" ref="P34" ca="1">IF(ISNA(INDEX('NVRAM map'!$AF$3:$AG$319,MATCH(1,('NVRAM map'!$AF$3:$AF$319=$A34)*('NVRAM map'!$AI$3:$AI$319&gt;=P$3)*('NVRAM map'!$AJ$3:$AJ$319&lt;=P$3),0),2)),"-",INDEX('NVRAM map'!$AF$3:$AG$319,MATCH(1,('NVRAM map'!$AF$3:$AF$319=$A34)*('NVRAM map'!$AI$3:$AI$319&gt;=P$3)*('NVRAM map'!$AJ$3:$AJ$319&lt;=P$3),0),2))</f>
        <v>TMEMS_D1</v>
      </c>
      <c r="Q34" s="87" t="str">
        <f t="array" aca="1" ref="Q34" ca="1">IF(ISNA(INDEX('NVRAM map'!$AF$3:$AG$319,MATCH(1,('NVRAM map'!$AF$3:$AF$319=$A34)*('NVRAM map'!$AI$3:$AI$319&gt;=Q$3)*('NVRAM map'!$AJ$3:$AJ$319&lt;=Q$3),0),2)),"-",INDEX('NVRAM map'!$AF$3:$AG$319,MATCH(1,('NVRAM map'!$AF$3:$AF$319=$A34)*('NVRAM map'!$AI$3:$AI$319&gt;=Q$3)*('NVRAM map'!$AJ$3:$AJ$319&lt;=Q$3),0),2))</f>
        <v>TMEMS_D1</v>
      </c>
      <c r="R34" s="87" t="str">
        <f t="array" aca="1" ref="R34" ca="1">IF(ISNA(INDEX('NVRAM map'!$AF$3:$AG$319,MATCH(1,('NVRAM map'!$AF$3:$AF$319=$A34)*('NVRAM map'!$AI$3:$AI$319&gt;=R$3)*('NVRAM map'!$AJ$3:$AJ$319&lt;=R$3),0),2)),"-",INDEX('NVRAM map'!$AF$3:$AG$319,MATCH(1,('NVRAM map'!$AF$3:$AF$319=$A34)*('NVRAM map'!$AI$3:$AI$319&gt;=R$3)*('NVRAM map'!$AJ$3:$AJ$319&lt;=R$3),0),2))</f>
        <v>TMEMS_D1</v>
      </c>
      <c r="S34" s="87" t="str">
        <f t="array" aca="1" ref="S34" ca="1">IF(ISNA(INDEX('NVRAM map'!$AF$3:$AG$319,MATCH(1,('NVRAM map'!$AF$3:$AF$319=$A34)*('NVRAM map'!$AI$3:$AI$319&gt;=S$3)*('NVRAM map'!$AJ$3:$AJ$319&lt;=S$3),0),2)),"-",INDEX('NVRAM map'!$AF$3:$AG$319,MATCH(1,('NVRAM map'!$AF$3:$AF$319=$A34)*('NVRAM map'!$AI$3:$AI$319&gt;=S$3)*('NVRAM map'!$AJ$3:$AJ$319&lt;=S$3),0),2))</f>
        <v>TMEMS_D1</v>
      </c>
      <c r="T34" s="87" t="str">
        <f t="array" aca="1" ref="T34" ca="1">IF(ISNA(INDEX('NVRAM map'!$AF$3:$AG$319,MATCH(1,('NVRAM map'!$AF$3:$AF$319=$A34)*('NVRAM map'!$AI$3:$AI$319&gt;=T$3)*('NVRAM map'!$AJ$3:$AJ$319&lt;=T$3),0),2)),"-",INDEX('NVRAM map'!$AF$3:$AG$319,MATCH(1,('NVRAM map'!$AF$3:$AF$319=$A34)*('NVRAM map'!$AI$3:$AI$319&gt;=T$3)*('NVRAM map'!$AJ$3:$AJ$319&lt;=T$3),0),2))</f>
        <v>TMEMS_D1</v>
      </c>
      <c r="U34" s="87" t="str">
        <f t="array" aca="1" ref="U34" ca="1">IF(ISNA(INDEX('NVRAM map'!$AF$3:$AG$319,MATCH(1,('NVRAM map'!$AF$3:$AF$319=$A34)*('NVRAM map'!$AI$3:$AI$319&gt;=U$3)*('NVRAM map'!$AJ$3:$AJ$319&lt;=U$3),0),2)),"-",INDEX('NVRAM map'!$AF$3:$AG$319,MATCH(1,('NVRAM map'!$AF$3:$AF$319=$A34)*('NVRAM map'!$AI$3:$AI$319&gt;=U$3)*('NVRAM map'!$AJ$3:$AJ$319&lt;=U$3),0),2))</f>
        <v>TMEMS_D1</v>
      </c>
      <c r="V34" s="87" t="str">
        <f t="array" aca="1" ref="V34" ca="1">IF(ISNA(INDEX('NVRAM map'!$AF$3:$AG$319,MATCH(1,('NVRAM map'!$AF$3:$AF$319=$A34)*('NVRAM map'!$AI$3:$AI$319&gt;=V$3)*('NVRAM map'!$AJ$3:$AJ$319&lt;=V$3),0),2)),"-",INDEX('NVRAM map'!$AF$3:$AG$319,MATCH(1,('NVRAM map'!$AF$3:$AF$319=$A34)*('NVRAM map'!$AI$3:$AI$319&gt;=V$3)*('NVRAM map'!$AJ$3:$AJ$319&lt;=V$3),0),2))</f>
        <v>TMEMS_D1</v>
      </c>
      <c r="W34" s="87" t="str">
        <f t="array" aca="1" ref="W34" ca="1">IF(ISNA(INDEX('NVRAM map'!$AF$3:$AG$319,MATCH(1,('NVRAM map'!$AF$3:$AF$319=$A34)*('NVRAM map'!$AI$3:$AI$319&gt;=W$3)*('NVRAM map'!$AJ$3:$AJ$319&lt;=W$3),0),2)),"-",INDEX('NVRAM map'!$AF$3:$AG$319,MATCH(1,('NVRAM map'!$AF$3:$AF$319=$A34)*('NVRAM map'!$AI$3:$AI$319&gt;=W$3)*('NVRAM map'!$AJ$3:$AJ$319&lt;=W$3),0),2))</f>
        <v>TMEMS_D1</v>
      </c>
      <c r="X34" s="88" t="str">
        <f ca="1">INDEX('NVRAM map'!$B$3:$B$319,MATCH(A34,'NVRAM map'!$E$3:$E$319,0))</f>
        <v>CUST</v>
      </c>
      <c r="Z34" s="44" t="str">
        <f ca="1">DEC2HEX(Z35)</f>
        <v>19</v>
      </c>
      <c r="AA34" s="90" t="s">
        <v>298</v>
      </c>
      <c r="AB34" s="44">
        <f t="shared" ca="1" si="2"/>
        <v>214</v>
      </c>
      <c r="AC34" s="12" t="b">
        <f ca="1">COUNTIF('NVRAM map'!$AD$3:$AE$319,A34)&lt;2</f>
        <v>1</v>
      </c>
      <c r="AD34" s="12">
        <f ca="1">SUMIF('NVRAM map'!$AF$3:$AF$319,A34,'NVRAM map'!$AK$3:$AK$319)</f>
        <v>65535</v>
      </c>
      <c r="AE34" s="12" t="str">
        <f t="shared" ca="1" si="3"/>
        <v>FFFF</v>
      </c>
      <c r="AF34" s="12" t="str">
        <f t="shared" ca="1" si="4"/>
        <v>11111111</v>
      </c>
      <c r="AG34" s="12" t="str">
        <f t="shared" ca="1" si="5"/>
        <v>11111111</v>
      </c>
      <c r="AH34" s="12">
        <f t="shared" ca="1" si="6"/>
        <v>16</v>
      </c>
      <c r="AI34" s="12">
        <f ca="1">SUMIF('NVRAM map'!$AF$3:$AF$319,A34,'NVRAM map'!$AH$3:$AH$319)</f>
        <v>16</v>
      </c>
      <c r="AJ34" s="12" t="b">
        <f t="shared" ca="1" si="7"/>
        <v>1</v>
      </c>
      <c r="AK34" s="12">
        <f ca="1">COUNTIF('NVRAM map'!$AF$3:$AF$319,A34)</f>
        <v>1</v>
      </c>
      <c r="AM34" s="89">
        <v>0</v>
      </c>
      <c r="AN34" s="80">
        <f t="shared" ca="1" si="13"/>
        <v>0</v>
      </c>
      <c r="AO34" s="80">
        <f t="shared" ca="1" si="13"/>
        <v>0</v>
      </c>
      <c r="AP34" s="80">
        <f t="shared" ca="1" si="13"/>
        <v>0</v>
      </c>
      <c r="AQ34" s="80">
        <f t="shared" ca="1" si="13"/>
        <v>0</v>
      </c>
      <c r="AR34" s="80">
        <f t="shared" ca="1" si="13"/>
        <v>0</v>
      </c>
      <c r="AS34" s="80">
        <f t="shared" ca="1" si="13"/>
        <v>0</v>
      </c>
      <c r="AT34" s="80">
        <f t="shared" ca="1" si="13"/>
        <v>0</v>
      </c>
      <c r="AU34" s="80">
        <f t="shared" ca="1" si="13"/>
        <v>0</v>
      </c>
      <c r="AV34" s="80">
        <f t="shared" ca="1" si="13"/>
        <v>0</v>
      </c>
      <c r="AW34" s="80">
        <f t="shared" ca="1" si="13"/>
        <v>0</v>
      </c>
      <c r="AX34" s="80">
        <f t="shared" ca="1" si="13"/>
        <v>0</v>
      </c>
      <c r="AY34" s="80">
        <f t="shared" ca="1" si="13"/>
        <v>0</v>
      </c>
      <c r="AZ34" s="80">
        <f t="shared" ca="1" si="13"/>
        <v>0</v>
      </c>
      <c r="BA34" s="80">
        <f t="shared" ca="1" si="13"/>
        <v>0</v>
      </c>
      <c r="BB34" s="81">
        <f t="shared" ca="1" si="13"/>
        <v>0</v>
      </c>
      <c r="BD34" s="12" t="str">
        <f t="shared" si="9"/>
        <v>0x103C</v>
      </c>
      <c r="BE34" s="12" t="str">
        <f t="shared" ca="1" si="10"/>
        <v>0100110010001010</v>
      </c>
      <c r="BG34" s="53" t="str">
        <f t="shared" ca="1" si="11"/>
        <v>`define EE_TMEMS_D1 15</v>
      </c>
    </row>
    <row r="35" spans="1:59">
      <c r="A35" s="82" t="s">
        <v>299</v>
      </c>
      <c r="B35" s="82">
        <v>62</v>
      </c>
      <c r="C35" s="82">
        <v>15</v>
      </c>
      <c r="D35" s="83">
        <f ca="1">SUMIF('NVRAM map'!$AF$3:$AF$319,A35,'NVRAM map'!$AN$3:$AN$319)</f>
        <v>118</v>
      </c>
      <c r="E35" s="84" t="str">
        <f t="shared" ca="1" si="0"/>
        <v>0076</v>
      </c>
      <c r="F35" s="85" t="str">
        <f t="shared" ca="1" si="12"/>
        <v>0076</v>
      </c>
      <c r="G35" s="86" t="str">
        <f ca="1">VLOOKUP(MemoryView!A35,'NVRAM map'!$AD$3:$AE$319,2,0)</f>
        <v>EE_TMEMS_D2</v>
      </c>
      <c r="H35" s="87" t="str">
        <f t="array" aca="1" ref="H35" ca="1">IF(ISNA(INDEX('NVRAM map'!$AF$3:$AG$319,MATCH(1,('NVRAM map'!$AF$3:$AF$319=$A35)*('NVRAM map'!$AI$3:$AI$319&gt;=H$3)*('NVRAM map'!$AJ$3:$AJ$319&lt;=H$3),0),2)),"-",INDEX('NVRAM map'!$AF$3:$AG$319,MATCH(1,('NVRAM map'!$AF$3:$AF$319=$A35)*('NVRAM map'!$AI$3:$AI$319&gt;=H$3)*('NVRAM map'!$AJ$3:$AJ$319&lt;=H$3),0),2))</f>
        <v>TMEMS_D2</v>
      </c>
      <c r="I35" s="87" t="str">
        <f t="array" aca="1" ref="I35" ca="1">IF(ISNA(INDEX('NVRAM map'!$AF$3:$AG$319,MATCH(1,('NVRAM map'!$AF$3:$AF$319=$A35)*('NVRAM map'!$AI$3:$AI$319&gt;=I$3)*('NVRAM map'!$AJ$3:$AJ$319&lt;=I$3),0),2)),"-",INDEX('NVRAM map'!$AF$3:$AG$319,MATCH(1,('NVRAM map'!$AF$3:$AF$319=$A35)*('NVRAM map'!$AI$3:$AI$319&gt;=I$3)*('NVRAM map'!$AJ$3:$AJ$319&lt;=I$3),0),2))</f>
        <v>TMEMS_D2</v>
      </c>
      <c r="J35" s="87" t="str">
        <f t="array" aca="1" ref="J35" ca="1">IF(ISNA(INDEX('NVRAM map'!$AF$3:$AG$319,MATCH(1,('NVRAM map'!$AF$3:$AF$319=$A35)*('NVRAM map'!$AI$3:$AI$319&gt;=J$3)*('NVRAM map'!$AJ$3:$AJ$319&lt;=J$3),0),2)),"-",INDEX('NVRAM map'!$AF$3:$AG$319,MATCH(1,('NVRAM map'!$AF$3:$AF$319=$A35)*('NVRAM map'!$AI$3:$AI$319&gt;=J$3)*('NVRAM map'!$AJ$3:$AJ$319&lt;=J$3),0),2))</f>
        <v>TMEMS_D2</v>
      </c>
      <c r="K35" s="87" t="str">
        <f t="array" aca="1" ref="K35" ca="1">IF(ISNA(INDEX('NVRAM map'!$AF$3:$AG$319,MATCH(1,('NVRAM map'!$AF$3:$AF$319=$A35)*('NVRAM map'!$AI$3:$AI$319&gt;=K$3)*('NVRAM map'!$AJ$3:$AJ$319&lt;=K$3),0),2)),"-",INDEX('NVRAM map'!$AF$3:$AG$319,MATCH(1,('NVRAM map'!$AF$3:$AF$319=$A35)*('NVRAM map'!$AI$3:$AI$319&gt;=K$3)*('NVRAM map'!$AJ$3:$AJ$319&lt;=K$3),0),2))</f>
        <v>TMEMS_D2</v>
      </c>
      <c r="L35" s="87" t="str">
        <f t="array" aca="1" ref="L35" ca="1">IF(ISNA(INDEX('NVRAM map'!$AF$3:$AG$319,MATCH(1,('NVRAM map'!$AF$3:$AF$319=$A35)*('NVRAM map'!$AI$3:$AI$319&gt;=L$3)*('NVRAM map'!$AJ$3:$AJ$319&lt;=L$3),0),2)),"-",INDEX('NVRAM map'!$AF$3:$AG$319,MATCH(1,('NVRAM map'!$AF$3:$AF$319=$A35)*('NVRAM map'!$AI$3:$AI$319&gt;=L$3)*('NVRAM map'!$AJ$3:$AJ$319&lt;=L$3),0),2))</f>
        <v>TMEMS_D2</v>
      </c>
      <c r="M35" s="87" t="str">
        <f t="array" aca="1" ref="M35" ca="1">IF(ISNA(INDEX('NVRAM map'!$AF$3:$AG$319,MATCH(1,('NVRAM map'!$AF$3:$AF$319=$A35)*('NVRAM map'!$AI$3:$AI$319&gt;=M$3)*('NVRAM map'!$AJ$3:$AJ$319&lt;=M$3),0),2)),"-",INDEX('NVRAM map'!$AF$3:$AG$319,MATCH(1,('NVRAM map'!$AF$3:$AF$319=$A35)*('NVRAM map'!$AI$3:$AI$319&gt;=M$3)*('NVRAM map'!$AJ$3:$AJ$319&lt;=M$3),0),2))</f>
        <v>TMEMS_D2</v>
      </c>
      <c r="N35" s="87" t="str">
        <f t="array" aca="1" ref="N35" ca="1">IF(ISNA(INDEX('NVRAM map'!$AF$3:$AG$319,MATCH(1,('NVRAM map'!$AF$3:$AF$319=$A35)*('NVRAM map'!$AI$3:$AI$319&gt;=N$3)*('NVRAM map'!$AJ$3:$AJ$319&lt;=N$3),0),2)),"-",INDEX('NVRAM map'!$AF$3:$AG$319,MATCH(1,('NVRAM map'!$AF$3:$AF$319=$A35)*('NVRAM map'!$AI$3:$AI$319&gt;=N$3)*('NVRAM map'!$AJ$3:$AJ$319&lt;=N$3),0),2))</f>
        <v>TMEMS_D2</v>
      </c>
      <c r="O35" s="87" t="str">
        <f t="array" aca="1" ref="O35" ca="1">IF(ISNA(INDEX('NVRAM map'!$AF$3:$AG$319,MATCH(1,('NVRAM map'!$AF$3:$AF$319=$A35)*('NVRAM map'!$AI$3:$AI$319&gt;=O$3)*('NVRAM map'!$AJ$3:$AJ$319&lt;=O$3),0),2)),"-",INDEX('NVRAM map'!$AF$3:$AG$319,MATCH(1,('NVRAM map'!$AF$3:$AF$319=$A35)*('NVRAM map'!$AI$3:$AI$319&gt;=O$3)*('NVRAM map'!$AJ$3:$AJ$319&lt;=O$3),0),2))</f>
        <v>TMEMS_D2</v>
      </c>
      <c r="P35" s="87" t="str">
        <f t="array" aca="1" ref="P35" ca="1">IF(ISNA(INDEX('NVRAM map'!$AF$3:$AG$319,MATCH(1,('NVRAM map'!$AF$3:$AF$319=$A35)*('NVRAM map'!$AI$3:$AI$319&gt;=P$3)*('NVRAM map'!$AJ$3:$AJ$319&lt;=P$3),0),2)),"-",INDEX('NVRAM map'!$AF$3:$AG$319,MATCH(1,('NVRAM map'!$AF$3:$AF$319=$A35)*('NVRAM map'!$AI$3:$AI$319&gt;=P$3)*('NVRAM map'!$AJ$3:$AJ$319&lt;=P$3),0),2))</f>
        <v>TMEMS_D2</v>
      </c>
      <c r="Q35" s="87" t="str">
        <f t="array" aca="1" ref="Q35" ca="1">IF(ISNA(INDEX('NVRAM map'!$AF$3:$AG$319,MATCH(1,('NVRAM map'!$AF$3:$AF$319=$A35)*('NVRAM map'!$AI$3:$AI$319&gt;=Q$3)*('NVRAM map'!$AJ$3:$AJ$319&lt;=Q$3),0),2)),"-",INDEX('NVRAM map'!$AF$3:$AG$319,MATCH(1,('NVRAM map'!$AF$3:$AF$319=$A35)*('NVRAM map'!$AI$3:$AI$319&gt;=Q$3)*('NVRAM map'!$AJ$3:$AJ$319&lt;=Q$3),0),2))</f>
        <v>TMEMS_D2</v>
      </c>
      <c r="R35" s="87" t="str">
        <f t="array" aca="1" ref="R35" ca="1">IF(ISNA(INDEX('NVRAM map'!$AF$3:$AG$319,MATCH(1,('NVRAM map'!$AF$3:$AF$319=$A35)*('NVRAM map'!$AI$3:$AI$319&gt;=R$3)*('NVRAM map'!$AJ$3:$AJ$319&lt;=R$3),0),2)),"-",INDEX('NVRAM map'!$AF$3:$AG$319,MATCH(1,('NVRAM map'!$AF$3:$AF$319=$A35)*('NVRAM map'!$AI$3:$AI$319&gt;=R$3)*('NVRAM map'!$AJ$3:$AJ$319&lt;=R$3),0),2))</f>
        <v>TMEMS_D2</v>
      </c>
      <c r="S35" s="87" t="str">
        <f t="array" aca="1" ref="S35" ca="1">IF(ISNA(INDEX('NVRAM map'!$AF$3:$AG$319,MATCH(1,('NVRAM map'!$AF$3:$AF$319=$A35)*('NVRAM map'!$AI$3:$AI$319&gt;=S$3)*('NVRAM map'!$AJ$3:$AJ$319&lt;=S$3),0),2)),"-",INDEX('NVRAM map'!$AF$3:$AG$319,MATCH(1,('NVRAM map'!$AF$3:$AF$319=$A35)*('NVRAM map'!$AI$3:$AI$319&gt;=S$3)*('NVRAM map'!$AJ$3:$AJ$319&lt;=S$3),0),2))</f>
        <v>TMEMS_D2</v>
      </c>
      <c r="T35" s="87" t="str">
        <f t="array" aca="1" ref="T35" ca="1">IF(ISNA(INDEX('NVRAM map'!$AF$3:$AG$319,MATCH(1,('NVRAM map'!$AF$3:$AF$319=$A35)*('NVRAM map'!$AI$3:$AI$319&gt;=T$3)*('NVRAM map'!$AJ$3:$AJ$319&lt;=T$3),0),2)),"-",INDEX('NVRAM map'!$AF$3:$AG$319,MATCH(1,('NVRAM map'!$AF$3:$AF$319=$A35)*('NVRAM map'!$AI$3:$AI$319&gt;=T$3)*('NVRAM map'!$AJ$3:$AJ$319&lt;=T$3),0),2))</f>
        <v>TMEMS_D2</v>
      </c>
      <c r="U35" s="87" t="str">
        <f t="array" aca="1" ref="U35" ca="1">IF(ISNA(INDEX('NVRAM map'!$AF$3:$AG$319,MATCH(1,('NVRAM map'!$AF$3:$AF$319=$A35)*('NVRAM map'!$AI$3:$AI$319&gt;=U$3)*('NVRAM map'!$AJ$3:$AJ$319&lt;=U$3),0),2)),"-",INDEX('NVRAM map'!$AF$3:$AG$319,MATCH(1,('NVRAM map'!$AF$3:$AF$319=$A35)*('NVRAM map'!$AI$3:$AI$319&gt;=U$3)*('NVRAM map'!$AJ$3:$AJ$319&lt;=U$3),0),2))</f>
        <v>TMEMS_D2</v>
      </c>
      <c r="V35" s="87" t="str">
        <f t="array" aca="1" ref="V35" ca="1">IF(ISNA(INDEX('NVRAM map'!$AF$3:$AG$319,MATCH(1,('NVRAM map'!$AF$3:$AF$319=$A35)*('NVRAM map'!$AI$3:$AI$319&gt;=V$3)*('NVRAM map'!$AJ$3:$AJ$319&lt;=V$3),0),2)),"-",INDEX('NVRAM map'!$AF$3:$AG$319,MATCH(1,('NVRAM map'!$AF$3:$AF$319=$A35)*('NVRAM map'!$AI$3:$AI$319&gt;=V$3)*('NVRAM map'!$AJ$3:$AJ$319&lt;=V$3),0),2))</f>
        <v>TMEMS_D2</v>
      </c>
      <c r="W35" s="87" t="str">
        <f t="array" aca="1" ref="W35" ca="1">IF(ISNA(INDEX('NVRAM map'!$AF$3:$AG$319,MATCH(1,('NVRAM map'!$AF$3:$AF$319=$A35)*('NVRAM map'!$AI$3:$AI$319&gt;=W$3)*('NVRAM map'!$AJ$3:$AJ$319&lt;=W$3),0),2)),"-",INDEX('NVRAM map'!$AF$3:$AG$319,MATCH(1,('NVRAM map'!$AF$3:$AF$319=$A35)*('NVRAM map'!$AI$3:$AI$319&gt;=W$3)*('NVRAM map'!$AJ$3:$AJ$319&lt;=W$3),0),2))</f>
        <v>TMEMS_D2</v>
      </c>
      <c r="X35" s="88" t="str">
        <f ca="1">INDEX('NVRAM map'!$B$3:$B$319,MATCH(A35,'NVRAM map'!$E$3:$E$319,0))</f>
        <v>CUST</v>
      </c>
      <c r="Y35" s="22" t="s">
        <v>300</v>
      </c>
      <c r="Z35" s="44">
        <f ca="1">2^8-MOD(SUM(AB5:AB35),2^8)-1</f>
        <v>25</v>
      </c>
      <c r="AA35" s="90" t="s">
        <v>301</v>
      </c>
      <c r="AB35" s="44">
        <f t="shared" ca="1" si="2"/>
        <v>118</v>
      </c>
      <c r="AC35" s="12" t="b">
        <f ca="1">COUNTIF('NVRAM map'!$AD$3:$AE$319,A35)&lt;2</f>
        <v>1</v>
      </c>
      <c r="AD35" s="12">
        <f ca="1">SUMIF('NVRAM map'!$AF$3:$AF$319,A35,'NVRAM map'!$AK$3:$AK$319)</f>
        <v>65535</v>
      </c>
      <c r="AE35" s="12" t="str">
        <f t="shared" ca="1" si="3"/>
        <v>FFFF</v>
      </c>
      <c r="AF35" s="12" t="str">
        <f t="shared" ca="1" si="4"/>
        <v>11111111</v>
      </c>
      <c r="AG35" s="12" t="str">
        <f t="shared" ca="1" si="5"/>
        <v>11111111</v>
      </c>
      <c r="AH35" s="12">
        <f t="shared" ca="1" si="6"/>
        <v>16</v>
      </c>
      <c r="AI35" s="12">
        <f ca="1">SUMIF('NVRAM map'!$AF$3:$AF$319,A35,'NVRAM map'!$AH$3:$AH$319)</f>
        <v>16</v>
      </c>
      <c r="AJ35" s="12" t="b">
        <f t="shared" ca="1" si="7"/>
        <v>1</v>
      </c>
      <c r="AK35" s="12">
        <f ca="1">COUNTIF('NVRAM map'!$AF$3:$AF$319,A35)</f>
        <v>1</v>
      </c>
      <c r="AM35" s="89">
        <v>0</v>
      </c>
      <c r="AN35" s="80">
        <f t="shared" ca="1" si="13"/>
        <v>0</v>
      </c>
      <c r="AO35" s="80">
        <f t="shared" ca="1" si="13"/>
        <v>0</v>
      </c>
      <c r="AP35" s="80">
        <f t="shared" ca="1" si="13"/>
        <v>0</v>
      </c>
      <c r="AQ35" s="80">
        <f t="shared" ca="1" si="13"/>
        <v>0</v>
      </c>
      <c r="AR35" s="80">
        <f t="shared" ca="1" si="13"/>
        <v>0</v>
      </c>
      <c r="AS35" s="80">
        <f t="shared" ca="1" si="13"/>
        <v>0</v>
      </c>
      <c r="AT35" s="80">
        <f t="shared" ca="1" si="13"/>
        <v>0</v>
      </c>
      <c r="AU35" s="80">
        <f t="shared" ca="1" si="13"/>
        <v>0</v>
      </c>
      <c r="AV35" s="80">
        <f t="shared" ca="1" si="13"/>
        <v>0</v>
      </c>
      <c r="AW35" s="80">
        <f t="shared" ca="1" si="13"/>
        <v>0</v>
      </c>
      <c r="AX35" s="80">
        <f t="shared" ca="1" si="13"/>
        <v>0</v>
      </c>
      <c r="AY35" s="80">
        <f t="shared" ca="1" si="13"/>
        <v>0</v>
      </c>
      <c r="AZ35" s="80">
        <f t="shared" ca="1" si="13"/>
        <v>0</v>
      </c>
      <c r="BA35" s="80">
        <f t="shared" ca="1" si="13"/>
        <v>0</v>
      </c>
      <c r="BB35" s="81">
        <f t="shared" ca="1" si="13"/>
        <v>0</v>
      </c>
      <c r="BD35" s="12" t="str">
        <f t="shared" si="9"/>
        <v>0x103E</v>
      </c>
      <c r="BE35" s="12" t="str">
        <f t="shared" ca="1" si="10"/>
        <v>0000000001110110</v>
      </c>
      <c r="BG35" s="53" t="str">
        <f t="shared" ca="1" si="11"/>
        <v>`define EE_TMEMS_D2 15</v>
      </c>
    </row>
    <row r="36" spans="1:59">
      <c r="A36" s="82" t="s">
        <v>302</v>
      </c>
      <c r="B36" s="82">
        <v>64</v>
      </c>
      <c r="C36" s="82">
        <v>16</v>
      </c>
      <c r="D36" s="83">
        <f ca="1">SUMIF('NVRAM map'!$AF$3:$AF$319,A36,'NVRAM map'!$AN$3:$AN$319)</f>
        <v>771</v>
      </c>
      <c r="E36" s="84" t="str">
        <f t="shared" ca="1" si="0"/>
        <v>0303</v>
      </c>
      <c r="F36" s="85" t="str">
        <f t="shared" ca="1" si="12"/>
        <v>0303</v>
      </c>
      <c r="G36" s="86" t="str">
        <f ca="1">VLOOKUP(MemoryView!A36,'NVRAM map'!$AD$3:$AE$319,2,0)</f>
        <v>EE_TMEMS_D3</v>
      </c>
      <c r="H36" s="87" t="str">
        <f t="array" aca="1" ref="H36" ca="1">IF(ISNA(INDEX('NVRAM map'!$AF$3:$AG$319,MATCH(1,('NVRAM map'!$AF$3:$AF$319=$A36)*('NVRAM map'!$AI$3:$AI$319&gt;=H$3)*('NVRAM map'!$AJ$3:$AJ$319&lt;=H$3),0),2)),"-",INDEX('NVRAM map'!$AF$3:$AG$319,MATCH(1,('NVRAM map'!$AF$3:$AF$319=$A36)*('NVRAM map'!$AI$3:$AI$319&gt;=H$3)*('NVRAM map'!$AJ$3:$AJ$319&lt;=H$3),0),2))</f>
        <v>TMEMS_D3</v>
      </c>
      <c r="I36" s="87" t="str">
        <f t="array" aca="1" ref="I36" ca="1">IF(ISNA(INDEX('NVRAM map'!$AF$3:$AG$319,MATCH(1,('NVRAM map'!$AF$3:$AF$319=$A36)*('NVRAM map'!$AI$3:$AI$319&gt;=I$3)*('NVRAM map'!$AJ$3:$AJ$319&lt;=I$3),0),2)),"-",INDEX('NVRAM map'!$AF$3:$AG$319,MATCH(1,('NVRAM map'!$AF$3:$AF$319=$A36)*('NVRAM map'!$AI$3:$AI$319&gt;=I$3)*('NVRAM map'!$AJ$3:$AJ$319&lt;=I$3),0),2))</f>
        <v>TMEMS_D3</v>
      </c>
      <c r="J36" s="87" t="str">
        <f t="array" aca="1" ref="J36" ca="1">IF(ISNA(INDEX('NVRAM map'!$AF$3:$AG$319,MATCH(1,('NVRAM map'!$AF$3:$AF$319=$A36)*('NVRAM map'!$AI$3:$AI$319&gt;=J$3)*('NVRAM map'!$AJ$3:$AJ$319&lt;=J$3),0),2)),"-",INDEX('NVRAM map'!$AF$3:$AG$319,MATCH(1,('NVRAM map'!$AF$3:$AF$319=$A36)*('NVRAM map'!$AI$3:$AI$319&gt;=J$3)*('NVRAM map'!$AJ$3:$AJ$319&lt;=J$3),0),2))</f>
        <v>TMEMS_D3</v>
      </c>
      <c r="K36" s="87" t="str">
        <f t="array" aca="1" ref="K36" ca="1">IF(ISNA(INDEX('NVRAM map'!$AF$3:$AG$319,MATCH(1,('NVRAM map'!$AF$3:$AF$319=$A36)*('NVRAM map'!$AI$3:$AI$319&gt;=K$3)*('NVRAM map'!$AJ$3:$AJ$319&lt;=K$3),0),2)),"-",INDEX('NVRAM map'!$AF$3:$AG$319,MATCH(1,('NVRAM map'!$AF$3:$AF$319=$A36)*('NVRAM map'!$AI$3:$AI$319&gt;=K$3)*('NVRAM map'!$AJ$3:$AJ$319&lt;=K$3),0),2))</f>
        <v>TMEMS_D3</v>
      </c>
      <c r="L36" s="87" t="str">
        <f t="array" aca="1" ref="L36" ca="1">IF(ISNA(INDEX('NVRAM map'!$AF$3:$AG$319,MATCH(1,('NVRAM map'!$AF$3:$AF$319=$A36)*('NVRAM map'!$AI$3:$AI$319&gt;=L$3)*('NVRAM map'!$AJ$3:$AJ$319&lt;=L$3),0),2)),"-",INDEX('NVRAM map'!$AF$3:$AG$319,MATCH(1,('NVRAM map'!$AF$3:$AF$319=$A36)*('NVRAM map'!$AI$3:$AI$319&gt;=L$3)*('NVRAM map'!$AJ$3:$AJ$319&lt;=L$3),0),2))</f>
        <v>TMEMS_D3</v>
      </c>
      <c r="M36" s="87" t="str">
        <f t="array" aca="1" ref="M36" ca="1">IF(ISNA(INDEX('NVRAM map'!$AF$3:$AG$319,MATCH(1,('NVRAM map'!$AF$3:$AF$319=$A36)*('NVRAM map'!$AI$3:$AI$319&gt;=M$3)*('NVRAM map'!$AJ$3:$AJ$319&lt;=M$3),0),2)),"-",INDEX('NVRAM map'!$AF$3:$AG$319,MATCH(1,('NVRAM map'!$AF$3:$AF$319=$A36)*('NVRAM map'!$AI$3:$AI$319&gt;=M$3)*('NVRAM map'!$AJ$3:$AJ$319&lt;=M$3),0),2))</f>
        <v>TMEMS_D3</v>
      </c>
      <c r="N36" s="87" t="str">
        <f t="array" aca="1" ref="N36" ca="1">IF(ISNA(INDEX('NVRAM map'!$AF$3:$AG$319,MATCH(1,('NVRAM map'!$AF$3:$AF$319=$A36)*('NVRAM map'!$AI$3:$AI$319&gt;=N$3)*('NVRAM map'!$AJ$3:$AJ$319&lt;=N$3),0),2)),"-",INDEX('NVRAM map'!$AF$3:$AG$319,MATCH(1,('NVRAM map'!$AF$3:$AF$319=$A36)*('NVRAM map'!$AI$3:$AI$319&gt;=N$3)*('NVRAM map'!$AJ$3:$AJ$319&lt;=N$3),0),2))</f>
        <v>TMEMS_D3</v>
      </c>
      <c r="O36" s="87" t="str">
        <f t="array" aca="1" ref="O36" ca="1">IF(ISNA(INDEX('NVRAM map'!$AF$3:$AG$319,MATCH(1,('NVRAM map'!$AF$3:$AF$319=$A36)*('NVRAM map'!$AI$3:$AI$319&gt;=O$3)*('NVRAM map'!$AJ$3:$AJ$319&lt;=O$3),0),2)),"-",INDEX('NVRAM map'!$AF$3:$AG$319,MATCH(1,('NVRAM map'!$AF$3:$AF$319=$A36)*('NVRAM map'!$AI$3:$AI$319&gt;=O$3)*('NVRAM map'!$AJ$3:$AJ$319&lt;=O$3),0),2))</f>
        <v>TMEMS_D3</v>
      </c>
      <c r="P36" s="87" t="str">
        <f t="array" aca="1" ref="P36" ca="1">IF(ISNA(INDEX('NVRAM map'!$AF$3:$AG$319,MATCH(1,('NVRAM map'!$AF$3:$AF$319=$A36)*('NVRAM map'!$AI$3:$AI$319&gt;=P$3)*('NVRAM map'!$AJ$3:$AJ$319&lt;=P$3),0),2)),"-",INDEX('NVRAM map'!$AF$3:$AG$319,MATCH(1,('NVRAM map'!$AF$3:$AF$319=$A36)*('NVRAM map'!$AI$3:$AI$319&gt;=P$3)*('NVRAM map'!$AJ$3:$AJ$319&lt;=P$3),0),2))</f>
        <v>TMEMS_D3</v>
      </c>
      <c r="Q36" s="87" t="str">
        <f t="array" aca="1" ref="Q36" ca="1">IF(ISNA(INDEX('NVRAM map'!$AF$3:$AG$319,MATCH(1,('NVRAM map'!$AF$3:$AF$319=$A36)*('NVRAM map'!$AI$3:$AI$319&gt;=Q$3)*('NVRAM map'!$AJ$3:$AJ$319&lt;=Q$3),0),2)),"-",INDEX('NVRAM map'!$AF$3:$AG$319,MATCH(1,('NVRAM map'!$AF$3:$AF$319=$A36)*('NVRAM map'!$AI$3:$AI$319&gt;=Q$3)*('NVRAM map'!$AJ$3:$AJ$319&lt;=Q$3),0),2))</f>
        <v>TMEMS_D3</v>
      </c>
      <c r="R36" s="87" t="str">
        <f t="array" aca="1" ref="R36" ca="1">IF(ISNA(INDEX('NVRAM map'!$AF$3:$AG$319,MATCH(1,('NVRAM map'!$AF$3:$AF$319=$A36)*('NVRAM map'!$AI$3:$AI$319&gt;=R$3)*('NVRAM map'!$AJ$3:$AJ$319&lt;=R$3),0),2)),"-",INDEX('NVRAM map'!$AF$3:$AG$319,MATCH(1,('NVRAM map'!$AF$3:$AF$319=$A36)*('NVRAM map'!$AI$3:$AI$319&gt;=R$3)*('NVRAM map'!$AJ$3:$AJ$319&lt;=R$3),0),2))</f>
        <v>TMEMS_D3</v>
      </c>
      <c r="S36" s="87" t="str">
        <f t="array" aca="1" ref="S36" ca="1">IF(ISNA(INDEX('NVRAM map'!$AF$3:$AG$319,MATCH(1,('NVRAM map'!$AF$3:$AF$319=$A36)*('NVRAM map'!$AI$3:$AI$319&gt;=S$3)*('NVRAM map'!$AJ$3:$AJ$319&lt;=S$3),0),2)),"-",INDEX('NVRAM map'!$AF$3:$AG$319,MATCH(1,('NVRAM map'!$AF$3:$AF$319=$A36)*('NVRAM map'!$AI$3:$AI$319&gt;=S$3)*('NVRAM map'!$AJ$3:$AJ$319&lt;=S$3),0),2))</f>
        <v>TMEMS_D3</v>
      </c>
      <c r="T36" s="87" t="str">
        <f t="array" aca="1" ref="T36" ca="1">IF(ISNA(INDEX('NVRAM map'!$AF$3:$AG$319,MATCH(1,('NVRAM map'!$AF$3:$AF$319=$A36)*('NVRAM map'!$AI$3:$AI$319&gt;=T$3)*('NVRAM map'!$AJ$3:$AJ$319&lt;=T$3),0),2)),"-",INDEX('NVRAM map'!$AF$3:$AG$319,MATCH(1,('NVRAM map'!$AF$3:$AF$319=$A36)*('NVRAM map'!$AI$3:$AI$319&gt;=T$3)*('NVRAM map'!$AJ$3:$AJ$319&lt;=T$3),0),2))</f>
        <v>TMEMS_D3</v>
      </c>
      <c r="U36" s="87" t="str">
        <f t="array" aca="1" ref="U36" ca="1">IF(ISNA(INDEX('NVRAM map'!$AF$3:$AG$319,MATCH(1,('NVRAM map'!$AF$3:$AF$319=$A36)*('NVRAM map'!$AI$3:$AI$319&gt;=U$3)*('NVRAM map'!$AJ$3:$AJ$319&lt;=U$3),0),2)),"-",INDEX('NVRAM map'!$AF$3:$AG$319,MATCH(1,('NVRAM map'!$AF$3:$AF$319=$A36)*('NVRAM map'!$AI$3:$AI$319&gt;=U$3)*('NVRAM map'!$AJ$3:$AJ$319&lt;=U$3),0),2))</f>
        <v>TMEMS_D3</v>
      </c>
      <c r="V36" s="87" t="str">
        <f t="array" aca="1" ref="V36" ca="1">IF(ISNA(INDEX('NVRAM map'!$AF$3:$AG$319,MATCH(1,('NVRAM map'!$AF$3:$AF$319=$A36)*('NVRAM map'!$AI$3:$AI$319&gt;=V$3)*('NVRAM map'!$AJ$3:$AJ$319&lt;=V$3),0),2)),"-",INDEX('NVRAM map'!$AF$3:$AG$319,MATCH(1,('NVRAM map'!$AF$3:$AF$319=$A36)*('NVRAM map'!$AI$3:$AI$319&gt;=V$3)*('NVRAM map'!$AJ$3:$AJ$319&lt;=V$3),0),2))</f>
        <v>TMEMS_D3</v>
      </c>
      <c r="W36" s="87" t="str">
        <f t="array" aca="1" ref="W36" ca="1">IF(ISNA(INDEX('NVRAM map'!$AF$3:$AG$319,MATCH(1,('NVRAM map'!$AF$3:$AF$319=$A36)*('NVRAM map'!$AI$3:$AI$319&gt;=W$3)*('NVRAM map'!$AJ$3:$AJ$319&lt;=W$3),0),2)),"-",INDEX('NVRAM map'!$AF$3:$AG$319,MATCH(1,('NVRAM map'!$AF$3:$AF$319=$A36)*('NVRAM map'!$AI$3:$AI$319&gt;=W$3)*('NVRAM map'!$AJ$3:$AJ$319&lt;=W$3),0),2))</f>
        <v>TMEMS_D3</v>
      </c>
      <c r="X36" s="88" t="str">
        <f ca="1">INDEX('NVRAM map'!$B$3:$B$319,MATCH(A36,'NVRAM map'!$E$3:$E$319,0))</f>
        <v>CUST</v>
      </c>
      <c r="AB36" s="44">
        <f t="shared" ca="1" si="2"/>
        <v>6</v>
      </c>
      <c r="AC36" s="12" t="b">
        <f ca="1">COUNTIF('NVRAM map'!$AD$3:$AE$319,A36)&lt;2</f>
        <v>1</v>
      </c>
      <c r="AD36" s="12">
        <f ca="1">SUMIF('NVRAM map'!$AF$3:$AF$319,A36,'NVRAM map'!$AK$3:$AK$319)</f>
        <v>65535</v>
      </c>
      <c r="AE36" s="12" t="str">
        <f t="shared" ca="1" si="3"/>
        <v>FFFF</v>
      </c>
      <c r="AF36" s="12" t="str">
        <f t="shared" ca="1" si="4"/>
        <v>11111111</v>
      </c>
      <c r="AG36" s="12" t="str">
        <f t="shared" ca="1" si="5"/>
        <v>11111111</v>
      </c>
      <c r="AH36" s="12">
        <f t="shared" ca="1" si="6"/>
        <v>16</v>
      </c>
      <c r="AI36" s="12">
        <f ca="1">SUMIF('NVRAM map'!$AF$3:$AF$319,A36,'NVRAM map'!$AH$3:$AH$319)</f>
        <v>16</v>
      </c>
      <c r="AJ36" s="12" t="b">
        <f t="shared" ca="1" si="7"/>
        <v>1</v>
      </c>
      <c r="AK36" s="12">
        <f ca="1">COUNTIF('NVRAM map'!$AF$3:$AF$319,A36)</f>
        <v>1</v>
      </c>
      <c r="AM36" s="89">
        <v>0</v>
      </c>
      <c r="AN36" s="80">
        <f t="shared" ca="1" si="13"/>
        <v>0</v>
      </c>
      <c r="AO36" s="80">
        <f t="shared" ca="1" si="13"/>
        <v>0</v>
      </c>
      <c r="AP36" s="80">
        <f t="shared" ca="1" si="13"/>
        <v>0</v>
      </c>
      <c r="AQ36" s="80">
        <f t="shared" ca="1" si="13"/>
        <v>0</v>
      </c>
      <c r="AR36" s="80">
        <f t="shared" ca="1" si="13"/>
        <v>0</v>
      </c>
      <c r="AS36" s="80">
        <f t="shared" ca="1" si="13"/>
        <v>0</v>
      </c>
      <c r="AT36" s="80">
        <f t="shared" ca="1" si="13"/>
        <v>0</v>
      </c>
      <c r="AU36" s="80">
        <f t="shared" ca="1" si="13"/>
        <v>0</v>
      </c>
      <c r="AV36" s="80">
        <f t="shared" ca="1" si="13"/>
        <v>0</v>
      </c>
      <c r="AW36" s="80">
        <f t="shared" ca="1" si="13"/>
        <v>0</v>
      </c>
      <c r="AX36" s="80">
        <f t="shared" ca="1" si="13"/>
        <v>0</v>
      </c>
      <c r="AY36" s="80">
        <f t="shared" ca="1" si="13"/>
        <v>0</v>
      </c>
      <c r="AZ36" s="80">
        <f t="shared" ca="1" si="13"/>
        <v>0</v>
      </c>
      <c r="BA36" s="80">
        <f t="shared" ca="1" si="13"/>
        <v>0</v>
      </c>
      <c r="BB36" s="81">
        <f t="shared" ca="1" si="13"/>
        <v>0</v>
      </c>
      <c r="BD36" s="12" t="str">
        <f t="shared" si="9"/>
        <v>0x1040</v>
      </c>
      <c r="BE36" s="12" t="str">
        <f t="shared" ca="1" si="10"/>
        <v>0000001100000011</v>
      </c>
      <c r="BG36" s="53" t="str">
        <f t="shared" ca="1" si="11"/>
        <v>`define EE_TMEMS_D3 16</v>
      </c>
    </row>
    <row r="37" spans="1:59">
      <c r="A37" s="82" t="s">
        <v>303</v>
      </c>
      <c r="B37" s="82">
        <v>66</v>
      </c>
      <c r="C37" s="82">
        <v>16</v>
      </c>
      <c r="D37" s="83">
        <f ca="1">SUMIF('NVRAM map'!$AF$3:$AF$319,A37,'NVRAM map'!$AN$3:$AN$319)</f>
        <v>97</v>
      </c>
      <c r="E37" s="84" t="str">
        <f t="shared" ca="1" si="0"/>
        <v>0061</v>
      </c>
      <c r="F37" s="85" t="str">
        <f t="shared" ca="1" si="12"/>
        <v>0061</v>
      </c>
      <c r="G37" s="86" t="str">
        <f ca="1">VLOOKUP(MemoryView!A37,'NVRAM map'!$AD$3:$AE$319,2,0)</f>
        <v>EE_TMEMS_D4</v>
      </c>
      <c r="H37" s="87" t="str">
        <f t="array" aca="1" ref="H37" ca="1">IF(ISNA(INDEX('NVRAM map'!$AF$3:$AG$319,MATCH(1,('NVRAM map'!$AF$3:$AF$319=$A37)*('NVRAM map'!$AI$3:$AI$319&gt;=H$3)*('NVRAM map'!$AJ$3:$AJ$319&lt;=H$3),0),2)),"-",INDEX('NVRAM map'!$AF$3:$AG$319,MATCH(1,('NVRAM map'!$AF$3:$AF$319=$A37)*('NVRAM map'!$AI$3:$AI$319&gt;=H$3)*('NVRAM map'!$AJ$3:$AJ$319&lt;=H$3),0),2))</f>
        <v>TMEMS_D4</v>
      </c>
      <c r="I37" s="87" t="str">
        <f t="array" aca="1" ref="I37" ca="1">IF(ISNA(INDEX('NVRAM map'!$AF$3:$AG$319,MATCH(1,('NVRAM map'!$AF$3:$AF$319=$A37)*('NVRAM map'!$AI$3:$AI$319&gt;=I$3)*('NVRAM map'!$AJ$3:$AJ$319&lt;=I$3),0),2)),"-",INDEX('NVRAM map'!$AF$3:$AG$319,MATCH(1,('NVRAM map'!$AF$3:$AF$319=$A37)*('NVRAM map'!$AI$3:$AI$319&gt;=I$3)*('NVRAM map'!$AJ$3:$AJ$319&lt;=I$3),0),2))</f>
        <v>TMEMS_D4</v>
      </c>
      <c r="J37" s="87" t="str">
        <f t="array" aca="1" ref="J37" ca="1">IF(ISNA(INDEX('NVRAM map'!$AF$3:$AG$319,MATCH(1,('NVRAM map'!$AF$3:$AF$319=$A37)*('NVRAM map'!$AI$3:$AI$319&gt;=J$3)*('NVRAM map'!$AJ$3:$AJ$319&lt;=J$3),0),2)),"-",INDEX('NVRAM map'!$AF$3:$AG$319,MATCH(1,('NVRAM map'!$AF$3:$AF$319=$A37)*('NVRAM map'!$AI$3:$AI$319&gt;=J$3)*('NVRAM map'!$AJ$3:$AJ$319&lt;=J$3),0),2))</f>
        <v>TMEMS_D4</v>
      </c>
      <c r="K37" s="87" t="str">
        <f t="array" aca="1" ref="K37" ca="1">IF(ISNA(INDEX('NVRAM map'!$AF$3:$AG$319,MATCH(1,('NVRAM map'!$AF$3:$AF$319=$A37)*('NVRAM map'!$AI$3:$AI$319&gt;=K$3)*('NVRAM map'!$AJ$3:$AJ$319&lt;=K$3),0),2)),"-",INDEX('NVRAM map'!$AF$3:$AG$319,MATCH(1,('NVRAM map'!$AF$3:$AF$319=$A37)*('NVRAM map'!$AI$3:$AI$319&gt;=K$3)*('NVRAM map'!$AJ$3:$AJ$319&lt;=K$3),0),2))</f>
        <v>TMEMS_D4</v>
      </c>
      <c r="L37" s="87" t="str">
        <f t="array" aca="1" ref="L37" ca="1">IF(ISNA(INDEX('NVRAM map'!$AF$3:$AG$319,MATCH(1,('NVRAM map'!$AF$3:$AF$319=$A37)*('NVRAM map'!$AI$3:$AI$319&gt;=L$3)*('NVRAM map'!$AJ$3:$AJ$319&lt;=L$3),0),2)),"-",INDEX('NVRAM map'!$AF$3:$AG$319,MATCH(1,('NVRAM map'!$AF$3:$AF$319=$A37)*('NVRAM map'!$AI$3:$AI$319&gt;=L$3)*('NVRAM map'!$AJ$3:$AJ$319&lt;=L$3),0),2))</f>
        <v>TMEMS_D4</v>
      </c>
      <c r="M37" s="87" t="str">
        <f t="array" aca="1" ref="M37" ca="1">IF(ISNA(INDEX('NVRAM map'!$AF$3:$AG$319,MATCH(1,('NVRAM map'!$AF$3:$AF$319=$A37)*('NVRAM map'!$AI$3:$AI$319&gt;=M$3)*('NVRAM map'!$AJ$3:$AJ$319&lt;=M$3),0),2)),"-",INDEX('NVRAM map'!$AF$3:$AG$319,MATCH(1,('NVRAM map'!$AF$3:$AF$319=$A37)*('NVRAM map'!$AI$3:$AI$319&gt;=M$3)*('NVRAM map'!$AJ$3:$AJ$319&lt;=M$3),0),2))</f>
        <v>TMEMS_D4</v>
      </c>
      <c r="N37" s="87" t="str">
        <f t="array" aca="1" ref="N37" ca="1">IF(ISNA(INDEX('NVRAM map'!$AF$3:$AG$319,MATCH(1,('NVRAM map'!$AF$3:$AF$319=$A37)*('NVRAM map'!$AI$3:$AI$319&gt;=N$3)*('NVRAM map'!$AJ$3:$AJ$319&lt;=N$3),0),2)),"-",INDEX('NVRAM map'!$AF$3:$AG$319,MATCH(1,('NVRAM map'!$AF$3:$AF$319=$A37)*('NVRAM map'!$AI$3:$AI$319&gt;=N$3)*('NVRAM map'!$AJ$3:$AJ$319&lt;=N$3),0),2))</f>
        <v>TMEMS_D4</v>
      </c>
      <c r="O37" s="87" t="str">
        <f t="array" aca="1" ref="O37" ca="1">IF(ISNA(INDEX('NVRAM map'!$AF$3:$AG$319,MATCH(1,('NVRAM map'!$AF$3:$AF$319=$A37)*('NVRAM map'!$AI$3:$AI$319&gt;=O$3)*('NVRAM map'!$AJ$3:$AJ$319&lt;=O$3),0),2)),"-",INDEX('NVRAM map'!$AF$3:$AG$319,MATCH(1,('NVRAM map'!$AF$3:$AF$319=$A37)*('NVRAM map'!$AI$3:$AI$319&gt;=O$3)*('NVRAM map'!$AJ$3:$AJ$319&lt;=O$3),0),2))</f>
        <v>TMEMS_D4</v>
      </c>
      <c r="P37" s="87" t="str">
        <f t="array" aca="1" ref="P37" ca="1">IF(ISNA(INDEX('NVRAM map'!$AF$3:$AG$319,MATCH(1,('NVRAM map'!$AF$3:$AF$319=$A37)*('NVRAM map'!$AI$3:$AI$319&gt;=P$3)*('NVRAM map'!$AJ$3:$AJ$319&lt;=P$3),0),2)),"-",INDEX('NVRAM map'!$AF$3:$AG$319,MATCH(1,('NVRAM map'!$AF$3:$AF$319=$A37)*('NVRAM map'!$AI$3:$AI$319&gt;=P$3)*('NVRAM map'!$AJ$3:$AJ$319&lt;=P$3),0),2))</f>
        <v>TMEMS_D4</v>
      </c>
      <c r="Q37" s="87" t="str">
        <f t="array" aca="1" ref="Q37" ca="1">IF(ISNA(INDEX('NVRAM map'!$AF$3:$AG$319,MATCH(1,('NVRAM map'!$AF$3:$AF$319=$A37)*('NVRAM map'!$AI$3:$AI$319&gt;=Q$3)*('NVRAM map'!$AJ$3:$AJ$319&lt;=Q$3),0),2)),"-",INDEX('NVRAM map'!$AF$3:$AG$319,MATCH(1,('NVRAM map'!$AF$3:$AF$319=$A37)*('NVRAM map'!$AI$3:$AI$319&gt;=Q$3)*('NVRAM map'!$AJ$3:$AJ$319&lt;=Q$3),0),2))</f>
        <v>TMEMS_D4</v>
      </c>
      <c r="R37" s="87" t="str">
        <f t="array" aca="1" ref="R37" ca="1">IF(ISNA(INDEX('NVRAM map'!$AF$3:$AG$319,MATCH(1,('NVRAM map'!$AF$3:$AF$319=$A37)*('NVRAM map'!$AI$3:$AI$319&gt;=R$3)*('NVRAM map'!$AJ$3:$AJ$319&lt;=R$3),0),2)),"-",INDEX('NVRAM map'!$AF$3:$AG$319,MATCH(1,('NVRAM map'!$AF$3:$AF$319=$A37)*('NVRAM map'!$AI$3:$AI$319&gt;=R$3)*('NVRAM map'!$AJ$3:$AJ$319&lt;=R$3),0),2))</f>
        <v>TMEMS_D4</v>
      </c>
      <c r="S37" s="87" t="str">
        <f t="array" aca="1" ref="S37" ca="1">IF(ISNA(INDEX('NVRAM map'!$AF$3:$AG$319,MATCH(1,('NVRAM map'!$AF$3:$AF$319=$A37)*('NVRAM map'!$AI$3:$AI$319&gt;=S$3)*('NVRAM map'!$AJ$3:$AJ$319&lt;=S$3),0),2)),"-",INDEX('NVRAM map'!$AF$3:$AG$319,MATCH(1,('NVRAM map'!$AF$3:$AF$319=$A37)*('NVRAM map'!$AI$3:$AI$319&gt;=S$3)*('NVRAM map'!$AJ$3:$AJ$319&lt;=S$3),0),2))</f>
        <v>TMEMS_D4</v>
      </c>
      <c r="T37" s="87" t="str">
        <f t="array" aca="1" ref="T37" ca="1">IF(ISNA(INDEX('NVRAM map'!$AF$3:$AG$319,MATCH(1,('NVRAM map'!$AF$3:$AF$319=$A37)*('NVRAM map'!$AI$3:$AI$319&gt;=T$3)*('NVRAM map'!$AJ$3:$AJ$319&lt;=T$3),0),2)),"-",INDEX('NVRAM map'!$AF$3:$AG$319,MATCH(1,('NVRAM map'!$AF$3:$AF$319=$A37)*('NVRAM map'!$AI$3:$AI$319&gt;=T$3)*('NVRAM map'!$AJ$3:$AJ$319&lt;=T$3),0),2))</f>
        <v>TMEMS_D4</v>
      </c>
      <c r="U37" s="87" t="str">
        <f t="array" aca="1" ref="U37" ca="1">IF(ISNA(INDEX('NVRAM map'!$AF$3:$AG$319,MATCH(1,('NVRAM map'!$AF$3:$AF$319=$A37)*('NVRAM map'!$AI$3:$AI$319&gt;=U$3)*('NVRAM map'!$AJ$3:$AJ$319&lt;=U$3),0),2)),"-",INDEX('NVRAM map'!$AF$3:$AG$319,MATCH(1,('NVRAM map'!$AF$3:$AF$319=$A37)*('NVRAM map'!$AI$3:$AI$319&gt;=U$3)*('NVRAM map'!$AJ$3:$AJ$319&lt;=U$3),0),2))</f>
        <v>TMEMS_D4</v>
      </c>
      <c r="V37" s="87" t="str">
        <f t="array" aca="1" ref="V37" ca="1">IF(ISNA(INDEX('NVRAM map'!$AF$3:$AG$319,MATCH(1,('NVRAM map'!$AF$3:$AF$319=$A37)*('NVRAM map'!$AI$3:$AI$319&gt;=V$3)*('NVRAM map'!$AJ$3:$AJ$319&lt;=V$3),0),2)),"-",INDEX('NVRAM map'!$AF$3:$AG$319,MATCH(1,('NVRAM map'!$AF$3:$AF$319=$A37)*('NVRAM map'!$AI$3:$AI$319&gt;=V$3)*('NVRAM map'!$AJ$3:$AJ$319&lt;=V$3),0),2))</f>
        <v>TMEMS_D4</v>
      </c>
      <c r="W37" s="87" t="str">
        <f t="array" aca="1" ref="W37" ca="1">IF(ISNA(INDEX('NVRAM map'!$AF$3:$AG$319,MATCH(1,('NVRAM map'!$AF$3:$AF$319=$A37)*('NVRAM map'!$AI$3:$AI$319&gt;=W$3)*('NVRAM map'!$AJ$3:$AJ$319&lt;=W$3),0),2)),"-",INDEX('NVRAM map'!$AF$3:$AG$319,MATCH(1,('NVRAM map'!$AF$3:$AF$319=$A37)*('NVRAM map'!$AI$3:$AI$319&gt;=W$3)*('NVRAM map'!$AJ$3:$AJ$319&lt;=W$3),0),2))</f>
        <v>TMEMS_D4</v>
      </c>
      <c r="X37" s="88" t="str">
        <f ca="1">INDEX('NVRAM map'!$B$3:$B$319,MATCH(A37,'NVRAM map'!$E$3:$E$319,0))</f>
        <v>CUST</v>
      </c>
      <c r="AB37" s="44">
        <f t="shared" ca="1" si="2"/>
        <v>97</v>
      </c>
      <c r="AC37" s="12" t="b">
        <f ca="1">COUNTIF('NVRAM map'!$AD$3:$AE$319,A37)&lt;2</f>
        <v>1</v>
      </c>
      <c r="AD37" s="12">
        <f ca="1">SUMIF('NVRAM map'!$AF$3:$AF$319,A37,'NVRAM map'!$AK$3:$AK$319)</f>
        <v>65535</v>
      </c>
      <c r="AE37" s="12" t="str">
        <f t="shared" ca="1" si="3"/>
        <v>FFFF</v>
      </c>
      <c r="AF37" s="12" t="str">
        <f t="shared" ca="1" si="4"/>
        <v>11111111</v>
      </c>
      <c r="AG37" s="12" t="str">
        <f t="shared" ca="1" si="5"/>
        <v>11111111</v>
      </c>
      <c r="AH37" s="12">
        <f t="shared" ca="1" si="6"/>
        <v>16</v>
      </c>
      <c r="AI37" s="12">
        <f ca="1">SUMIF('NVRAM map'!$AF$3:$AF$319,A37,'NVRAM map'!$AH$3:$AH$319)</f>
        <v>16</v>
      </c>
      <c r="AJ37" s="12" t="b">
        <f t="shared" ca="1" si="7"/>
        <v>1</v>
      </c>
      <c r="AK37" s="12">
        <f ca="1">COUNTIF('NVRAM map'!$AF$3:$AF$319,A37)</f>
        <v>1</v>
      </c>
      <c r="AM37" s="89">
        <v>0</v>
      </c>
      <c r="AN37" s="80">
        <f t="shared" ca="1" si="13"/>
        <v>0</v>
      </c>
      <c r="AO37" s="80">
        <f t="shared" ca="1" si="13"/>
        <v>0</v>
      </c>
      <c r="AP37" s="80">
        <f t="shared" ca="1" si="13"/>
        <v>0</v>
      </c>
      <c r="AQ37" s="80">
        <f t="shared" ca="1" si="13"/>
        <v>0</v>
      </c>
      <c r="AR37" s="80">
        <f t="shared" ca="1" si="13"/>
        <v>0</v>
      </c>
      <c r="AS37" s="80">
        <f t="shared" ca="1" si="13"/>
        <v>0</v>
      </c>
      <c r="AT37" s="80">
        <f t="shared" ca="1" si="13"/>
        <v>0</v>
      </c>
      <c r="AU37" s="80">
        <f t="shared" ca="1" si="13"/>
        <v>0</v>
      </c>
      <c r="AV37" s="80">
        <f t="shared" ca="1" si="13"/>
        <v>0</v>
      </c>
      <c r="AW37" s="80">
        <f t="shared" ca="1" si="13"/>
        <v>0</v>
      </c>
      <c r="AX37" s="80">
        <f t="shared" ca="1" si="13"/>
        <v>0</v>
      </c>
      <c r="AY37" s="80">
        <f t="shared" ca="1" si="13"/>
        <v>0</v>
      </c>
      <c r="AZ37" s="80">
        <f t="shared" ca="1" si="13"/>
        <v>0</v>
      </c>
      <c r="BA37" s="80">
        <f t="shared" ca="1" si="13"/>
        <v>0</v>
      </c>
      <c r="BB37" s="81">
        <f t="shared" ca="1" si="13"/>
        <v>0</v>
      </c>
      <c r="BD37" s="12" t="str">
        <f t="shared" si="9"/>
        <v>0x1042</v>
      </c>
      <c r="BE37" s="12" t="str">
        <f t="shared" ca="1" si="10"/>
        <v>0000000001100001</v>
      </c>
      <c r="BG37" s="53" t="str">
        <f t="shared" ca="1" si="11"/>
        <v>`define EE_TMEMS_D4 16</v>
      </c>
    </row>
    <row r="38" spans="1:59" ht="25.5">
      <c r="A38" s="82" t="s">
        <v>304</v>
      </c>
      <c r="B38" s="82">
        <v>68</v>
      </c>
      <c r="C38" s="82">
        <v>17</v>
      </c>
      <c r="D38" s="83">
        <f ca="1">SUMIF('NVRAM map'!$AF$3:$AF$319,A38,'NVRAM map'!$AN$3:$AN$319)</f>
        <v>38091</v>
      </c>
      <c r="E38" s="84" t="str">
        <f t="shared" ca="1" si="0"/>
        <v>94CB</v>
      </c>
      <c r="F38" s="85" t="str">
        <f t="shared" ca="1" si="12"/>
        <v>94CB</v>
      </c>
      <c r="G38" s="86" t="str">
        <f ca="1">VLOOKUP(MemoryView!A38,'NVRAM map'!$AD$3:$AE$319,2,0)</f>
        <v>EE_PSFT1_BASE</v>
      </c>
      <c r="H38" s="87" t="str">
        <f t="array" aca="1" ref="H38" ca="1">IF(ISNA(INDEX('NVRAM map'!$AF$3:$AG$319,MATCH(1,('NVRAM map'!$AF$3:$AF$319=$A38)*('NVRAM map'!$AI$3:$AI$319&gt;=H$3)*('NVRAM map'!$AJ$3:$AJ$319&lt;=H$3),0),2)),"-",INDEX('NVRAM map'!$AF$3:$AG$319,MATCH(1,('NVRAM map'!$AF$3:$AF$319=$A38)*('NVRAM map'!$AI$3:$AI$319&gt;=H$3)*('NVRAM map'!$AJ$3:$AJ$319&lt;=H$3),0),2))</f>
        <v>TEMP_MISMATCH_DIAG_THRD</v>
      </c>
      <c r="I38" s="87" t="str">
        <f t="array" aca="1" ref="I38" ca="1">IF(ISNA(INDEX('NVRAM map'!$AF$3:$AG$319,MATCH(1,('NVRAM map'!$AF$3:$AF$319=$A38)*('NVRAM map'!$AI$3:$AI$319&gt;=I$3)*('NVRAM map'!$AJ$3:$AJ$319&lt;=I$3),0),2)),"-",INDEX('NVRAM map'!$AF$3:$AG$319,MATCH(1,('NVRAM map'!$AF$3:$AF$319=$A38)*('NVRAM map'!$AI$3:$AI$319&gt;=I$3)*('NVRAM map'!$AJ$3:$AJ$319&lt;=I$3),0),2))</f>
        <v>TEMP_MISMATCH_DIAG_THRD</v>
      </c>
      <c r="J38" s="87" t="str">
        <f t="array" aca="1" ref="J38" ca="1">IF(ISNA(INDEX('NVRAM map'!$AF$3:$AG$319,MATCH(1,('NVRAM map'!$AF$3:$AF$319=$A38)*('NVRAM map'!$AI$3:$AI$319&gt;=J$3)*('NVRAM map'!$AJ$3:$AJ$319&lt;=J$3),0),2)),"-",INDEX('NVRAM map'!$AF$3:$AG$319,MATCH(1,('NVRAM map'!$AF$3:$AF$319=$A38)*('NVRAM map'!$AI$3:$AI$319&gt;=J$3)*('NVRAM map'!$AJ$3:$AJ$319&lt;=J$3),0),2))</f>
        <v>TEMP_MISMATCH_DIAG_THRD</v>
      </c>
      <c r="K38" s="87" t="str">
        <f t="array" aca="1" ref="K38" ca="1">IF(ISNA(INDEX('NVRAM map'!$AF$3:$AG$319,MATCH(1,('NVRAM map'!$AF$3:$AF$319=$A38)*('NVRAM map'!$AI$3:$AI$319&gt;=K$3)*('NVRAM map'!$AJ$3:$AJ$319&lt;=K$3),0),2)),"-",INDEX('NVRAM map'!$AF$3:$AG$319,MATCH(1,('NVRAM map'!$AF$3:$AF$319=$A38)*('NVRAM map'!$AI$3:$AI$319&gt;=K$3)*('NVRAM map'!$AJ$3:$AJ$319&lt;=K$3),0),2))</f>
        <v>TEMP_MISMATCH_DIAG_THRD</v>
      </c>
      <c r="L38" s="87" t="str">
        <f t="array" aca="1" ref="L38" ca="1">IF(ISNA(INDEX('NVRAM map'!$AF$3:$AG$319,MATCH(1,('NVRAM map'!$AF$3:$AF$319=$A38)*('NVRAM map'!$AI$3:$AI$319&gt;=L$3)*('NVRAM map'!$AJ$3:$AJ$319&lt;=L$3),0),2)),"-",INDEX('NVRAM map'!$AF$3:$AG$319,MATCH(1,('NVRAM map'!$AF$3:$AF$319=$A38)*('NVRAM map'!$AI$3:$AI$319&gt;=L$3)*('NVRAM map'!$AJ$3:$AJ$319&lt;=L$3),0),2))</f>
        <v>TEMP_MISMATCH_DIAG_THRD</v>
      </c>
      <c r="M38" s="87" t="str">
        <f t="array" aca="1" ref="M38" ca="1">IF(ISNA(INDEX('NVRAM map'!$AF$3:$AG$319,MATCH(1,('NVRAM map'!$AF$3:$AF$319=$A38)*('NVRAM map'!$AI$3:$AI$319&gt;=M$3)*('NVRAM map'!$AJ$3:$AJ$319&lt;=M$3),0),2)),"-",INDEX('NVRAM map'!$AF$3:$AG$319,MATCH(1,('NVRAM map'!$AF$3:$AF$319=$A38)*('NVRAM map'!$AI$3:$AI$319&gt;=M$3)*('NVRAM map'!$AJ$3:$AJ$319&lt;=M$3),0),2))</f>
        <v>PSFT1_BASE</v>
      </c>
      <c r="N38" s="87" t="str">
        <f t="array" aca="1" ref="N38" ca="1">IF(ISNA(INDEX('NVRAM map'!$AF$3:$AG$319,MATCH(1,('NVRAM map'!$AF$3:$AF$319=$A38)*('NVRAM map'!$AI$3:$AI$319&gt;=N$3)*('NVRAM map'!$AJ$3:$AJ$319&lt;=N$3),0),2)),"-",INDEX('NVRAM map'!$AF$3:$AG$319,MATCH(1,('NVRAM map'!$AF$3:$AF$319=$A38)*('NVRAM map'!$AI$3:$AI$319&gt;=N$3)*('NVRAM map'!$AJ$3:$AJ$319&lt;=N$3),0),2))</f>
        <v>PSFT1_BASE</v>
      </c>
      <c r="O38" s="87" t="str">
        <f t="array" aca="1" ref="O38" ca="1">IF(ISNA(INDEX('NVRAM map'!$AF$3:$AG$319,MATCH(1,('NVRAM map'!$AF$3:$AF$319=$A38)*('NVRAM map'!$AI$3:$AI$319&gt;=O$3)*('NVRAM map'!$AJ$3:$AJ$319&lt;=O$3),0),2)),"-",INDEX('NVRAM map'!$AF$3:$AG$319,MATCH(1,('NVRAM map'!$AF$3:$AF$319=$A38)*('NVRAM map'!$AI$3:$AI$319&gt;=O$3)*('NVRAM map'!$AJ$3:$AJ$319&lt;=O$3),0),2))</f>
        <v>PSFT1_BASE</v>
      </c>
      <c r="P38" s="87" t="str">
        <f t="array" aca="1" ref="P38" ca="1">IF(ISNA(INDEX('NVRAM map'!$AF$3:$AG$319,MATCH(1,('NVRAM map'!$AF$3:$AF$319=$A38)*('NVRAM map'!$AI$3:$AI$319&gt;=P$3)*('NVRAM map'!$AJ$3:$AJ$319&lt;=P$3),0),2)),"-",INDEX('NVRAM map'!$AF$3:$AG$319,MATCH(1,('NVRAM map'!$AF$3:$AF$319=$A38)*('NVRAM map'!$AI$3:$AI$319&gt;=P$3)*('NVRAM map'!$AJ$3:$AJ$319&lt;=P$3),0),2))</f>
        <v>PSFT1_BASE</v>
      </c>
      <c r="Q38" s="87" t="str">
        <f t="array" aca="1" ref="Q38" ca="1">IF(ISNA(INDEX('NVRAM map'!$AF$3:$AG$319,MATCH(1,('NVRAM map'!$AF$3:$AF$319=$A38)*('NVRAM map'!$AI$3:$AI$319&gt;=Q$3)*('NVRAM map'!$AJ$3:$AJ$319&lt;=Q$3),0),2)),"-",INDEX('NVRAM map'!$AF$3:$AG$319,MATCH(1,('NVRAM map'!$AF$3:$AF$319=$A38)*('NVRAM map'!$AI$3:$AI$319&gt;=Q$3)*('NVRAM map'!$AJ$3:$AJ$319&lt;=Q$3),0),2))</f>
        <v>PSFT1_BASE</v>
      </c>
      <c r="R38" s="87" t="str">
        <f t="array" aca="1" ref="R38" ca="1">IF(ISNA(INDEX('NVRAM map'!$AF$3:$AG$319,MATCH(1,('NVRAM map'!$AF$3:$AF$319=$A38)*('NVRAM map'!$AI$3:$AI$319&gt;=R$3)*('NVRAM map'!$AJ$3:$AJ$319&lt;=R$3),0),2)),"-",INDEX('NVRAM map'!$AF$3:$AG$319,MATCH(1,('NVRAM map'!$AF$3:$AF$319=$A38)*('NVRAM map'!$AI$3:$AI$319&gt;=R$3)*('NVRAM map'!$AJ$3:$AJ$319&lt;=R$3),0),2))</f>
        <v>PSFT1_BASE</v>
      </c>
      <c r="S38" s="87" t="str">
        <f t="array" aca="1" ref="S38" ca="1">IF(ISNA(INDEX('NVRAM map'!$AF$3:$AG$319,MATCH(1,('NVRAM map'!$AF$3:$AF$319=$A38)*('NVRAM map'!$AI$3:$AI$319&gt;=S$3)*('NVRAM map'!$AJ$3:$AJ$319&lt;=S$3),0),2)),"-",INDEX('NVRAM map'!$AF$3:$AG$319,MATCH(1,('NVRAM map'!$AF$3:$AF$319=$A38)*('NVRAM map'!$AI$3:$AI$319&gt;=S$3)*('NVRAM map'!$AJ$3:$AJ$319&lt;=S$3),0),2))</f>
        <v>PSFT1_BASE</v>
      </c>
      <c r="T38" s="87" t="str">
        <f t="array" aca="1" ref="T38" ca="1">IF(ISNA(INDEX('NVRAM map'!$AF$3:$AG$319,MATCH(1,('NVRAM map'!$AF$3:$AF$319=$A38)*('NVRAM map'!$AI$3:$AI$319&gt;=T$3)*('NVRAM map'!$AJ$3:$AJ$319&lt;=T$3),0),2)),"-",INDEX('NVRAM map'!$AF$3:$AG$319,MATCH(1,('NVRAM map'!$AF$3:$AF$319=$A38)*('NVRAM map'!$AI$3:$AI$319&gt;=T$3)*('NVRAM map'!$AJ$3:$AJ$319&lt;=T$3),0),2))</f>
        <v>PSFT1_BASE</v>
      </c>
      <c r="U38" s="87" t="str">
        <f t="array" aca="1" ref="U38" ca="1">IF(ISNA(INDEX('NVRAM map'!$AF$3:$AG$319,MATCH(1,('NVRAM map'!$AF$3:$AF$319=$A38)*('NVRAM map'!$AI$3:$AI$319&gt;=U$3)*('NVRAM map'!$AJ$3:$AJ$319&lt;=U$3),0),2)),"-",INDEX('NVRAM map'!$AF$3:$AG$319,MATCH(1,('NVRAM map'!$AF$3:$AF$319=$A38)*('NVRAM map'!$AI$3:$AI$319&gt;=U$3)*('NVRAM map'!$AJ$3:$AJ$319&lt;=U$3),0),2))</f>
        <v>PSFT1_BASE</v>
      </c>
      <c r="V38" s="87" t="str">
        <f t="array" aca="1" ref="V38" ca="1">IF(ISNA(INDEX('NVRAM map'!$AF$3:$AG$319,MATCH(1,('NVRAM map'!$AF$3:$AF$319=$A38)*('NVRAM map'!$AI$3:$AI$319&gt;=V$3)*('NVRAM map'!$AJ$3:$AJ$319&lt;=V$3),0),2)),"-",INDEX('NVRAM map'!$AF$3:$AG$319,MATCH(1,('NVRAM map'!$AF$3:$AF$319=$A38)*('NVRAM map'!$AI$3:$AI$319&gt;=V$3)*('NVRAM map'!$AJ$3:$AJ$319&lt;=V$3),0),2))</f>
        <v>PSFT1_BASE</v>
      </c>
      <c r="W38" s="87" t="str">
        <f t="array" aca="1" ref="W38" ca="1">IF(ISNA(INDEX('NVRAM map'!$AF$3:$AG$319,MATCH(1,('NVRAM map'!$AF$3:$AF$319=$A38)*('NVRAM map'!$AI$3:$AI$319&gt;=W$3)*('NVRAM map'!$AJ$3:$AJ$319&lt;=W$3),0),2)),"-",INDEX('NVRAM map'!$AF$3:$AG$319,MATCH(1,('NVRAM map'!$AF$3:$AF$319=$A38)*('NVRAM map'!$AI$3:$AI$319&gt;=W$3)*('NVRAM map'!$AJ$3:$AJ$319&lt;=W$3),0),2))</f>
        <v>PSFT1_BASE</v>
      </c>
      <c r="X38" s="88" t="str">
        <f ca="1">INDEX('NVRAM map'!$B$3:$B$319,MATCH(A38,'NVRAM map'!$E$3:$E$319,0))</f>
        <v>CUST</v>
      </c>
      <c r="AB38" s="44">
        <f t="shared" ca="1" si="2"/>
        <v>351</v>
      </c>
      <c r="AC38" s="12" t="b">
        <f ca="1">COUNTIF('NVRAM map'!$AD$3:$AE$319,A38)&lt;2</f>
        <v>1</v>
      </c>
      <c r="AD38" s="12">
        <f ca="1">SUMIF('NVRAM map'!$AF$3:$AF$319,A38,'NVRAM map'!$AK$3:$AK$319)</f>
        <v>65535</v>
      </c>
      <c r="AE38" s="12" t="str">
        <f t="shared" ca="1" si="3"/>
        <v>FFFF</v>
      </c>
      <c r="AF38" s="12" t="str">
        <f t="shared" ca="1" si="4"/>
        <v>11111111</v>
      </c>
      <c r="AG38" s="12" t="str">
        <f t="shared" ca="1" si="5"/>
        <v>11111111</v>
      </c>
      <c r="AH38" s="12">
        <f t="shared" ca="1" si="6"/>
        <v>16</v>
      </c>
      <c r="AI38" s="12">
        <f ca="1">SUMIF('NVRAM map'!$AF$3:$AF$319,A38,'NVRAM map'!$AH$3:$AH$319)</f>
        <v>16</v>
      </c>
      <c r="AJ38" s="12" t="b">
        <f t="shared" ca="1" si="7"/>
        <v>1</v>
      </c>
      <c r="AK38" s="12">
        <f ca="1">COUNTIF('NVRAM map'!$AF$3:$AF$319,A38)</f>
        <v>2</v>
      </c>
      <c r="AM38" s="89">
        <v>0</v>
      </c>
      <c r="AN38" s="80">
        <f t="shared" ref="AN38:BB54" ca="1" si="14">IF(I38=H38,AM38,IF(AM38=1,0,1))</f>
        <v>0</v>
      </c>
      <c r="AO38" s="80">
        <f t="shared" ca="1" si="14"/>
        <v>0</v>
      </c>
      <c r="AP38" s="80">
        <f t="shared" ca="1" si="14"/>
        <v>0</v>
      </c>
      <c r="AQ38" s="80">
        <f t="shared" ca="1" si="14"/>
        <v>0</v>
      </c>
      <c r="AR38" s="80">
        <f t="shared" ca="1" si="14"/>
        <v>1</v>
      </c>
      <c r="AS38" s="80">
        <f t="shared" ca="1" si="14"/>
        <v>1</v>
      </c>
      <c r="AT38" s="80">
        <f t="shared" ca="1" si="14"/>
        <v>1</v>
      </c>
      <c r="AU38" s="80">
        <f t="shared" ca="1" si="14"/>
        <v>1</v>
      </c>
      <c r="AV38" s="80">
        <f t="shared" ca="1" si="14"/>
        <v>1</v>
      </c>
      <c r="AW38" s="80">
        <f t="shared" ca="1" si="14"/>
        <v>1</v>
      </c>
      <c r="AX38" s="80">
        <f t="shared" ca="1" si="14"/>
        <v>1</v>
      </c>
      <c r="AY38" s="80">
        <f t="shared" ca="1" si="14"/>
        <v>1</v>
      </c>
      <c r="AZ38" s="80">
        <f t="shared" ca="1" si="14"/>
        <v>1</v>
      </c>
      <c r="BA38" s="80">
        <f t="shared" ca="1" si="14"/>
        <v>1</v>
      </c>
      <c r="BB38" s="81">
        <f t="shared" ca="1" si="14"/>
        <v>1</v>
      </c>
      <c r="BD38" s="12" t="str">
        <f t="shared" si="9"/>
        <v>0x1044</v>
      </c>
      <c r="BE38" s="12" t="str">
        <f t="shared" ca="1" si="10"/>
        <v>1001010011001011</v>
      </c>
      <c r="BG38" s="53" t="str">
        <f t="shared" ca="1" si="11"/>
        <v>`define EE_PSFT1_BASE 17</v>
      </c>
    </row>
    <row r="39" spans="1:59" ht="25.5">
      <c r="A39" s="82" t="s">
        <v>305</v>
      </c>
      <c r="B39" s="82">
        <v>70</v>
      </c>
      <c r="C39" s="82">
        <v>17</v>
      </c>
      <c r="D39" s="83">
        <f ca="1">SUMIF('NVRAM map'!$AF$3:$AF$319,A39,'NVRAM map'!$AN$3:$AN$319)</f>
        <v>2</v>
      </c>
      <c r="E39" s="84" t="str">
        <f t="shared" ca="1" si="0"/>
        <v>0002</v>
      </c>
      <c r="F39" s="85" t="str">
        <f t="shared" ca="1" si="12"/>
        <v>0002</v>
      </c>
      <c r="G39" s="86" t="str">
        <f ca="1">VLOOKUP(MemoryView!A39,'NVRAM map'!$AD$3:$AE$319,2,0)</f>
        <v>EE_PSFT1_LIMITS</v>
      </c>
      <c r="H39" s="87" t="str">
        <f t="array" aca="1" ref="H39" ca="1">IF(ISNA(INDEX('NVRAM map'!$AF$3:$AG$319,MATCH(1,('NVRAM map'!$AF$3:$AF$319=$A39)*('NVRAM map'!$AI$3:$AI$319&gt;=H$3)*('NVRAM map'!$AJ$3:$AJ$319&lt;=H$3),0),2)),"-",INDEX('NVRAM map'!$AF$3:$AG$319,MATCH(1,('NVRAM map'!$AF$3:$AF$319=$A39)*('NVRAM map'!$AI$3:$AI$319&gt;=H$3)*('NVRAM map'!$AJ$3:$AJ$319&lt;=H$3),0),2))</f>
        <v>PSFT1_SLOPE</v>
      </c>
      <c r="I39" s="87" t="str">
        <f t="array" aca="1" ref="I39" ca="1">IF(ISNA(INDEX('NVRAM map'!$AF$3:$AG$319,MATCH(1,('NVRAM map'!$AF$3:$AF$319=$A39)*('NVRAM map'!$AI$3:$AI$319&gt;=I$3)*('NVRAM map'!$AJ$3:$AJ$319&lt;=I$3),0),2)),"-",INDEX('NVRAM map'!$AF$3:$AG$319,MATCH(1,('NVRAM map'!$AF$3:$AF$319=$A39)*('NVRAM map'!$AI$3:$AI$319&gt;=I$3)*('NVRAM map'!$AJ$3:$AJ$319&lt;=I$3),0),2))</f>
        <v>PSFT1_SLOPE</v>
      </c>
      <c r="J39" s="87" t="str">
        <f t="array" aca="1" ref="J39" ca="1">IF(ISNA(INDEX('NVRAM map'!$AF$3:$AG$319,MATCH(1,('NVRAM map'!$AF$3:$AF$319=$A39)*('NVRAM map'!$AI$3:$AI$319&gt;=J$3)*('NVRAM map'!$AJ$3:$AJ$319&lt;=J$3),0),2)),"-",INDEX('NVRAM map'!$AF$3:$AG$319,MATCH(1,('NVRAM map'!$AF$3:$AF$319=$A39)*('NVRAM map'!$AI$3:$AI$319&gt;=J$3)*('NVRAM map'!$AJ$3:$AJ$319&lt;=J$3),0),2))</f>
        <v>PSFT1_SLOPE</v>
      </c>
      <c r="K39" s="87" t="str">
        <f t="array" aca="1" ref="K39" ca="1">IF(ISNA(INDEX('NVRAM map'!$AF$3:$AG$319,MATCH(1,('NVRAM map'!$AF$3:$AF$319=$A39)*('NVRAM map'!$AI$3:$AI$319&gt;=K$3)*('NVRAM map'!$AJ$3:$AJ$319&lt;=K$3),0),2)),"-",INDEX('NVRAM map'!$AF$3:$AG$319,MATCH(1,('NVRAM map'!$AF$3:$AF$319=$A39)*('NVRAM map'!$AI$3:$AI$319&gt;=K$3)*('NVRAM map'!$AJ$3:$AJ$319&lt;=K$3),0),2))</f>
        <v>PSFT1_SLOPE</v>
      </c>
      <c r="L39" s="87" t="str">
        <f t="array" aca="1" ref="L39" ca="1">IF(ISNA(INDEX('NVRAM map'!$AF$3:$AG$319,MATCH(1,('NVRAM map'!$AF$3:$AF$319=$A39)*('NVRAM map'!$AI$3:$AI$319&gt;=L$3)*('NVRAM map'!$AJ$3:$AJ$319&lt;=L$3),0),2)),"-",INDEX('NVRAM map'!$AF$3:$AG$319,MATCH(1,('NVRAM map'!$AF$3:$AF$319=$A39)*('NVRAM map'!$AI$3:$AI$319&gt;=L$3)*('NVRAM map'!$AJ$3:$AJ$319&lt;=L$3),0),2))</f>
        <v>PSFT1_SLOPE</v>
      </c>
      <c r="M39" s="87" t="str">
        <f t="array" aca="1" ref="M39" ca="1">IF(ISNA(INDEX('NVRAM map'!$AF$3:$AG$319,MATCH(1,('NVRAM map'!$AF$3:$AF$319=$A39)*('NVRAM map'!$AI$3:$AI$319&gt;=M$3)*('NVRAM map'!$AJ$3:$AJ$319&lt;=M$3),0),2)),"-",INDEX('NVRAM map'!$AF$3:$AG$319,MATCH(1,('NVRAM map'!$AF$3:$AF$319=$A39)*('NVRAM map'!$AI$3:$AI$319&gt;=M$3)*('NVRAM map'!$AJ$3:$AJ$319&lt;=M$3),0),2))</f>
        <v>PSFT1_SLOPE</v>
      </c>
      <c r="N39" s="87" t="str">
        <f t="array" aca="1" ref="N39" ca="1">IF(ISNA(INDEX('NVRAM map'!$AF$3:$AG$319,MATCH(1,('NVRAM map'!$AF$3:$AF$319=$A39)*('NVRAM map'!$AI$3:$AI$319&gt;=N$3)*('NVRAM map'!$AJ$3:$AJ$319&lt;=N$3),0),2)),"-",INDEX('NVRAM map'!$AF$3:$AG$319,MATCH(1,('NVRAM map'!$AF$3:$AF$319=$A39)*('NVRAM map'!$AI$3:$AI$319&gt;=N$3)*('NVRAM map'!$AJ$3:$AJ$319&lt;=N$3),0),2))</f>
        <v>PSFT1_SLOPE</v>
      </c>
      <c r="O39" s="87" t="str">
        <f t="array" aca="1" ref="O39" ca="1">IF(ISNA(INDEX('NVRAM map'!$AF$3:$AG$319,MATCH(1,('NVRAM map'!$AF$3:$AF$319=$A39)*('NVRAM map'!$AI$3:$AI$319&gt;=O$3)*('NVRAM map'!$AJ$3:$AJ$319&lt;=O$3),0),2)),"-",INDEX('NVRAM map'!$AF$3:$AG$319,MATCH(1,('NVRAM map'!$AF$3:$AF$319=$A39)*('NVRAM map'!$AI$3:$AI$319&gt;=O$3)*('NVRAM map'!$AJ$3:$AJ$319&lt;=O$3),0),2))</f>
        <v>PSFT1_SLOPE</v>
      </c>
      <c r="P39" s="87" t="str">
        <f t="array" aca="1" ref="P39" ca="1">IF(ISNA(INDEX('NVRAM map'!$AF$3:$AG$319,MATCH(1,('NVRAM map'!$AF$3:$AF$319=$A39)*('NVRAM map'!$AI$3:$AI$319&gt;=P$3)*('NVRAM map'!$AJ$3:$AJ$319&lt;=P$3),0),2)),"-",INDEX('NVRAM map'!$AF$3:$AG$319,MATCH(1,('NVRAM map'!$AF$3:$AF$319=$A39)*('NVRAM map'!$AI$3:$AI$319&gt;=P$3)*('NVRAM map'!$AJ$3:$AJ$319&lt;=P$3),0),2))</f>
        <v>PSFT1_LIMITS_RESERVED</v>
      </c>
      <c r="Q39" s="87" t="str">
        <f t="array" aca="1" ref="Q39" ca="1">IF(ISNA(INDEX('NVRAM map'!$AF$3:$AG$319,MATCH(1,('NVRAM map'!$AF$3:$AF$319=$A39)*('NVRAM map'!$AI$3:$AI$319&gt;=Q$3)*('NVRAM map'!$AJ$3:$AJ$319&lt;=Q$3),0),2)),"-",INDEX('NVRAM map'!$AF$3:$AG$319,MATCH(1,('NVRAM map'!$AF$3:$AF$319=$A39)*('NVRAM map'!$AI$3:$AI$319&gt;=Q$3)*('NVRAM map'!$AJ$3:$AJ$319&lt;=Q$3),0),2))</f>
        <v>PSFT1_THRESHOLD</v>
      </c>
      <c r="R39" s="87" t="str">
        <f t="array" aca="1" ref="R39" ca="1">IF(ISNA(INDEX('NVRAM map'!$AF$3:$AG$319,MATCH(1,('NVRAM map'!$AF$3:$AF$319=$A39)*('NVRAM map'!$AI$3:$AI$319&gt;=R$3)*('NVRAM map'!$AJ$3:$AJ$319&lt;=R$3),0),2)),"-",INDEX('NVRAM map'!$AF$3:$AG$319,MATCH(1,('NVRAM map'!$AF$3:$AF$319=$A39)*('NVRAM map'!$AI$3:$AI$319&gt;=R$3)*('NVRAM map'!$AJ$3:$AJ$319&lt;=R$3),0),2))</f>
        <v>PSFT1_THRESHOLD</v>
      </c>
      <c r="S39" s="87" t="str">
        <f t="array" aca="1" ref="S39" ca="1">IF(ISNA(INDEX('NVRAM map'!$AF$3:$AG$319,MATCH(1,('NVRAM map'!$AF$3:$AF$319=$A39)*('NVRAM map'!$AI$3:$AI$319&gt;=S$3)*('NVRAM map'!$AJ$3:$AJ$319&lt;=S$3),0),2)),"-",INDEX('NVRAM map'!$AF$3:$AG$319,MATCH(1,('NVRAM map'!$AF$3:$AF$319=$A39)*('NVRAM map'!$AI$3:$AI$319&gt;=S$3)*('NVRAM map'!$AJ$3:$AJ$319&lt;=S$3),0),2))</f>
        <v>PSFT1_THRESHOLD</v>
      </c>
      <c r="T39" s="87" t="str">
        <f t="array" aca="1" ref="T39" ca="1">IF(ISNA(INDEX('NVRAM map'!$AF$3:$AG$319,MATCH(1,('NVRAM map'!$AF$3:$AF$319=$A39)*('NVRAM map'!$AI$3:$AI$319&gt;=T$3)*('NVRAM map'!$AJ$3:$AJ$319&lt;=T$3),0),2)),"-",INDEX('NVRAM map'!$AF$3:$AG$319,MATCH(1,('NVRAM map'!$AF$3:$AF$319=$A39)*('NVRAM map'!$AI$3:$AI$319&gt;=T$3)*('NVRAM map'!$AJ$3:$AJ$319&lt;=T$3),0),2))</f>
        <v>PSFT1_THRESHOLD</v>
      </c>
      <c r="U39" s="87" t="str">
        <f t="array" aca="1" ref="U39" ca="1">IF(ISNA(INDEX('NVRAM map'!$AF$3:$AG$319,MATCH(1,('NVRAM map'!$AF$3:$AF$319=$A39)*('NVRAM map'!$AI$3:$AI$319&gt;=U$3)*('NVRAM map'!$AJ$3:$AJ$319&lt;=U$3),0),2)),"-",INDEX('NVRAM map'!$AF$3:$AG$319,MATCH(1,('NVRAM map'!$AF$3:$AF$319=$A39)*('NVRAM map'!$AI$3:$AI$319&gt;=U$3)*('NVRAM map'!$AJ$3:$AJ$319&lt;=U$3),0),2))</f>
        <v>PSFT1_THRESHOLD</v>
      </c>
      <c r="V39" s="87" t="str">
        <f t="array" aca="1" ref="V39" ca="1">IF(ISNA(INDEX('NVRAM map'!$AF$3:$AG$319,MATCH(1,('NVRAM map'!$AF$3:$AF$319=$A39)*('NVRAM map'!$AI$3:$AI$319&gt;=V$3)*('NVRAM map'!$AJ$3:$AJ$319&lt;=V$3),0),2)),"-",INDEX('NVRAM map'!$AF$3:$AG$319,MATCH(1,('NVRAM map'!$AF$3:$AF$319=$A39)*('NVRAM map'!$AI$3:$AI$319&gt;=V$3)*('NVRAM map'!$AJ$3:$AJ$319&lt;=V$3),0),2))</f>
        <v>PSFT1_THRESHOLD</v>
      </c>
      <c r="W39" s="87" t="str">
        <f t="array" aca="1" ref="W39" ca="1">IF(ISNA(INDEX('NVRAM map'!$AF$3:$AG$319,MATCH(1,('NVRAM map'!$AF$3:$AF$319=$A39)*('NVRAM map'!$AI$3:$AI$319&gt;=W$3)*('NVRAM map'!$AJ$3:$AJ$319&lt;=W$3),0),2)),"-",INDEX('NVRAM map'!$AF$3:$AG$319,MATCH(1,('NVRAM map'!$AF$3:$AF$319=$A39)*('NVRAM map'!$AI$3:$AI$319&gt;=W$3)*('NVRAM map'!$AJ$3:$AJ$319&lt;=W$3),0),2))</f>
        <v>PSFT1_THRESHOLD</v>
      </c>
      <c r="X39" s="88" t="str">
        <f ca="1">INDEX('NVRAM map'!$B$3:$B$319,MATCH(A39,'NVRAM map'!$E$3:$E$319,0))</f>
        <v>CUST</v>
      </c>
      <c r="AB39" s="44">
        <f t="shared" ca="1" si="2"/>
        <v>2</v>
      </c>
      <c r="AC39" s="12" t="b">
        <f ca="1">COUNTIF('NVRAM map'!$AD$3:$AE$319,A39)&lt;2</f>
        <v>1</v>
      </c>
      <c r="AD39" s="12">
        <f ca="1">SUMIF('NVRAM map'!$AF$3:$AF$319,A39,'NVRAM map'!$AK$3:$AK$319)</f>
        <v>65535</v>
      </c>
      <c r="AE39" s="12" t="str">
        <f t="shared" ca="1" si="3"/>
        <v>FFFF</v>
      </c>
      <c r="AF39" s="12" t="str">
        <f t="shared" ca="1" si="4"/>
        <v>11111111</v>
      </c>
      <c r="AG39" s="12" t="str">
        <f t="shared" ca="1" si="5"/>
        <v>11111111</v>
      </c>
      <c r="AH39" s="12">
        <f t="shared" ca="1" si="6"/>
        <v>16</v>
      </c>
      <c r="AI39" s="12">
        <f ca="1">SUMIF('NVRAM map'!$AF$3:$AF$319,A39,'NVRAM map'!$AH$3:$AH$319)</f>
        <v>16</v>
      </c>
      <c r="AJ39" s="12" t="b">
        <f t="shared" ca="1" si="7"/>
        <v>1</v>
      </c>
      <c r="AK39" s="12">
        <f ca="1">COUNTIF('NVRAM map'!$AF$3:$AF$319,A39)</f>
        <v>3</v>
      </c>
      <c r="AM39" s="89">
        <v>0</v>
      </c>
      <c r="AN39" s="80">
        <f t="shared" ca="1" si="14"/>
        <v>0</v>
      </c>
      <c r="AO39" s="80">
        <f t="shared" ca="1" si="14"/>
        <v>0</v>
      </c>
      <c r="AP39" s="80">
        <f t="shared" ca="1" si="14"/>
        <v>0</v>
      </c>
      <c r="AQ39" s="80">
        <f t="shared" ca="1" si="14"/>
        <v>0</v>
      </c>
      <c r="AR39" s="80">
        <f t="shared" ca="1" si="14"/>
        <v>0</v>
      </c>
      <c r="AS39" s="80">
        <f t="shared" ca="1" si="14"/>
        <v>0</v>
      </c>
      <c r="AT39" s="80">
        <f t="shared" ca="1" si="14"/>
        <v>0</v>
      </c>
      <c r="AU39" s="80">
        <f t="shared" ca="1" si="14"/>
        <v>1</v>
      </c>
      <c r="AV39" s="80">
        <f t="shared" ca="1" si="14"/>
        <v>0</v>
      </c>
      <c r="AW39" s="80">
        <f t="shared" ca="1" si="14"/>
        <v>0</v>
      </c>
      <c r="AX39" s="80">
        <f t="shared" ca="1" si="14"/>
        <v>0</v>
      </c>
      <c r="AY39" s="80">
        <f t="shared" ca="1" si="14"/>
        <v>0</v>
      </c>
      <c r="AZ39" s="80">
        <f t="shared" ca="1" si="14"/>
        <v>0</v>
      </c>
      <c r="BA39" s="80">
        <f t="shared" ca="1" si="14"/>
        <v>0</v>
      </c>
      <c r="BB39" s="81">
        <f t="shared" ca="1" si="14"/>
        <v>0</v>
      </c>
      <c r="BD39" s="12" t="str">
        <f t="shared" si="9"/>
        <v>0x1046</v>
      </c>
      <c r="BE39" s="12" t="str">
        <f t="shared" ca="1" si="10"/>
        <v>0000000000000010</v>
      </c>
      <c r="BG39" s="53" t="str">
        <f t="shared" ca="1" si="11"/>
        <v>`define EE_PSFT1_LIMITS 17</v>
      </c>
    </row>
    <row r="40" spans="1:59" ht="25.5">
      <c r="A40" s="82" t="s">
        <v>306</v>
      </c>
      <c r="B40" s="82">
        <v>72</v>
      </c>
      <c r="C40" s="82">
        <v>18</v>
      </c>
      <c r="D40" s="83">
        <f ca="1">SUMIF('NVRAM map'!$AF$3:$AF$319,A40,'NVRAM map'!$AN$3:$AN$319)</f>
        <v>5120</v>
      </c>
      <c r="E40" s="84" t="str">
        <f t="shared" ca="1" si="0"/>
        <v>1400</v>
      </c>
      <c r="F40" s="85" t="str">
        <f t="shared" ca="1" si="12"/>
        <v>1400</v>
      </c>
      <c r="G40" s="86" t="str">
        <f ca="1">VLOOKUP(MemoryView!A40,'NVRAM map'!$AD$3:$AE$319,2,0)</f>
        <v>EE_GLBL_ERR_MSK0_PSFT0</v>
      </c>
      <c r="H40" s="87" t="str">
        <f t="array" aca="1" ref="H40" ca="1">IF(ISNA(INDEX('NVRAM map'!$AF$3:$AG$319,MATCH(1,('NVRAM map'!$AF$3:$AF$319=$A40)*('NVRAM map'!$AI$3:$AI$319&gt;=H$3)*('NVRAM map'!$AJ$3:$AJ$319&lt;=H$3),0),2)),"-",INDEX('NVRAM map'!$AF$3:$AG$319,MATCH(1,('NVRAM map'!$AF$3:$AF$319=$A40)*('NVRAM map'!$AI$3:$AI$319&gt;=H$3)*('NVRAM map'!$AJ$3:$AJ$319&lt;=H$3),0),2))</f>
        <v>PSFT0_THRESHOLD_RESERVED</v>
      </c>
      <c r="I40" s="87" t="str">
        <f t="array" aca="1" ref="I40" ca="1">IF(ISNA(INDEX('NVRAM map'!$AF$3:$AG$319,MATCH(1,('NVRAM map'!$AF$3:$AF$319=$A40)*('NVRAM map'!$AI$3:$AI$319&gt;=I$3)*('NVRAM map'!$AJ$3:$AJ$319&lt;=I$3),0),2)),"-",INDEX('NVRAM map'!$AF$3:$AG$319,MATCH(1,('NVRAM map'!$AF$3:$AF$319=$A40)*('NVRAM map'!$AI$3:$AI$319&gt;=I$3)*('NVRAM map'!$AJ$3:$AJ$319&lt;=I$3),0),2))</f>
        <v>PSFT0_THRESHOLD</v>
      </c>
      <c r="J40" s="87" t="str">
        <f t="array" aca="1" ref="J40" ca="1">IF(ISNA(INDEX('NVRAM map'!$AF$3:$AG$319,MATCH(1,('NVRAM map'!$AF$3:$AF$319=$A40)*('NVRAM map'!$AI$3:$AI$319&gt;=J$3)*('NVRAM map'!$AJ$3:$AJ$319&lt;=J$3),0),2)),"-",INDEX('NVRAM map'!$AF$3:$AG$319,MATCH(1,('NVRAM map'!$AF$3:$AF$319=$A40)*('NVRAM map'!$AI$3:$AI$319&gt;=J$3)*('NVRAM map'!$AJ$3:$AJ$319&lt;=J$3),0),2))</f>
        <v>PSFT0_THRESHOLD</v>
      </c>
      <c r="K40" s="87" t="str">
        <f t="array" aca="1" ref="K40" ca="1">IF(ISNA(INDEX('NVRAM map'!$AF$3:$AG$319,MATCH(1,('NVRAM map'!$AF$3:$AF$319=$A40)*('NVRAM map'!$AI$3:$AI$319&gt;=K$3)*('NVRAM map'!$AJ$3:$AJ$319&lt;=K$3),0),2)),"-",INDEX('NVRAM map'!$AF$3:$AG$319,MATCH(1,('NVRAM map'!$AF$3:$AF$319=$A40)*('NVRAM map'!$AI$3:$AI$319&gt;=K$3)*('NVRAM map'!$AJ$3:$AJ$319&lt;=K$3),0),2))</f>
        <v>PSFT0_THRESHOLD</v>
      </c>
      <c r="L40" s="87" t="str">
        <f t="array" aca="1" ref="L40" ca="1">IF(ISNA(INDEX('NVRAM map'!$AF$3:$AG$319,MATCH(1,('NVRAM map'!$AF$3:$AF$319=$A40)*('NVRAM map'!$AI$3:$AI$319&gt;=L$3)*('NVRAM map'!$AJ$3:$AJ$319&lt;=L$3),0),2)),"-",INDEX('NVRAM map'!$AF$3:$AG$319,MATCH(1,('NVRAM map'!$AF$3:$AF$319=$A40)*('NVRAM map'!$AI$3:$AI$319&gt;=L$3)*('NVRAM map'!$AJ$3:$AJ$319&lt;=L$3),0),2))</f>
        <v>PSFT0_THRESHOLD</v>
      </c>
      <c r="M40" s="87" t="str">
        <f t="array" aca="1" ref="M40" ca="1">IF(ISNA(INDEX('NVRAM map'!$AF$3:$AG$319,MATCH(1,('NVRAM map'!$AF$3:$AF$319=$A40)*('NVRAM map'!$AI$3:$AI$319&gt;=M$3)*('NVRAM map'!$AJ$3:$AJ$319&lt;=M$3),0),2)),"-",INDEX('NVRAM map'!$AF$3:$AG$319,MATCH(1,('NVRAM map'!$AF$3:$AF$319=$A40)*('NVRAM map'!$AI$3:$AI$319&gt;=M$3)*('NVRAM map'!$AJ$3:$AJ$319&lt;=M$3),0),2))</f>
        <v>PSFT0_THRESHOLD</v>
      </c>
      <c r="N40" s="87" t="str">
        <f t="array" aca="1" ref="N40" ca="1">IF(ISNA(INDEX('NVRAM map'!$AF$3:$AG$319,MATCH(1,('NVRAM map'!$AF$3:$AF$319=$A40)*('NVRAM map'!$AI$3:$AI$319&gt;=N$3)*('NVRAM map'!$AJ$3:$AJ$319&lt;=N$3),0),2)),"-",INDEX('NVRAM map'!$AF$3:$AG$319,MATCH(1,('NVRAM map'!$AF$3:$AF$319=$A40)*('NVRAM map'!$AI$3:$AI$319&gt;=N$3)*('NVRAM map'!$AJ$3:$AJ$319&lt;=N$3),0),2))</f>
        <v>PSFT0_THRESHOLD</v>
      </c>
      <c r="O40" s="87" t="str">
        <f t="array" aca="1" ref="O40" ca="1">IF(ISNA(INDEX('NVRAM map'!$AF$3:$AG$319,MATCH(1,('NVRAM map'!$AF$3:$AF$319=$A40)*('NVRAM map'!$AI$3:$AI$319&gt;=O$3)*('NVRAM map'!$AJ$3:$AJ$319&lt;=O$3),0),2)),"-",INDEX('NVRAM map'!$AF$3:$AG$319,MATCH(1,('NVRAM map'!$AF$3:$AF$319=$A40)*('NVRAM map'!$AI$3:$AI$319&gt;=O$3)*('NVRAM map'!$AJ$3:$AJ$319&lt;=O$3),0),2))</f>
        <v>PSFT0_THRESHOLD</v>
      </c>
      <c r="P40" s="87" t="str">
        <f t="array" aca="1" ref="P40" ca="1">IF(ISNA(INDEX('NVRAM map'!$AF$3:$AG$319,MATCH(1,('NVRAM map'!$AF$3:$AF$319=$A40)*('NVRAM map'!$AI$3:$AI$319&gt;=P$3)*('NVRAM map'!$AJ$3:$AJ$319&lt;=P$3),0),2)),"-",INDEX('NVRAM map'!$AF$3:$AG$319,MATCH(1,('NVRAM map'!$AF$3:$AF$319=$A40)*('NVRAM map'!$AI$3:$AI$319&gt;=P$3)*('NVRAM map'!$AJ$3:$AJ$319&lt;=P$3),0),2))</f>
        <v>PRESS_HIGH_ERR_CODE_MASK</v>
      </c>
      <c r="Q40" s="87" t="str">
        <f t="array" aca="1" ref="Q40" ca="1">IF(ISNA(INDEX('NVRAM map'!$AF$3:$AG$319,MATCH(1,('NVRAM map'!$AF$3:$AF$319=$A40)*('NVRAM map'!$AI$3:$AI$319&gt;=Q$3)*('NVRAM map'!$AJ$3:$AJ$319&lt;=Q$3),0),2)),"-",INDEX('NVRAM map'!$AF$3:$AG$319,MATCH(1,('NVRAM map'!$AF$3:$AF$319=$A40)*('NVRAM map'!$AI$3:$AI$319&gt;=Q$3)*('NVRAM map'!$AJ$3:$AJ$319&lt;=Q$3),0),2))</f>
        <v>PRESS_HIGH_ERR_CODE_MASK</v>
      </c>
      <c r="R40" s="87" t="str">
        <f t="array" aca="1" ref="R40" ca="1">IF(ISNA(INDEX('NVRAM map'!$AF$3:$AG$319,MATCH(1,('NVRAM map'!$AF$3:$AF$319=$A40)*('NVRAM map'!$AI$3:$AI$319&gt;=R$3)*('NVRAM map'!$AJ$3:$AJ$319&lt;=R$3),0),2)),"-",INDEX('NVRAM map'!$AF$3:$AG$319,MATCH(1,('NVRAM map'!$AF$3:$AF$319=$A40)*('NVRAM map'!$AI$3:$AI$319&gt;=R$3)*('NVRAM map'!$AJ$3:$AJ$319&lt;=R$3),0),2))</f>
        <v>PRESS_HIGH_ERR_CODE_MASK</v>
      </c>
      <c r="S40" s="87" t="str">
        <f t="array" aca="1" ref="S40" ca="1">IF(ISNA(INDEX('NVRAM map'!$AF$3:$AG$319,MATCH(1,('NVRAM map'!$AF$3:$AF$319=$A40)*('NVRAM map'!$AI$3:$AI$319&gt;=S$3)*('NVRAM map'!$AJ$3:$AJ$319&lt;=S$3),0),2)),"-",INDEX('NVRAM map'!$AF$3:$AG$319,MATCH(1,('NVRAM map'!$AF$3:$AF$319=$A40)*('NVRAM map'!$AI$3:$AI$319&gt;=S$3)*('NVRAM map'!$AJ$3:$AJ$319&lt;=S$3),0),2))</f>
        <v>PRESS_HIGH_ERR_CODE_MASK</v>
      </c>
      <c r="T40" s="87" t="str">
        <f t="array" aca="1" ref="T40" ca="1">IF(ISNA(INDEX('NVRAM map'!$AF$3:$AG$319,MATCH(1,('NVRAM map'!$AF$3:$AF$319=$A40)*('NVRAM map'!$AI$3:$AI$319&gt;=T$3)*('NVRAM map'!$AJ$3:$AJ$319&lt;=T$3),0),2)),"-",INDEX('NVRAM map'!$AF$3:$AG$319,MATCH(1,('NVRAM map'!$AF$3:$AF$319=$A40)*('NVRAM map'!$AI$3:$AI$319&gt;=T$3)*('NVRAM map'!$AJ$3:$AJ$319&lt;=T$3),0),2))</f>
        <v>PRESS_LOW_ERR_CODE_MASK</v>
      </c>
      <c r="U40" s="87" t="str">
        <f t="array" aca="1" ref="U40" ca="1">IF(ISNA(INDEX('NVRAM map'!$AF$3:$AG$319,MATCH(1,('NVRAM map'!$AF$3:$AF$319=$A40)*('NVRAM map'!$AI$3:$AI$319&gt;=U$3)*('NVRAM map'!$AJ$3:$AJ$319&lt;=U$3),0),2)),"-",INDEX('NVRAM map'!$AF$3:$AG$319,MATCH(1,('NVRAM map'!$AF$3:$AF$319=$A40)*('NVRAM map'!$AI$3:$AI$319&gt;=U$3)*('NVRAM map'!$AJ$3:$AJ$319&lt;=U$3),0),2))</f>
        <v>PRESS_LOW_ERR_CODE_MASK</v>
      </c>
      <c r="V40" s="87" t="str">
        <f t="array" aca="1" ref="V40" ca="1">IF(ISNA(INDEX('NVRAM map'!$AF$3:$AG$319,MATCH(1,('NVRAM map'!$AF$3:$AF$319=$A40)*('NVRAM map'!$AI$3:$AI$319&gt;=V$3)*('NVRAM map'!$AJ$3:$AJ$319&lt;=V$3),0),2)),"-",INDEX('NVRAM map'!$AF$3:$AG$319,MATCH(1,('NVRAM map'!$AF$3:$AF$319=$A40)*('NVRAM map'!$AI$3:$AI$319&gt;=V$3)*('NVRAM map'!$AJ$3:$AJ$319&lt;=V$3),0),2))</f>
        <v>PRESS_LOW_ERR_CODE_MASK</v>
      </c>
      <c r="W40" s="87" t="str">
        <f t="array" aca="1" ref="W40" ca="1">IF(ISNA(INDEX('NVRAM map'!$AF$3:$AG$319,MATCH(1,('NVRAM map'!$AF$3:$AF$319=$A40)*('NVRAM map'!$AI$3:$AI$319&gt;=W$3)*('NVRAM map'!$AJ$3:$AJ$319&lt;=W$3),0),2)),"-",INDEX('NVRAM map'!$AF$3:$AG$319,MATCH(1,('NVRAM map'!$AF$3:$AF$319=$A40)*('NVRAM map'!$AI$3:$AI$319&gt;=W$3)*('NVRAM map'!$AJ$3:$AJ$319&lt;=W$3),0),2))</f>
        <v>PRESS_LOW_ERR_CODE_MASK</v>
      </c>
      <c r="X40" s="88" t="str">
        <f ca="1">INDEX('NVRAM map'!$B$3:$B$319,MATCH(A40,'NVRAM map'!$E$3:$E$319,0))</f>
        <v>CUST</v>
      </c>
      <c r="AB40" s="44">
        <f t="shared" ca="1" si="2"/>
        <v>20</v>
      </c>
      <c r="AC40" s="12" t="b">
        <f ca="1">COUNTIF('NVRAM map'!$AD$3:$AE$319,A40)&lt;2</f>
        <v>1</v>
      </c>
      <c r="AD40" s="12">
        <f ca="1">SUMIF('NVRAM map'!$AF$3:$AF$319,A40,'NVRAM map'!$AK$3:$AK$319)</f>
        <v>65535</v>
      </c>
      <c r="AE40" s="12" t="str">
        <f t="shared" ca="1" si="3"/>
        <v>FFFF</v>
      </c>
      <c r="AF40" s="12" t="str">
        <f t="shared" ca="1" si="4"/>
        <v>11111111</v>
      </c>
      <c r="AG40" s="12" t="str">
        <f t="shared" ca="1" si="5"/>
        <v>11111111</v>
      </c>
      <c r="AH40" s="12">
        <f t="shared" ca="1" si="6"/>
        <v>16</v>
      </c>
      <c r="AI40" s="12">
        <f ca="1">SUMIF('NVRAM map'!$AF$3:$AF$319,A40,'NVRAM map'!$AH$3:$AH$319)</f>
        <v>16</v>
      </c>
      <c r="AJ40" s="12" t="b">
        <f t="shared" ca="1" si="7"/>
        <v>1</v>
      </c>
      <c r="AK40" s="12">
        <f ca="1">COUNTIF('NVRAM map'!$AF$3:$AF$319,A40)</f>
        <v>4</v>
      </c>
      <c r="AM40" s="89">
        <v>0</v>
      </c>
      <c r="AN40" s="80">
        <f t="shared" ca="1" si="14"/>
        <v>1</v>
      </c>
      <c r="AO40" s="80">
        <f t="shared" ca="1" si="14"/>
        <v>1</v>
      </c>
      <c r="AP40" s="80">
        <f t="shared" ca="1" si="14"/>
        <v>1</v>
      </c>
      <c r="AQ40" s="80">
        <f t="shared" ca="1" si="14"/>
        <v>1</v>
      </c>
      <c r="AR40" s="80">
        <f t="shared" ca="1" si="14"/>
        <v>1</v>
      </c>
      <c r="AS40" s="80">
        <f t="shared" ca="1" si="14"/>
        <v>1</v>
      </c>
      <c r="AT40" s="80">
        <f t="shared" ca="1" si="14"/>
        <v>1</v>
      </c>
      <c r="AU40" s="80">
        <f t="shared" ca="1" si="14"/>
        <v>0</v>
      </c>
      <c r="AV40" s="80">
        <f t="shared" ca="1" si="14"/>
        <v>0</v>
      </c>
      <c r="AW40" s="80">
        <f t="shared" ca="1" si="14"/>
        <v>0</v>
      </c>
      <c r="AX40" s="80">
        <f t="shared" ca="1" si="14"/>
        <v>0</v>
      </c>
      <c r="AY40" s="80">
        <f t="shared" ca="1" si="14"/>
        <v>1</v>
      </c>
      <c r="AZ40" s="80">
        <f t="shared" ca="1" si="14"/>
        <v>1</v>
      </c>
      <c r="BA40" s="80">
        <f t="shared" ca="1" si="14"/>
        <v>1</v>
      </c>
      <c r="BB40" s="81">
        <f t="shared" ca="1" si="14"/>
        <v>1</v>
      </c>
      <c r="BD40" s="12" t="str">
        <f t="shared" si="9"/>
        <v>0x1048</v>
      </c>
      <c r="BE40" s="12" t="str">
        <f t="shared" ca="1" si="10"/>
        <v>0001010000000000</v>
      </c>
      <c r="BG40" s="53" t="str">
        <f t="shared" ca="1" si="11"/>
        <v>`define EE_GLBL_ERR_MSK0_PSFT0 18</v>
      </c>
    </row>
    <row r="41" spans="1:59" ht="25.5">
      <c r="A41" s="82" t="s">
        <v>307</v>
      </c>
      <c r="B41" s="82">
        <v>74</v>
      </c>
      <c r="C41" s="82">
        <v>18</v>
      </c>
      <c r="D41" s="83">
        <f ca="1">SUMIF('NVRAM map'!$AF$3:$AF$319,A41,'NVRAM map'!$AN$3:$AN$319)</f>
        <v>0</v>
      </c>
      <c r="E41" s="84" t="str">
        <f t="shared" ca="1" si="0"/>
        <v>0000</v>
      </c>
      <c r="F41" s="85" t="str">
        <f t="shared" ca="1" si="12"/>
        <v>0000</v>
      </c>
      <c r="G41" s="86" t="str">
        <f ca="1">VLOOKUP(MemoryView!A41,'NVRAM map'!$AD$3:$AE$319,2,0)</f>
        <v>EE_GLBL_ERR_MASK1</v>
      </c>
      <c r="H41" s="87" t="str">
        <f t="array" aca="1" ref="H41" ca="1">IF(ISNA(INDEX('NVRAM map'!$AF$3:$AG$319,MATCH(1,('NVRAM map'!$AF$3:$AF$319=$A41)*('NVRAM map'!$AI$3:$AI$319&gt;=H$3)*('NVRAM map'!$AJ$3:$AJ$319&lt;=H$3),0),2)),"-",INDEX('NVRAM map'!$AF$3:$AG$319,MATCH(1,('NVRAM map'!$AF$3:$AF$319=$A41)*('NVRAM map'!$AI$3:$AI$319&gt;=H$3)*('NVRAM map'!$AJ$3:$AJ$319&lt;=H$3),0),2))</f>
        <v>TDEV_HIGH_ERR_CODE_MASK</v>
      </c>
      <c r="I41" s="87" t="str">
        <f t="array" aca="1" ref="I41" ca="1">IF(ISNA(INDEX('NVRAM map'!$AF$3:$AG$319,MATCH(1,('NVRAM map'!$AF$3:$AF$319=$A41)*('NVRAM map'!$AI$3:$AI$319&gt;=I$3)*('NVRAM map'!$AJ$3:$AJ$319&lt;=I$3),0),2)),"-",INDEX('NVRAM map'!$AF$3:$AG$319,MATCH(1,('NVRAM map'!$AF$3:$AF$319=$A41)*('NVRAM map'!$AI$3:$AI$319&gt;=I$3)*('NVRAM map'!$AJ$3:$AJ$319&lt;=I$3),0),2))</f>
        <v>TDEV_HIGH_ERR_CODE_MASK</v>
      </c>
      <c r="J41" s="87" t="str">
        <f t="array" aca="1" ref="J41" ca="1">IF(ISNA(INDEX('NVRAM map'!$AF$3:$AG$319,MATCH(1,('NVRAM map'!$AF$3:$AF$319=$A41)*('NVRAM map'!$AI$3:$AI$319&gt;=J$3)*('NVRAM map'!$AJ$3:$AJ$319&lt;=J$3),0),2)),"-",INDEX('NVRAM map'!$AF$3:$AG$319,MATCH(1,('NVRAM map'!$AF$3:$AF$319=$A41)*('NVRAM map'!$AI$3:$AI$319&gt;=J$3)*('NVRAM map'!$AJ$3:$AJ$319&lt;=J$3),0),2))</f>
        <v>TDEV_HIGH_ERR_CODE_MASK</v>
      </c>
      <c r="K41" s="87" t="str">
        <f t="array" aca="1" ref="K41" ca="1">IF(ISNA(INDEX('NVRAM map'!$AF$3:$AG$319,MATCH(1,('NVRAM map'!$AF$3:$AF$319=$A41)*('NVRAM map'!$AI$3:$AI$319&gt;=K$3)*('NVRAM map'!$AJ$3:$AJ$319&lt;=K$3),0),2)),"-",INDEX('NVRAM map'!$AF$3:$AG$319,MATCH(1,('NVRAM map'!$AF$3:$AF$319=$A41)*('NVRAM map'!$AI$3:$AI$319&gt;=K$3)*('NVRAM map'!$AJ$3:$AJ$319&lt;=K$3),0),2))</f>
        <v>TDEV_HIGH_ERR_CODE_MASK</v>
      </c>
      <c r="L41" s="87" t="str">
        <f t="array" aca="1" ref="L41" ca="1">IF(ISNA(INDEX('NVRAM map'!$AF$3:$AG$319,MATCH(1,('NVRAM map'!$AF$3:$AF$319=$A41)*('NVRAM map'!$AI$3:$AI$319&gt;=L$3)*('NVRAM map'!$AJ$3:$AJ$319&lt;=L$3),0),2)),"-",INDEX('NVRAM map'!$AF$3:$AG$319,MATCH(1,('NVRAM map'!$AF$3:$AF$319=$A41)*('NVRAM map'!$AI$3:$AI$319&gt;=L$3)*('NVRAM map'!$AJ$3:$AJ$319&lt;=L$3),0),2))</f>
        <v>TDEV_LOW_ERR_CODE_MASK</v>
      </c>
      <c r="M41" s="87" t="str">
        <f t="array" aca="1" ref="M41" ca="1">IF(ISNA(INDEX('NVRAM map'!$AF$3:$AG$319,MATCH(1,('NVRAM map'!$AF$3:$AF$319=$A41)*('NVRAM map'!$AI$3:$AI$319&gt;=M$3)*('NVRAM map'!$AJ$3:$AJ$319&lt;=M$3),0),2)),"-",INDEX('NVRAM map'!$AF$3:$AG$319,MATCH(1,('NVRAM map'!$AF$3:$AF$319=$A41)*('NVRAM map'!$AI$3:$AI$319&gt;=M$3)*('NVRAM map'!$AJ$3:$AJ$319&lt;=M$3),0),2))</f>
        <v>TDEV_LOW_ERR_CODE_MASK</v>
      </c>
      <c r="N41" s="87" t="str">
        <f t="array" aca="1" ref="N41" ca="1">IF(ISNA(INDEX('NVRAM map'!$AF$3:$AG$319,MATCH(1,('NVRAM map'!$AF$3:$AF$319=$A41)*('NVRAM map'!$AI$3:$AI$319&gt;=N$3)*('NVRAM map'!$AJ$3:$AJ$319&lt;=N$3),0),2)),"-",INDEX('NVRAM map'!$AF$3:$AG$319,MATCH(1,('NVRAM map'!$AF$3:$AF$319=$A41)*('NVRAM map'!$AI$3:$AI$319&gt;=N$3)*('NVRAM map'!$AJ$3:$AJ$319&lt;=N$3),0),2))</f>
        <v>TDEV_LOW_ERR_CODE_MASK</v>
      </c>
      <c r="O41" s="87" t="str">
        <f t="array" aca="1" ref="O41" ca="1">IF(ISNA(INDEX('NVRAM map'!$AF$3:$AG$319,MATCH(1,('NVRAM map'!$AF$3:$AF$319=$A41)*('NVRAM map'!$AI$3:$AI$319&gt;=O$3)*('NVRAM map'!$AJ$3:$AJ$319&lt;=O$3),0),2)),"-",INDEX('NVRAM map'!$AF$3:$AG$319,MATCH(1,('NVRAM map'!$AF$3:$AF$319=$A41)*('NVRAM map'!$AI$3:$AI$319&gt;=O$3)*('NVRAM map'!$AJ$3:$AJ$319&lt;=O$3),0),2))</f>
        <v>TDEV_LOW_ERR_CODE_MASK</v>
      </c>
      <c r="P41" s="87" t="str">
        <f t="array" aca="1" ref="P41" ca="1">IF(ISNA(INDEX('NVRAM map'!$AF$3:$AG$319,MATCH(1,('NVRAM map'!$AF$3:$AF$319=$A41)*('NVRAM map'!$AI$3:$AI$319&gt;=P$3)*('NVRAM map'!$AJ$3:$AJ$319&lt;=P$3),0),2)),"-",INDEX('NVRAM map'!$AF$3:$AG$319,MATCH(1,('NVRAM map'!$AF$3:$AF$319=$A41)*('NVRAM map'!$AI$3:$AI$319&gt;=P$3)*('NVRAM map'!$AJ$3:$AJ$319&lt;=P$3),0),2))</f>
        <v>TNTC_HIGH_ERR_CODE_MASK</v>
      </c>
      <c r="Q41" s="87" t="str">
        <f t="array" aca="1" ref="Q41" ca="1">IF(ISNA(INDEX('NVRAM map'!$AF$3:$AG$319,MATCH(1,('NVRAM map'!$AF$3:$AF$319=$A41)*('NVRAM map'!$AI$3:$AI$319&gt;=Q$3)*('NVRAM map'!$AJ$3:$AJ$319&lt;=Q$3),0),2)),"-",INDEX('NVRAM map'!$AF$3:$AG$319,MATCH(1,('NVRAM map'!$AF$3:$AF$319=$A41)*('NVRAM map'!$AI$3:$AI$319&gt;=Q$3)*('NVRAM map'!$AJ$3:$AJ$319&lt;=Q$3),0),2))</f>
        <v>TNTC_HIGH_ERR_CODE_MASK</v>
      </c>
      <c r="R41" s="87" t="str">
        <f t="array" aca="1" ref="R41" ca="1">IF(ISNA(INDEX('NVRAM map'!$AF$3:$AG$319,MATCH(1,('NVRAM map'!$AF$3:$AF$319=$A41)*('NVRAM map'!$AI$3:$AI$319&gt;=R$3)*('NVRAM map'!$AJ$3:$AJ$319&lt;=R$3),0),2)),"-",INDEX('NVRAM map'!$AF$3:$AG$319,MATCH(1,('NVRAM map'!$AF$3:$AF$319=$A41)*('NVRAM map'!$AI$3:$AI$319&gt;=R$3)*('NVRAM map'!$AJ$3:$AJ$319&lt;=R$3),0),2))</f>
        <v>TNTC_HIGH_ERR_CODE_MASK</v>
      </c>
      <c r="S41" s="87" t="str">
        <f t="array" aca="1" ref="S41" ca="1">IF(ISNA(INDEX('NVRAM map'!$AF$3:$AG$319,MATCH(1,('NVRAM map'!$AF$3:$AF$319=$A41)*('NVRAM map'!$AI$3:$AI$319&gt;=S$3)*('NVRAM map'!$AJ$3:$AJ$319&lt;=S$3),0),2)),"-",INDEX('NVRAM map'!$AF$3:$AG$319,MATCH(1,('NVRAM map'!$AF$3:$AF$319=$A41)*('NVRAM map'!$AI$3:$AI$319&gt;=S$3)*('NVRAM map'!$AJ$3:$AJ$319&lt;=S$3),0),2))</f>
        <v>TNTC_HIGH_ERR_CODE_MASK</v>
      </c>
      <c r="T41" s="87" t="str">
        <f t="array" aca="1" ref="T41" ca="1">IF(ISNA(INDEX('NVRAM map'!$AF$3:$AG$319,MATCH(1,('NVRAM map'!$AF$3:$AF$319=$A41)*('NVRAM map'!$AI$3:$AI$319&gt;=T$3)*('NVRAM map'!$AJ$3:$AJ$319&lt;=T$3),0),2)),"-",INDEX('NVRAM map'!$AF$3:$AG$319,MATCH(1,('NVRAM map'!$AF$3:$AF$319=$A41)*('NVRAM map'!$AI$3:$AI$319&gt;=T$3)*('NVRAM map'!$AJ$3:$AJ$319&lt;=T$3),0),2))</f>
        <v>TNTC_LOW_ERR_CODE_MASK</v>
      </c>
      <c r="U41" s="87" t="str">
        <f t="array" aca="1" ref="U41" ca="1">IF(ISNA(INDEX('NVRAM map'!$AF$3:$AG$319,MATCH(1,('NVRAM map'!$AF$3:$AF$319=$A41)*('NVRAM map'!$AI$3:$AI$319&gt;=U$3)*('NVRAM map'!$AJ$3:$AJ$319&lt;=U$3),0),2)),"-",INDEX('NVRAM map'!$AF$3:$AG$319,MATCH(1,('NVRAM map'!$AF$3:$AF$319=$A41)*('NVRAM map'!$AI$3:$AI$319&gt;=U$3)*('NVRAM map'!$AJ$3:$AJ$319&lt;=U$3),0),2))</f>
        <v>TNTC_LOW_ERR_CODE_MASK</v>
      </c>
      <c r="V41" s="87" t="str">
        <f t="array" aca="1" ref="V41" ca="1">IF(ISNA(INDEX('NVRAM map'!$AF$3:$AG$319,MATCH(1,('NVRAM map'!$AF$3:$AF$319=$A41)*('NVRAM map'!$AI$3:$AI$319&gt;=V$3)*('NVRAM map'!$AJ$3:$AJ$319&lt;=V$3),0),2)),"-",INDEX('NVRAM map'!$AF$3:$AG$319,MATCH(1,('NVRAM map'!$AF$3:$AF$319=$A41)*('NVRAM map'!$AI$3:$AI$319&gt;=V$3)*('NVRAM map'!$AJ$3:$AJ$319&lt;=V$3),0),2))</f>
        <v>TNTC_LOW_ERR_CODE_MASK</v>
      </c>
      <c r="W41" s="87" t="str">
        <f t="array" aca="1" ref="W41" ca="1">IF(ISNA(INDEX('NVRAM map'!$AF$3:$AG$319,MATCH(1,('NVRAM map'!$AF$3:$AF$319=$A41)*('NVRAM map'!$AI$3:$AI$319&gt;=W$3)*('NVRAM map'!$AJ$3:$AJ$319&lt;=W$3),0),2)),"-",INDEX('NVRAM map'!$AF$3:$AG$319,MATCH(1,('NVRAM map'!$AF$3:$AF$319=$A41)*('NVRAM map'!$AI$3:$AI$319&gt;=W$3)*('NVRAM map'!$AJ$3:$AJ$319&lt;=W$3),0),2))</f>
        <v>TNTC_LOW_ERR_CODE_MASK</v>
      </c>
      <c r="X41" s="88" t="str">
        <f ca="1">INDEX('NVRAM map'!$B$3:$B$319,MATCH(A41,'NVRAM map'!$E$3:$E$319,0))</f>
        <v>CUST</v>
      </c>
      <c r="AB41" s="44">
        <f t="shared" ca="1" si="2"/>
        <v>0</v>
      </c>
      <c r="AC41" s="12" t="b">
        <f ca="1">COUNTIF('NVRAM map'!$AD$3:$AE$319,A41)&lt;2</f>
        <v>1</v>
      </c>
      <c r="AD41" s="12">
        <f ca="1">SUMIF('NVRAM map'!$AF$3:$AF$319,A41,'NVRAM map'!$AK$3:$AK$319)</f>
        <v>65535</v>
      </c>
      <c r="AE41" s="12" t="str">
        <f t="shared" ca="1" si="3"/>
        <v>FFFF</v>
      </c>
      <c r="AF41" s="12" t="str">
        <f t="shared" ca="1" si="4"/>
        <v>11111111</v>
      </c>
      <c r="AG41" s="12" t="str">
        <f t="shared" ca="1" si="5"/>
        <v>11111111</v>
      </c>
      <c r="AH41" s="12">
        <f t="shared" ca="1" si="6"/>
        <v>16</v>
      </c>
      <c r="AI41" s="12">
        <f ca="1">SUMIF('NVRAM map'!$AF$3:$AF$319,A41,'NVRAM map'!$AH$3:$AH$319)</f>
        <v>16</v>
      </c>
      <c r="AJ41" s="12" t="b">
        <f t="shared" ca="1" si="7"/>
        <v>1</v>
      </c>
      <c r="AK41" s="12">
        <f ca="1">COUNTIF('NVRAM map'!$AF$3:$AF$319,A41)</f>
        <v>4</v>
      </c>
      <c r="AM41" s="89">
        <v>0</v>
      </c>
      <c r="AN41" s="80">
        <f t="shared" ca="1" si="14"/>
        <v>0</v>
      </c>
      <c r="AO41" s="80">
        <f t="shared" ca="1" si="14"/>
        <v>0</v>
      </c>
      <c r="AP41" s="80">
        <f t="shared" ca="1" si="14"/>
        <v>0</v>
      </c>
      <c r="AQ41" s="80">
        <f t="shared" ca="1" si="14"/>
        <v>1</v>
      </c>
      <c r="AR41" s="80">
        <f t="shared" ca="1" si="14"/>
        <v>1</v>
      </c>
      <c r="AS41" s="80">
        <f t="shared" ca="1" si="14"/>
        <v>1</v>
      </c>
      <c r="AT41" s="80">
        <f t="shared" ca="1" si="14"/>
        <v>1</v>
      </c>
      <c r="AU41" s="80">
        <f t="shared" ca="1" si="14"/>
        <v>0</v>
      </c>
      <c r="AV41" s="80">
        <f t="shared" ca="1" si="14"/>
        <v>0</v>
      </c>
      <c r="AW41" s="80">
        <f t="shared" ca="1" si="14"/>
        <v>0</v>
      </c>
      <c r="AX41" s="80">
        <f t="shared" ca="1" si="14"/>
        <v>0</v>
      </c>
      <c r="AY41" s="80">
        <f t="shared" ca="1" si="14"/>
        <v>1</v>
      </c>
      <c r="AZ41" s="80">
        <f t="shared" ca="1" si="14"/>
        <v>1</v>
      </c>
      <c r="BA41" s="80">
        <f t="shared" ca="1" si="14"/>
        <v>1</v>
      </c>
      <c r="BB41" s="81">
        <f t="shared" ca="1" si="14"/>
        <v>1</v>
      </c>
      <c r="BD41" s="12" t="str">
        <f t="shared" si="9"/>
        <v>0x104A</v>
      </c>
      <c r="BE41" s="12" t="str">
        <f t="shared" ca="1" si="10"/>
        <v>0000000000000000</v>
      </c>
      <c r="BG41" s="53" t="str">
        <f t="shared" ca="1" si="11"/>
        <v>`define EE_GLBL_ERR_MASK1 18</v>
      </c>
    </row>
    <row r="42" spans="1:59" ht="25.5">
      <c r="A42" s="82" t="s">
        <v>308</v>
      </c>
      <c r="B42" s="82">
        <v>76</v>
      </c>
      <c r="C42" s="82">
        <v>19</v>
      </c>
      <c r="D42" s="83">
        <f ca="1">SUMIF('NVRAM map'!$AF$3:$AF$319,A42,'NVRAM map'!$AN$3:$AN$319)</f>
        <v>0</v>
      </c>
      <c r="E42" s="84" t="str">
        <f t="shared" ca="1" si="0"/>
        <v>0000</v>
      </c>
      <c r="F42" s="85" t="str">
        <f t="shared" ca="1" si="12"/>
        <v>0000</v>
      </c>
      <c r="G42" s="86" t="str">
        <f ca="1">VLOOKUP(MemoryView!A42,'NVRAM map'!$AD$3:$AE$319,2,0)</f>
        <v>EE_FILT_MASK0</v>
      </c>
      <c r="H42" s="87" t="str">
        <f t="array" aca="1" ref="H42" ca="1">IF(ISNA(INDEX('NVRAM map'!$AF$3:$AG$319,MATCH(1,('NVRAM map'!$AF$3:$AF$319=$A42)*('NVRAM map'!$AI$3:$AI$319&gt;=H$3)*('NVRAM map'!$AJ$3:$AJ$319&lt;=H$3),0),2)),"-",INDEX('NVRAM map'!$AF$3:$AG$319,MATCH(1,('NVRAM map'!$AF$3:$AF$319=$A42)*('NVRAM map'!$AI$3:$AI$319&gt;=H$3)*('NVRAM map'!$AJ$3:$AJ$319&lt;=H$3),0),2))</f>
        <v>PRES_FILT_ERR_MASK</v>
      </c>
      <c r="I42" s="87" t="str">
        <f t="array" aca="1" ref="I42" ca="1">IF(ISNA(INDEX('NVRAM map'!$AF$3:$AG$319,MATCH(1,('NVRAM map'!$AF$3:$AF$319=$A42)*('NVRAM map'!$AI$3:$AI$319&gt;=I$3)*('NVRAM map'!$AJ$3:$AJ$319&lt;=I$3),0),2)),"-",INDEX('NVRAM map'!$AF$3:$AG$319,MATCH(1,('NVRAM map'!$AF$3:$AF$319=$A42)*('NVRAM map'!$AI$3:$AI$319&gt;=I$3)*('NVRAM map'!$AJ$3:$AJ$319&lt;=I$3),0),2))</f>
        <v>PRES_FILT_ERR_MASK</v>
      </c>
      <c r="J42" s="87" t="str">
        <f t="array" aca="1" ref="J42" ca="1">IF(ISNA(INDEX('NVRAM map'!$AF$3:$AG$319,MATCH(1,('NVRAM map'!$AF$3:$AF$319=$A42)*('NVRAM map'!$AI$3:$AI$319&gt;=J$3)*('NVRAM map'!$AJ$3:$AJ$319&lt;=J$3),0),2)),"-",INDEX('NVRAM map'!$AF$3:$AG$319,MATCH(1,('NVRAM map'!$AF$3:$AF$319=$A42)*('NVRAM map'!$AI$3:$AI$319&gt;=J$3)*('NVRAM map'!$AJ$3:$AJ$319&lt;=J$3),0),2))</f>
        <v>PRES_FILT_ERR_MASK</v>
      </c>
      <c r="K42" s="87" t="str">
        <f t="array" aca="1" ref="K42" ca="1">IF(ISNA(INDEX('NVRAM map'!$AF$3:$AG$319,MATCH(1,('NVRAM map'!$AF$3:$AF$319=$A42)*('NVRAM map'!$AI$3:$AI$319&gt;=K$3)*('NVRAM map'!$AJ$3:$AJ$319&lt;=K$3),0),2)),"-",INDEX('NVRAM map'!$AF$3:$AG$319,MATCH(1,('NVRAM map'!$AF$3:$AF$319=$A42)*('NVRAM map'!$AI$3:$AI$319&gt;=K$3)*('NVRAM map'!$AJ$3:$AJ$319&lt;=K$3),0),2))</f>
        <v>PRES_FILT_ERR_MASK</v>
      </c>
      <c r="L42" s="87" t="str">
        <f t="array" aca="1" ref="L42" ca="1">IF(ISNA(INDEX('NVRAM map'!$AF$3:$AG$319,MATCH(1,('NVRAM map'!$AF$3:$AF$319=$A42)*('NVRAM map'!$AI$3:$AI$319&gt;=L$3)*('NVRAM map'!$AJ$3:$AJ$319&lt;=L$3),0),2)),"-",INDEX('NVRAM map'!$AF$3:$AG$319,MATCH(1,('NVRAM map'!$AF$3:$AF$319=$A42)*('NVRAM map'!$AI$3:$AI$319&gt;=L$3)*('NVRAM map'!$AJ$3:$AJ$319&lt;=L$3),0),2))</f>
        <v>PRES_FILT_ERR_MASK</v>
      </c>
      <c r="M42" s="87" t="str">
        <f t="array" aca="1" ref="M42" ca="1">IF(ISNA(INDEX('NVRAM map'!$AF$3:$AG$319,MATCH(1,('NVRAM map'!$AF$3:$AF$319=$A42)*('NVRAM map'!$AI$3:$AI$319&gt;=M$3)*('NVRAM map'!$AJ$3:$AJ$319&lt;=M$3),0),2)),"-",INDEX('NVRAM map'!$AF$3:$AG$319,MATCH(1,('NVRAM map'!$AF$3:$AF$319=$A42)*('NVRAM map'!$AI$3:$AI$319&gt;=M$3)*('NVRAM map'!$AJ$3:$AJ$319&lt;=M$3),0),2))</f>
        <v>PRES_FILT_ERR_MASK</v>
      </c>
      <c r="N42" s="87" t="str">
        <f t="array" aca="1" ref="N42" ca="1">IF(ISNA(INDEX('NVRAM map'!$AF$3:$AG$319,MATCH(1,('NVRAM map'!$AF$3:$AF$319=$A42)*('NVRAM map'!$AI$3:$AI$319&gt;=N$3)*('NVRAM map'!$AJ$3:$AJ$319&lt;=N$3),0),2)),"-",INDEX('NVRAM map'!$AF$3:$AG$319,MATCH(1,('NVRAM map'!$AF$3:$AF$319=$A42)*('NVRAM map'!$AI$3:$AI$319&gt;=N$3)*('NVRAM map'!$AJ$3:$AJ$319&lt;=N$3),0),2))</f>
        <v>PRES_FILT_ERR_MASK</v>
      </c>
      <c r="O42" s="87" t="str">
        <f t="array" aca="1" ref="O42" ca="1">IF(ISNA(INDEX('NVRAM map'!$AF$3:$AG$319,MATCH(1,('NVRAM map'!$AF$3:$AF$319=$A42)*('NVRAM map'!$AI$3:$AI$319&gt;=O$3)*('NVRAM map'!$AJ$3:$AJ$319&lt;=O$3),0),2)),"-",INDEX('NVRAM map'!$AF$3:$AG$319,MATCH(1,('NVRAM map'!$AF$3:$AF$319=$A42)*('NVRAM map'!$AI$3:$AI$319&gt;=O$3)*('NVRAM map'!$AJ$3:$AJ$319&lt;=O$3),0),2))</f>
        <v>PRES_FILT_ERR_MASK</v>
      </c>
      <c r="P42" s="87" t="str">
        <f t="array" aca="1" ref="P42" ca="1">IF(ISNA(INDEX('NVRAM map'!$AF$3:$AG$319,MATCH(1,('NVRAM map'!$AF$3:$AF$319=$A42)*('NVRAM map'!$AI$3:$AI$319&gt;=P$3)*('NVRAM map'!$AJ$3:$AJ$319&lt;=P$3),0),2)),"-",INDEX('NVRAM map'!$AF$3:$AG$319,MATCH(1,('NVRAM map'!$AF$3:$AF$319=$A42)*('NVRAM map'!$AI$3:$AI$319&gt;=P$3)*('NVRAM map'!$AJ$3:$AJ$319&lt;=P$3),0),2))</f>
        <v>NTC_FILT_ERR_MASK</v>
      </c>
      <c r="Q42" s="87" t="str">
        <f t="array" aca="1" ref="Q42" ca="1">IF(ISNA(INDEX('NVRAM map'!$AF$3:$AG$319,MATCH(1,('NVRAM map'!$AF$3:$AF$319=$A42)*('NVRAM map'!$AI$3:$AI$319&gt;=Q$3)*('NVRAM map'!$AJ$3:$AJ$319&lt;=Q$3),0),2)),"-",INDEX('NVRAM map'!$AF$3:$AG$319,MATCH(1,('NVRAM map'!$AF$3:$AF$319=$A42)*('NVRAM map'!$AI$3:$AI$319&gt;=Q$3)*('NVRAM map'!$AJ$3:$AJ$319&lt;=Q$3),0),2))</f>
        <v>NTC_FILT_ERR_MASK</v>
      </c>
      <c r="R42" s="87" t="str">
        <f t="array" aca="1" ref="R42" ca="1">IF(ISNA(INDEX('NVRAM map'!$AF$3:$AG$319,MATCH(1,('NVRAM map'!$AF$3:$AF$319=$A42)*('NVRAM map'!$AI$3:$AI$319&gt;=R$3)*('NVRAM map'!$AJ$3:$AJ$319&lt;=R$3),0),2)),"-",INDEX('NVRAM map'!$AF$3:$AG$319,MATCH(1,('NVRAM map'!$AF$3:$AF$319=$A42)*('NVRAM map'!$AI$3:$AI$319&gt;=R$3)*('NVRAM map'!$AJ$3:$AJ$319&lt;=R$3),0),2))</f>
        <v>NTC_FILT_ERR_MASK</v>
      </c>
      <c r="S42" s="87" t="str">
        <f t="array" aca="1" ref="S42" ca="1">IF(ISNA(INDEX('NVRAM map'!$AF$3:$AG$319,MATCH(1,('NVRAM map'!$AF$3:$AF$319=$A42)*('NVRAM map'!$AI$3:$AI$319&gt;=S$3)*('NVRAM map'!$AJ$3:$AJ$319&lt;=S$3),0),2)),"-",INDEX('NVRAM map'!$AF$3:$AG$319,MATCH(1,('NVRAM map'!$AF$3:$AF$319=$A42)*('NVRAM map'!$AI$3:$AI$319&gt;=S$3)*('NVRAM map'!$AJ$3:$AJ$319&lt;=S$3),0),2))</f>
        <v>NTC_FILT_ERR_MASK</v>
      </c>
      <c r="T42" s="87" t="str">
        <f t="array" aca="1" ref="T42" ca="1">IF(ISNA(INDEX('NVRAM map'!$AF$3:$AG$319,MATCH(1,('NVRAM map'!$AF$3:$AF$319=$A42)*('NVRAM map'!$AI$3:$AI$319&gt;=T$3)*('NVRAM map'!$AJ$3:$AJ$319&lt;=T$3),0),2)),"-",INDEX('NVRAM map'!$AF$3:$AG$319,MATCH(1,('NVRAM map'!$AF$3:$AF$319=$A42)*('NVRAM map'!$AI$3:$AI$319&gt;=T$3)*('NVRAM map'!$AJ$3:$AJ$319&lt;=T$3),0),2))</f>
        <v>NTC_FILT_ERR_MASK</v>
      </c>
      <c r="U42" s="87" t="str">
        <f t="array" aca="1" ref="U42" ca="1">IF(ISNA(INDEX('NVRAM map'!$AF$3:$AG$319,MATCH(1,('NVRAM map'!$AF$3:$AF$319=$A42)*('NVRAM map'!$AI$3:$AI$319&gt;=U$3)*('NVRAM map'!$AJ$3:$AJ$319&lt;=U$3),0),2)),"-",INDEX('NVRAM map'!$AF$3:$AG$319,MATCH(1,('NVRAM map'!$AF$3:$AF$319=$A42)*('NVRAM map'!$AI$3:$AI$319&gt;=U$3)*('NVRAM map'!$AJ$3:$AJ$319&lt;=U$3),0),2))</f>
        <v>NTC_FILT_ERR_MASK</v>
      </c>
      <c r="V42" s="87" t="str">
        <f t="array" aca="1" ref="V42" ca="1">IF(ISNA(INDEX('NVRAM map'!$AF$3:$AG$319,MATCH(1,('NVRAM map'!$AF$3:$AF$319=$A42)*('NVRAM map'!$AI$3:$AI$319&gt;=V$3)*('NVRAM map'!$AJ$3:$AJ$319&lt;=V$3),0),2)),"-",INDEX('NVRAM map'!$AF$3:$AG$319,MATCH(1,('NVRAM map'!$AF$3:$AF$319=$A42)*('NVRAM map'!$AI$3:$AI$319&gt;=V$3)*('NVRAM map'!$AJ$3:$AJ$319&lt;=V$3),0),2))</f>
        <v>NTC_FILT_ERR_MASK</v>
      </c>
      <c r="W42" s="87" t="str">
        <f t="array" aca="1" ref="W42" ca="1">IF(ISNA(INDEX('NVRAM map'!$AF$3:$AG$319,MATCH(1,('NVRAM map'!$AF$3:$AF$319=$A42)*('NVRAM map'!$AI$3:$AI$319&gt;=W$3)*('NVRAM map'!$AJ$3:$AJ$319&lt;=W$3),0),2)),"-",INDEX('NVRAM map'!$AF$3:$AG$319,MATCH(1,('NVRAM map'!$AF$3:$AF$319=$A42)*('NVRAM map'!$AI$3:$AI$319&gt;=W$3)*('NVRAM map'!$AJ$3:$AJ$319&lt;=W$3),0),2))</f>
        <v>NTC_FILT_ERR_MASK</v>
      </c>
      <c r="X42" s="88" t="str">
        <f ca="1">INDEX('NVRAM map'!$B$3:$B$319,MATCH(A42,'NVRAM map'!$E$3:$E$319,0))</f>
        <v>CUST</v>
      </c>
      <c r="AB42" s="44">
        <f t="shared" ca="1" si="2"/>
        <v>0</v>
      </c>
      <c r="AC42" s="12" t="b">
        <f ca="1">COUNTIF('NVRAM map'!$AD$3:$AE$319,A42)&lt;2</f>
        <v>1</v>
      </c>
      <c r="AD42" s="12">
        <f ca="1">SUMIF('NVRAM map'!$AF$3:$AF$319,A42,'NVRAM map'!$AK$3:$AK$319)</f>
        <v>65535</v>
      </c>
      <c r="AE42" s="12" t="str">
        <f t="shared" ca="1" si="3"/>
        <v>FFFF</v>
      </c>
      <c r="AF42" s="12" t="str">
        <f t="shared" ca="1" si="4"/>
        <v>11111111</v>
      </c>
      <c r="AG42" s="12" t="str">
        <f t="shared" ca="1" si="5"/>
        <v>11111111</v>
      </c>
      <c r="AH42" s="12">
        <f t="shared" ca="1" si="6"/>
        <v>16</v>
      </c>
      <c r="AI42" s="12">
        <f ca="1">SUMIF('NVRAM map'!$AF$3:$AF$319,A42,'NVRAM map'!$AH$3:$AH$319)</f>
        <v>16</v>
      </c>
      <c r="AJ42" s="12" t="b">
        <f t="shared" ca="1" si="7"/>
        <v>1</v>
      </c>
      <c r="AK42" s="12">
        <f ca="1">COUNTIF('NVRAM map'!$AF$3:$AF$319,A42)</f>
        <v>2</v>
      </c>
      <c r="AM42" s="89">
        <v>0</v>
      </c>
      <c r="AN42" s="80">
        <f t="shared" ca="1" si="14"/>
        <v>0</v>
      </c>
      <c r="AO42" s="80">
        <f t="shared" ca="1" si="14"/>
        <v>0</v>
      </c>
      <c r="AP42" s="80">
        <f t="shared" ca="1" si="14"/>
        <v>0</v>
      </c>
      <c r="AQ42" s="80">
        <f t="shared" ca="1" si="14"/>
        <v>0</v>
      </c>
      <c r="AR42" s="80">
        <f t="shared" ca="1" si="14"/>
        <v>0</v>
      </c>
      <c r="AS42" s="80">
        <f t="shared" ca="1" si="14"/>
        <v>0</v>
      </c>
      <c r="AT42" s="80">
        <f t="shared" ca="1" si="14"/>
        <v>0</v>
      </c>
      <c r="AU42" s="80">
        <f t="shared" ca="1" si="14"/>
        <v>1</v>
      </c>
      <c r="AV42" s="80">
        <f t="shared" ca="1" si="14"/>
        <v>1</v>
      </c>
      <c r="AW42" s="80">
        <f t="shared" ca="1" si="14"/>
        <v>1</v>
      </c>
      <c r="AX42" s="80">
        <f t="shared" ca="1" si="14"/>
        <v>1</v>
      </c>
      <c r="AY42" s="80">
        <f t="shared" ca="1" si="14"/>
        <v>1</v>
      </c>
      <c r="AZ42" s="80">
        <f t="shared" ca="1" si="14"/>
        <v>1</v>
      </c>
      <c r="BA42" s="80">
        <f t="shared" ca="1" si="14"/>
        <v>1</v>
      </c>
      <c r="BB42" s="81">
        <f t="shared" ca="1" si="14"/>
        <v>1</v>
      </c>
      <c r="BD42" s="12" t="str">
        <f t="shared" si="9"/>
        <v>0x104C</v>
      </c>
      <c r="BE42" s="12" t="str">
        <f t="shared" ca="1" si="10"/>
        <v>0000000000000000</v>
      </c>
      <c r="BG42" s="53" t="str">
        <f t="shared" ca="1" si="11"/>
        <v>`define EE_FILT_MASK0 19</v>
      </c>
    </row>
    <row r="43" spans="1:59" ht="25.5">
      <c r="A43" s="82" t="s">
        <v>309</v>
      </c>
      <c r="B43" s="82">
        <v>78</v>
      </c>
      <c r="C43" s="82">
        <v>19</v>
      </c>
      <c r="D43" s="83">
        <f ca="1">SUMIF('NVRAM map'!$AF$3:$AF$319,A43,'NVRAM map'!$AN$3:$AN$319)</f>
        <v>0</v>
      </c>
      <c r="E43" s="84" t="str">
        <f t="shared" ca="1" si="0"/>
        <v>0000</v>
      </c>
      <c r="F43" s="85" t="str">
        <f t="shared" ca="1" si="12"/>
        <v>0000</v>
      </c>
      <c r="G43" s="86" t="str">
        <f ca="1">VLOOKUP(MemoryView!A43,'NVRAM map'!$AD$3:$AE$319,2,0)</f>
        <v>EE_FILT_MASK1</v>
      </c>
      <c r="H43" s="87" t="str">
        <f t="array" aca="1" ref="H43" ca="1">IF(ISNA(INDEX('NVRAM map'!$AF$3:$AG$319,MATCH(1,('NVRAM map'!$AF$3:$AF$319=$A43)*('NVRAM map'!$AI$3:$AI$319&gt;=H$3)*('NVRAM map'!$AJ$3:$AJ$319&lt;=H$3),0),2)),"-",INDEX('NVRAM map'!$AF$3:$AG$319,MATCH(1,('NVRAM map'!$AF$3:$AF$319=$A43)*('NVRAM map'!$AI$3:$AI$319&gt;=H$3)*('NVRAM map'!$AJ$3:$AJ$319&lt;=H$3),0),2))</f>
        <v>TMEMS_FILT_ERR_MASK</v>
      </c>
      <c r="I43" s="87" t="str">
        <f t="array" aca="1" ref="I43" ca="1">IF(ISNA(INDEX('NVRAM map'!$AF$3:$AG$319,MATCH(1,('NVRAM map'!$AF$3:$AF$319=$A43)*('NVRAM map'!$AI$3:$AI$319&gt;=I$3)*('NVRAM map'!$AJ$3:$AJ$319&lt;=I$3),0),2)),"-",INDEX('NVRAM map'!$AF$3:$AG$319,MATCH(1,('NVRAM map'!$AF$3:$AF$319=$A43)*('NVRAM map'!$AI$3:$AI$319&gt;=I$3)*('NVRAM map'!$AJ$3:$AJ$319&lt;=I$3),0),2))</f>
        <v>TMEMS_FILT_ERR_MASK</v>
      </c>
      <c r="J43" s="87" t="str">
        <f t="array" aca="1" ref="J43" ca="1">IF(ISNA(INDEX('NVRAM map'!$AF$3:$AG$319,MATCH(1,('NVRAM map'!$AF$3:$AF$319=$A43)*('NVRAM map'!$AI$3:$AI$319&gt;=J$3)*('NVRAM map'!$AJ$3:$AJ$319&lt;=J$3),0),2)),"-",INDEX('NVRAM map'!$AF$3:$AG$319,MATCH(1,('NVRAM map'!$AF$3:$AF$319=$A43)*('NVRAM map'!$AI$3:$AI$319&gt;=J$3)*('NVRAM map'!$AJ$3:$AJ$319&lt;=J$3),0),2))</f>
        <v>TMEMS_FILT_ERR_MASK</v>
      </c>
      <c r="K43" s="87" t="str">
        <f t="array" aca="1" ref="K43" ca="1">IF(ISNA(INDEX('NVRAM map'!$AF$3:$AG$319,MATCH(1,('NVRAM map'!$AF$3:$AF$319=$A43)*('NVRAM map'!$AI$3:$AI$319&gt;=K$3)*('NVRAM map'!$AJ$3:$AJ$319&lt;=K$3),0),2)),"-",INDEX('NVRAM map'!$AF$3:$AG$319,MATCH(1,('NVRAM map'!$AF$3:$AF$319=$A43)*('NVRAM map'!$AI$3:$AI$319&gt;=K$3)*('NVRAM map'!$AJ$3:$AJ$319&lt;=K$3),0),2))</f>
        <v>TMEMS_FILT_ERR_MASK</v>
      </c>
      <c r="L43" s="87" t="str">
        <f t="array" aca="1" ref="L43" ca="1">IF(ISNA(INDEX('NVRAM map'!$AF$3:$AG$319,MATCH(1,('NVRAM map'!$AF$3:$AF$319=$A43)*('NVRAM map'!$AI$3:$AI$319&gt;=L$3)*('NVRAM map'!$AJ$3:$AJ$319&lt;=L$3),0),2)),"-",INDEX('NVRAM map'!$AF$3:$AG$319,MATCH(1,('NVRAM map'!$AF$3:$AF$319=$A43)*('NVRAM map'!$AI$3:$AI$319&gt;=L$3)*('NVRAM map'!$AJ$3:$AJ$319&lt;=L$3),0),2))</f>
        <v>TMEMS_FILT_ERR_MASK</v>
      </c>
      <c r="M43" s="87" t="str">
        <f t="array" aca="1" ref="M43" ca="1">IF(ISNA(INDEX('NVRAM map'!$AF$3:$AG$319,MATCH(1,('NVRAM map'!$AF$3:$AF$319=$A43)*('NVRAM map'!$AI$3:$AI$319&gt;=M$3)*('NVRAM map'!$AJ$3:$AJ$319&lt;=M$3),0),2)),"-",INDEX('NVRAM map'!$AF$3:$AG$319,MATCH(1,('NVRAM map'!$AF$3:$AF$319=$A43)*('NVRAM map'!$AI$3:$AI$319&gt;=M$3)*('NVRAM map'!$AJ$3:$AJ$319&lt;=M$3),0),2))</f>
        <v>TMEMS_FILT_ERR_MASK</v>
      </c>
      <c r="N43" s="87" t="str">
        <f t="array" aca="1" ref="N43" ca="1">IF(ISNA(INDEX('NVRAM map'!$AF$3:$AG$319,MATCH(1,('NVRAM map'!$AF$3:$AF$319=$A43)*('NVRAM map'!$AI$3:$AI$319&gt;=N$3)*('NVRAM map'!$AJ$3:$AJ$319&lt;=N$3),0),2)),"-",INDEX('NVRAM map'!$AF$3:$AG$319,MATCH(1,('NVRAM map'!$AF$3:$AF$319=$A43)*('NVRAM map'!$AI$3:$AI$319&gt;=N$3)*('NVRAM map'!$AJ$3:$AJ$319&lt;=N$3),0),2))</f>
        <v>TMEMS_FILT_ERR_MASK</v>
      </c>
      <c r="O43" s="87" t="str">
        <f t="array" aca="1" ref="O43" ca="1">IF(ISNA(INDEX('NVRAM map'!$AF$3:$AG$319,MATCH(1,('NVRAM map'!$AF$3:$AF$319=$A43)*('NVRAM map'!$AI$3:$AI$319&gt;=O$3)*('NVRAM map'!$AJ$3:$AJ$319&lt;=O$3),0),2)),"-",INDEX('NVRAM map'!$AF$3:$AG$319,MATCH(1,('NVRAM map'!$AF$3:$AF$319=$A43)*('NVRAM map'!$AI$3:$AI$319&gt;=O$3)*('NVRAM map'!$AJ$3:$AJ$319&lt;=O$3),0),2))</f>
        <v>TMEMS_FILT_ERR_MASK</v>
      </c>
      <c r="P43" s="87" t="str">
        <f t="array" aca="1" ref="P43" ca="1">IF(ISNA(INDEX('NVRAM map'!$AF$3:$AG$319,MATCH(1,('NVRAM map'!$AF$3:$AF$319=$A43)*('NVRAM map'!$AI$3:$AI$319&gt;=P$3)*('NVRAM map'!$AJ$3:$AJ$319&lt;=P$3),0),2)),"-",INDEX('NVRAM map'!$AF$3:$AG$319,MATCH(1,('NVRAM map'!$AF$3:$AF$319=$A43)*('NVRAM map'!$AI$3:$AI$319&gt;=P$3)*('NVRAM map'!$AJ$3:$AJ$319&lt;=P$3),0),2))</f>
        <v>TDIE_FILT_ERR_MASK</v>
      </c>
      <c r="Q43" s="87" t="str">
        <f t="array" aca="1" ref="Q43" ca="1">IF(ISNA(INDEX('NVRAM map'!$AF$3:$AG$319,MATCH(1,('NVRAM map'!$AF$3:$AF$319=$A43)*('NVRAM map'!$AI$3:$AI$319&gt;=Q$3)*('NVRAM map'!$AJ$3:$AJ$319&lt;=Q$3),0),2)),"-",INDEX('NVRAM map'!$AF$3:$AG$319,MATCH(1,('NVRAM map'!$AF$3:$AF$319=$A43)*('NVRAM map'!$AI$3:$AI$319&gt;=Q$3)*('NVRAM map'!$AJ$3:$AJ$319&lt;=Q$3),0),2))</f>
        <v>TDIE_FILT_ERR_MASK</v>
      </c>
      <c r="R43" s="87" t="str">
        <f t="array" aca="1" ref="R43" ca="1">IF(ISNA(INDEX('NVRAM map'!$AF$3:$AG$319,MATCH(1,('NVRAM map'!$AF$3:$AF$319=$A43)*('NVRAM map'!$AI$3:$AI$319&gt;=R$3)*('NVRAM map'!$AJ$3:$AJ$319&lt;=R$3),0),2)),"-",INDEX('NVRAM map'!$AF$3:$AG$319,MATCH(1,('NVRAM map'!$AF$3:$AF$319=$A43)*('NVRAM map'!$AI$3:$AI$319&gt;=R$3)*('NVRAM map'!$AJ$3:$AJ$319&lt;=R$3),0),2))</f>
        <v>TDIE_FILT_ERR_MASK</v>
      </c>
      <c r="S43" s="87" t="str">
        <f t="array" aca="1" ref="S43" ca="1">IF(ISNA(INDEX('NVRAM map'!$AF$3:$AG$319,MATCH(1,('NVRAM map'!$AF$3:$AF$319=$A43)*('NVRAM map'!$AI$3:$AI$319&gt;=S$3)*('NVRAM map'!$AJ$3:$AJ$319&lt;=S$3),0),2)),"-",INDEX('NVRAM map'!$AF$3:$AG$319,MATCH(1,('NVRAM map'!$AF$3:$AF$319=$A43)*('NVRAM map'!$AI$3:$AI$319&gt;=S$3)*('NVRAM map'!$AJ$3:$AJ$319&lt;=S$3),0),2))</f>
        <v>TDIE_FILT_ERR_MASK</v>
      </c>
      <c r="T43" s="87" t="str">
        <f t="array" aca="1" ref="T43" ca="1">IF(ISNA(INDEX('NVRAM map'!$AF$3:$AG$319,MATCH(1,('NVRAM map'!$AF$3:$AF$319=$A43)*('NVRAM map'!$AI$3:$AI$319&gt;=T$3)*('NVRAM map'!$AJ$3:$AJ$319&lt;=T$3),0),2)),"-",INDEX('NVRAM map'!$AF$3:$AG$319,MATCH(1,('NVRAM map'!$AF$3:$AF$319=$A43)*('NVRAM map'!$AI$3:$AI$319&gt;=T$3)*('NVRAM map'!$AJ$3:$AJ$319&lt;=T$3),0),2))</f>
        <v>TDIE_FILT_ERR_MASK</v>
      </c>
      <c r="U43" s="87" t="str">
        <f t="array" aca="1" ref="U43" ca="1">IF(ISNA(INDEX('NVRAM map'!$AF$3:$AG$319,MATCH(1,('NVRAM map'!$AF$3:$AF$319=$A43)*('NVRAM map'!$AI$3:$AI$319&gt;=U$3)*('NVRAM map'!$AJ$3:$AJ$319&lt;=U$3),0),2)),"-",INDEX('NVRAM map'!$AF$3:$AG$319,MATCH(1,('NVRAM map'!$AF$3:$AF$319=$A43)*('NVRAM map'!$AI$3:$AI$319&gt;=U$3)*('NVRAM map'!$AJ$3:$AJ$319&lt;=U$3),0),2))</f>
        <v>TDIE_FILT_ERR_MASK</v>
      </c>
      <c r="V43" s="87" t="str">
        <f t="array" aca="1" ref="V43" ca="1">IF(ISNA(INDEX('NVRAM map'!$AF$3:$AG$319,MATCH(1,('NVRAM map'!$AF$3:$AF$319=$A43)*('NVRAM map'!$AI$3:$AI$319&gt;=V$3)*('NVRAM map'!$AJ$3:$AJ$319&lt;=V$3),0),2)),"-",INDEX('NVRAM map'!$AF$3:$AG$319,MATCH(1,('NVRAM map'!$AF$3:$AF$319=$A43)*('NVRAM map'!$AI$3:$AI$319&gt;=V$3)*('NVRAM map'!$AJ$3:$AJ$319&lt;=V$3),0),2))</f>
        <v>TDIE_FILT_ERR_MASK</v>
      </c>
      <c r="W43" s="87" t="str">
        <f t="array" aca="1" ref="W43" ca="1">IF(ISNA(INDEX('NVRAM map'!$AF$3:$AG$319,MATCH(1,('NVRAM map'!$AF$3:$AF$319=$A43)*('NVRAM map'!$AI$3:$AI$319&gt;=W$3)*('NVRAM map'!$AJ$3:$AJ$319&lt;=W$3),0),2)),"-",INDEX('NVRAM map'!$AF$3:$AG$319,MATCH(1,('NVRAM map'!$AF$3:$AF$319=$A43)*('NVRAM map'!$AI$3:$AI$319&gt;=W$3)*('NVRAM map'!$AJ$3:$AJ$319&lt;=W$3),0),2))</f>
        <v>TDIE_FILT_ERR_MASK</v>
      </c>
      <c r="X43" s="88" t="str">
        <f ca="1">INDEX('NVRAM map'!$B$3:$B$319,MATCH(A43,'NVRAM map'!$E$3:$E$319,0))</f>
        <v>CUST</v>
      </c>
      <c r="AB43" s="44">
        <f t="shared" ca="1" si="2"/>
        <v>0</v>
      </c>
      <c r="AC43" s="12" t="b">
        <f ca="1">COUNTIF('NVRAM map'!$AD$3:$AE$319,A43)&lt;2</f>
        <v>1</v>
      </c>
      <c r="AD43" s="12">
        <f ca="1">SUMIF('NVRAM map'!$AF$3:$AF$319,A43,'NVRAM map'!$AK$3:$AK$319)</f>
        <v>65535</v>
      </c>
      <c r="AE43" s="12" t="str">
        <f t="shared" ca="1" si="3"/>
        <v>FFFF</v>
      </c>
      <c r="AF43" s="12" t="str">
        <f t="shared" ca="1" si="4"/>
        <v>11111111</v>
      </c>
      <c r="AG43" s="12" t="str">
        <f t="shared" ca="1" si="5"/>
        <v>11111111</v>
      </c>
      <c r="AH43" s="12">
        <f t="shared" ca="1" si="6"/>
        <v>16</v>
      </c>
      <c r="AI43" s="12">
        <f ca="1">SUMIF('NVRAM map'!$AF$3:$AF$319,A43,'NVRAM map'!$AH$3:$AH$319)</f>
        <v>16</v>
      </c>
      <c r="AJ43" s="12" t="b">
        <f t="shared" ca="1" si="7"/>
        <v>1</v>
      </c>
      <c r="AK43" s="12">
        <f ca="1">COUNTIF('NVRAM map'!$AF$3:$AF$319,A43)</f>
        <v>2</v>
      </c>
      <c r="AM43" s="89">
        <v>0</v>
      </c>
      <c r="AN43" s="80">
        <f t="shared" ca="1" si="14"/>
        <v>0</v>
      </c>
      <c r="AO43" s="80">
        <f t="shared" ca="1" si="14"/>
        <v>0</v>
      </c>
      <c r="AP43" s="80">
        <f t="shared" ca="1" si="14"/>
        <v>0</v>
      </c>
      <c r="AQ43" s="80">
        <f t="shared" ca="1" si="14"/>
        <v>0</v>
      </c>
      <c r="AR43" s="80">
        <f t="shared" ca="1" si="14"/>
        <v>0</v>
      </c>
      <c r="AS43" s="80">
        <f t="shared" ca="1" si="14"/>
        <v>0</v>
      </c>
      <c r="AT43" s="80">
        <f t="shared" ca="1" si="14"/>
        <v>0</v>
      </c>
      <c r="AU43" s="80">
        <f t="shared" ca="1" si="14"/>
        <v>1</v>
      </c>
      <c r="AV43" s="80">
        <f t="shared" ca="1" si="14"/>
        <v>1</v>
      </c>
      <c r="AW43" s="80">
        <f t="shared" ca="1" si="14"/>
        <v>1</v>
      </c>
      <c r="AX43" s="80">
        <f t="shared" ca="1" si="14"/>
        <v>1</v>
      </c>
      <c r="AY43" s="80">
        <f t="shared" ca="1" si="14"/>
        <v>1</v>
      </c>
      <c r="AZ43" s="80">
        <f t="shared" ca="1" si="14"/>
        <v>1</v>
      </c>
      <c r="BA43" s="80">
        <f t="shared" ca="1" si="14"/>
        <v>1</v>
      </c>
      <c r="BB43" s="81">
        <f t="shared" ca="1" si="14"/>
        <v>1</v>
      </c>
      <c r="BD43" s="12" t="str">
        <f t="shared" si="9"/>
        <v>0x104E</v>
      </c>
      <c r="BE43" s="12" t="str">
        <f t="shared" ca="1" si="10"/>
        <v>0000000000000000</v>
      </c>
      <c r="BG43" s="53" t="str">
        <f t="shared" ca="1" si="11"/>
        <v>`define EE_FILT_MASK1 19</v>
      </c>
    </row>
    <row r="44" spans="1:59">
      <c r="A44" s="82" t="s">
        <v>310</v>
      </c>
      <c r="B44" s="82">
        <v>80</v>
      </c>
      <c r="C44" s="82">
        <v>20</v>
      </c>
      <c r="D44" s="83">
        <f ca="1">SUMIF('NVRAM map'!$AF$3:$AF$319,A44,'NVRAM map'!$AN$3:$AN$319)</f>
        <v>0</v>
      </c>
      <c r="E44" s="84" t="str">
        <f t="shared" ca="1" si="0"/>
        <v>0000</v>
      </c>
      <c r="F44" s="85" t="str">
        <f t="shared" ca="1" si="12"/>
        <v>0000</v>
      </c>
      <c r="G44" s="86" t="str">
        <f ca="1">VLOOKUP(MemoryView!A44,'NVRAM map'!$AD$3:$AE$319,2,0)</f>
        <v>EE_PATCH0_I</v>
      </c>
      <c r="H44" s="87" t="str">
        <f t="array" aca="1" ref="H44" ca="1">IF(ISNA(INDEX('NVRAM map'!$AF$3:$AG$319,MATCH(1,('NVRAM map'!$AF$3:$AF$319=$A44)*('NVRAM map'!$AI$3:$AI$319&gt;=H$3)*('NVRAM map'!$AJ$3:$AJ$319&lt;=H$3),0),2)),"-",INDEX('NVRAM map'!$AF$3:$AG$319,MATCH(1,('NVRAM map'!$AF$3:$AF$319=$A44)*('NVRAM map'!$AI$3:$AI$319&gt;=H$3)*('NVRAM map'!$AJ$3:$AJ$319&lt;=H$3),0),2))</f>
        <v>PATCH0_I</v>
      </c>
      <c r="I44" s="87" t="str">
        <f t="array" aca="1" ref="I44" ca="1">IF(ISNA(INDEX('NVRAM map'!$AF$3:$AG$319,MATCH(1,('NVRAM map'!$AF$3:$AF$319=$A44)*('NVRAM map'!$AI$3:$AI$319&gt;=I$3)*('NVRAM map'!$AJ$3:$AJ$319&lt;=I$3),0),2)),"-",INDEX('NVRAM map'!$AF$3:$AG$319,MATCH(1,('NVRAM map'!$AF$3:$AF$319=$A44)*('NVRAM map'!$AI$3:$AI$319&gt;=I$3)*('NVRAM map'!$AJ$3:$AJ$319&lt;=I$3),0),2))</f>
        <v>PATCH0_I</v>
      </c>
      <c r="J44" s="87" t="str">
        <f t="array" aca="1" ref="J44" ca="1">IF(ISNA(INDEX('NVRAM map'!$AF$3:$AG$319,MATCH(1,('NVRAM map'!$AF$3:$AF$319=$A44)*('NVRAM map'!$AI$3:$AI$319&gt;=J$3)*('NVRAM map'!$AJ$3:$AJ$319&lt;=J$3),0),2)),"-",INDEX('NVRAM map'!$AF$3:$AG$319,MATCH(1,('NVRAM map'!$AF$3:$AF$319=$A44)*('NVRAM map'!$AI$3:$AI$319&gt;=J$3)*('NVRAM map'!$AJ$3:$AJ$319&lt;=J$3),0),2))</f>
        <v>PATCH0_I</v>
      </c>
      <c r="K44" s="87" t="str">
        <f t="array" aca="1" ref="K44" ca="1">IF(ISNA(INDEX('NVRAM map'!$AF$3:$AG$319,MATCH(1,('NVRAM map'!$AF$3:$AF$319=$A44)*('NVRAM map'!$AI$3:$AI$319&gt;=K$3)*('NVRAM map'!$AJ$3:$AJ$319&lt;=K$3),0),2)),"-",INDEX('NVRAM map'!$AF$3:$AG$319,MATCH(1,('NVRAM map'!$AF$3:$AF$319=$A44)*('NVRAM map'!$AI$3:$AI$319&gt;=K$3)*('NVRAM map'!$AJ$3:$AJ$319&lt;=K$3),0),2))</f>
        <v>PATCH0_I</v>
      </c>
      <c r="L44" s="87" t="str">
        <f t="array" aca="1" ref="L44" ca="1">IF(ISNA(INDEX('NVRAM map'!$AF$3:$AG$319,MATCH(1,('NVRAM map'!$AF$3:$AF$319=$A44)*('NVRAM map'!$AI$3:$AI$319&gt;=L$3)*('NVRAM map'!$AJ$3:$AJ$319&lt;=L$3),0),2)),"-",INDEX('NVRAM map'!$AF$3:$AG$319,MATCH(1,('NVRAM map'!$AF$3:$AF$319=$A44)*('NVRAM map'!$AI$3:$AI$319&gt;=L$3)*('NVRAM map'!$AJ$3:$AJ$319&lt;=L$3),0),2))</f>
        <v>PATCH0_I</v>
      </c>
      <c r="M44" s="87" t="str">
        <f t="array" aca="1" ref="M44" ca="1">IF(ISNA(INDEX('NVRAM map'!$AF$3:$AG$319,MATCH(1,('NVRAM map'!$AF$3:$AF$319=$A44)*('NVRAM map'!$AI$3:$AI$319&gt;=M$3)*('NVRAM map'!$AJ$3:$AJ$319&lt;=M$3),0),2)),"-",INDEX('NVRAM map'!$AF$3:$AG$319,MATCH(1,('NVRAM map'!$AF$3:$AF$319=$A44)*('NVRAM map'!$AI$3:$AI$319&gt;=M$3)*('NVRAM map'!$AJ$3:$AJ$319&lt;=M$3),0),2))</f>
        <v>PATCH0_I</v>
      </c>
      <c r="N44" s="87" t="str">
        <f t="array" aca="1" ref="N44" ca="1">IF(ISNA(INDEX('NVRAM map'!$AF$3:$AG$319,MATCH(1,('NVRAM map'!$AF$3:$AF$319=$A44)*('NVRAM map'!$AI$3:$AI$319&gt;=N$3)*('NVRAM map'!$AJ$3:$AJ$319&lt;=N$3),0),2)),"-",INDEX('NVRAM map'!$AF$3:$AG$319,MATCH(1,('NVRAM map'!$AF$3:$AF$319=$A44)*('NVRAM map'!$AI$3:$AI$319&gt;=N$3)*('NVRAM map'!$AJ$3:$AJ$319&lt;=N$3),0),2))</f>
        <v>PATCH0_I</v>
      </c>
      <c r="O44" s="87" t="str">
        <f t="array" aca="1" ref="O44" ca="1">IF(ISNA(INDEX('NVRAM map'!$AF$3:$AG$319,MATCH(1,('NVRAM map'!$AF$3:$AF$319=$A44)*('NVRAM map'!$AI$3:$AI$319&gt;=O$3)*('NVRAM map'!$AJ$3:$AJ$319&lt;=O$3),0),2)),"-",INDEX('NVRAM map'!$AF$3:$AG$319,MATCH(1,('NVRAM map'!$AF$3:$AF$319=$A44)*('NVRAM map'!$AI$3:$AI$319&gt;=O$3)*('NVRAM map'!$AJ$3:$AJ$319&lt;=O$3),0),2))</f>
        <v>PATCH0_I</v>
      </c>
      <c r="P44" s="87" t="str">
        <f t="array" aca="1" ref="P44" ca="1">IF(ISNA(INDEX('NVRAM map'!$AF$3:$AG$319,MATCH(1,('NVRAM map'!$AF$3:$AF$319=$A44)*('NVRAM map'!$AI$3:$AI$319&gt;=P$3)*('NVRAM map'!$AJ$3:$AJ$319&lt;=P$3),0),2)),"-",INDEX('NVRAM map'!$AF$3:$AG$319,MATCH(1,('NVRAM map'!$AF$3:$AF$319=$A44)*('NVRAM map'!$AI$3:$AI$319&gt;=P$3)*('NVRAM map'!$AJ$3:$AJ$319&lt;=P$3),0),2))</f>
        <v>PATCH0_I</v>
      </c>
      <c r="Q44" s="87" t="str">
        <f t="array" aca="1" ref="Q44" ca="1">IF(ISNA(INDEX('NVRAM map'!$AF$3:$AG$319,MATCH(1,('NVRAM map'!$AF$3:$AF$319=$A44)*('NVRAM map'!$AI$3:$AI$319&gt;=Q$3)*('NVRAM map'!$AJ$3:$AJ$319&lt;=Q$3),0),2)),"-",INDEX('NVRAM map'!$AF$3:$AG$319,MATCH(1,('NVRAM map'!$AF$3:$AF$319=$A44)*('NVRAM map'!$AI$3:$AI$319&gt;=Q$3)*('NVRAM map'!$AJ$3:$AJ$319&lt;=Q$3),0),2))</f>
        <v>PATCH0_I</v>
      </c>
      <c r="R44" s="87" t="str">
        <f t="array" aca="1" ref="R44" ca="1">IF(ISNA(INDEX('NVRAM map'!$AF$3:$AG$319,MATCH(1,('NVRAM map'!$AF$3:$AF$319=$A44)*('NVRAM map'!$AI$3:$AI$319&gt;=R$3)*('NVRAM map'!$AJ$3:$AJ$319&lt;=R$3),0),2)),"-",INDEX('NVRAM map'!$AF$3:$AG$319,MATCH(1,('NVRAM map'!$AF$3:$AF$319=$A44)*('NVRAM map'!$AI$3:$AI$319&gt;=R$3)*('NVRAM map'!$AJ$3:$AJ$319&lt;=R$3),0),2))</f>
        <v>PATCH0_I</v>
      </c>
      <c r="S44" s="87" t="str">
        <f t="array" aca="1" ref="S44" ca="1">IF(ISNA(INDEX('NVRAM map'!$AF$3:$AG$319,MATCH(1,('NVRAM map'!$AF$3:$AF$319=$A44)*('NVRAM map'!$AI$3:$AI$319&gt;=S$3)*('NVRAM map'!$AJ$3:$AJ$319&lt;=S$3),0),2)),"-",INDEX('NVRAM map'!$AF$3:$AG$319,MATCH(1,('NVRAM map'!$AF$3:$AF$319=$A44)*('NVRAM map'!$AI$3:$AI$319&gt;=S$3)*('NVRAM map'!$AJ$3:$AJ$319&lt;=S$3),0),2))</f>
        <v>PATCH0_I</v>
      </c>
      <c r="T44" s="87" t="str">
        <f t="array" aca="1" ref="T44" ca="1">IF(ISNA(INDEX('NVRAM map'!$AF$3:$AG$319,MATCH(1,('NVRAM map'!$AF$3:$AF$319=$A44)*('NVRAM map'!$AI$3:$AI$319&gt;=T$3)*('NVRAM map'!$AJ$3:$AJ$319&lt;=T$3),0),2)),"-",INDEX('NVRAM map'!$AF$3:$AG$319,MATCH(1,('NVRAM map'!$AF$3:$AF$319=$A44)*('NVRAM map'!$AI$3:$AI$319&gt;=T$3)*('NVRAM map'!$AJ$3:$AJ$319&lt;=T$3),0),2))</f>
        <v>PATCH0_I</v>
      </c>
      <c r="U44" s="87" t="str">
        <f t="array" aca="1" ref="U44" ca="1">IF(ISNA(INDEX('NVRAM map'!$AF$3:$AG$319,MATCH(1,('NVRAM map'!$AF$3:$AF$319=$A44)*('NVRAM map'!$AI$3:$AI$319&gt;=U$3)*('NVRAM map'!$AJ$3:$AJ$319&lt;=U$3),0),2)),"-",INDEX('NVRAM map'!$AF$3:$AG$319,MATCH(1,('NVRAM map'!$AF$3:$AF$319=$A44)*('NVRAM map'!$AI$3:$AI$319&gt;=U$3)*('NVRAM map'!$AJ$3:$AJ$319&lt;=U$3),0),2))</f>
        <v>PATCH0_I</v>
      </c>
      <c r="V44" s="87" t="str">
        <f t="array" aca="1" ref="V44" ca="1">IF(ISNA(INDEX('NVRAM map'!$AF$3:$AG$319,MATCH(1,('NVRAM map'!$AF$3:$AF$319=$A44)*('NVRAM map'!$AI$3:$AI$319&gt;=V$3)*('NVRAM map'!$AJ$3:$AJ$319&lt;=V$3),0),2)),"-",INDEX('NVRAM map'!$AF$3:$AG$319,MATCH(1,('NVRAM map'!$AF$3:$AF$319=$A44)*('NVRAM map'!$AI$3:$AI$319&gt;=V$3)*('NVRAM map'!$AJ$3:$AJ$319&lt;=V$3),0),2))</f>
        <v>PATCH0_I</v>
      </c>
      <c r="W44" s="87" t="str">
        <f t="array" aca="1" ref="W44" ca="1">IF(ISNA(INDEX('NVRAM map'!$AF$3:$AG$319,MATCH(1,('NVRAM map'!$AF$3:$AF$319=$A44)*('NVRAM map'!$AI$3:$AI$319&gt;=W$3)*('NVRAM map'!$AJ$3:$AJ$319&lt;=W$3),0),2)),"-",INDEX('NVRAM map'!$AF$3:$AG$319,MATCH(1,('NVRAM map'!$AF$3:$AF$319=$A44)*('NVRAM map'!$AI$3:$AI$319&gt;=W$3)*('NVRAM map'!$AJ$3:$AJ$319&lt;=W$3),0),2))</f>
        <v>PATCH0_I</v>
      </c>
      <c r="X44" s="88" t="str">
        <f ca="1">INDEX('NVRAM map'!$B$3:$B$319,MATCH(A44,'NVRAM map'!$E$3:$E$319,0))</f>
        <v>CUST</v>
      </c>
      <c r="AB44" s="44">
        <f t="shared" ca="1" si="2"/>
        <v>0</v>
      </c>
      <c r="AC44" s="12" t="b">
        <f ca="1">COUNTIF('NVRAM map'!$AD$3:$AE$319,A44)&lt;2</f>
        <v>1</v>
      </c>
      <c r="AD44" s="12">
        <f ca="1">SUMIF('NVRAM map'!$AF$3:$AF$319,A44,'NVRAM map'!$AK$3:$AK$319)</f>
        <v>65535</v>
      </c>
      <c r="AE44" s="12" t="str">
        <f t="shared" ca="1" si="3"/>
        <v>FFFF</v>
      </c>
      <c r="AF44" s="12" t="str">
        <f t="shared" ca="1" si="4"/>
        <v>11111111</v>
      </c>
      <c r="AG44" s="12" t="str">
        <f t="shared" ca="1" si="5"/>
        <v>11111111</v>
      </c>
      <c r="AH44" s="12">
        <f t="shared" ca="1" si="6"/>
        <v>16</v>
      </c>
      <c r="AI44" s="12">
        <f ca="1">SUMIF('NVRAM map'!$AF$3:$AF$319,A44,'NVRAM map'!$AH$3:$AH$319)</f>
        <v>16</v>
      </c>
      <c r="AJ44" s="12" t="b">
        <f t="shared" ca="1" si="7"/>
        <v>1</v>
      </c>
      <c r="AK44" s="12">
        <f ca="1">COUNTIF('NVRAM map'!$AF$3:$AF$319,A44)</f>
        <v>1</v>
      </c>
      <c r="AM44" s="89">
        <v>0</v>
      </c>
      <c r="AN44" s="80">
        <f t="shared" ca="1" si="14"/>
        <v>0</v>
      </c>
      <c r="AO44" s="80">
        <f t="shared" ca="1" si="14"/>
        <v>0</v>
      </c>
      <c r="AP44" s="80">
        <f t="shared" ca="1" si="14"/>
        <v>0</v>
      </c>
      <c r="AQ44" s="80">
        <f t="shared" ca="1" si="14"/>
        <v>0</v>
      </c>
      <c r="AR44" s="80">
        <f t="shared" ca="1" si="14"/>
        <v>0</v>
      </c>
      <c r="AS44" s="80">
        <f t="shared" ca="1" si="14"/>
        <v>0</v>
      </c>
      <c r="AT44" s="80">
        <f t="shared" ca="1" si="14"/>
        <v>0</v>
      </c>
      <c r="AU44" s="80">
        <f t="shared" ca="1" si="14"/>
        <v>0</v>
      </c>
      <c r="AV44" s="80">
        <f t="shared" ca="1" si="14"/>
        <v>0</v>
      </c>
      <c r="AW44" s="80">
        <f t="shared" ca="1" si="14"/>
        <v>0</v>
      </c>
      <c r="AX44" s="80">
        <f t="shared" ca="1" si="14"/>
        <v>0</v>
      </c>
      <c r="AY44" s="80">
        <f t="shared" ca="1" si="14"/>
        <v>0</v>
      </c>
      <c r="AZ44" s="80">
        <f t="shared" ca="1" si="14"/>
        <v>0</v>
      </c>
      <c r="BA44" s="80">
        <f t="shared" ca="1" si="14"/>
        <v>0</v>
      </c>
      <c r="BB44" s="81">
        <f t="shared" ca="1" si="14"/>
        <v>0</v>
      </c>
      <c r="BD44" s="12" t="str">
        <f t="shared" si="9"/>
        <v>0x1050</v>
      </c>
      <c r="BE44" s="12" t="str">
        <f t="shared" ca="1" si="10"/>
        <v>0000000000000000</v>
      </c>
      <c r="BG44" s="53" t="str">
        <f t="shared" ca="1" si="11"/>
        <v>`define EE_PATCH0_I 20</v>
      </c>
    </row>
    <row r="45" spans="1:59">
      <c r="A45" s="82" t="s">
        <v>311</v>
      </c>
      <c r="B45" s="82">
        <v>82</v>
      </c>
      <c r="C45" s="82">
        <v>20</v>
      </c>
      <c r="D45" s="83">
        <f ca="1">SUMIF('NVRAM map'!$AF$3:$AF$319,A45,'NVRAM map'!$AN$3:$AN$319)</f>
        <v>0</v>
      </c>
      <c r="E45" s="84" t="str">
        <f t="shared" ca="1" si="0"/>
        <v>0000</v>
      </c>
      <c r="F45" s="85" t="str">
        <f t="shared" ca="1" si="12"/>
        <v>0000</v>
      </c>
      <c r="G45" s="86" t="str">
        <f ca="1">VLOOKUP(MemoryView!A45,'NVRAM map'!$AD$3:$AE$319,2,0)</f>
        <v>EE_PATCH0_A</v>
      </c>
      <c r="H45" s="87" t="str">
        <f t="array" aca="1" ref="H45" ca="1">IF(ISNA(INDEX('NVRAM map'!$AF$3:$AG$319,MATCH(1,('NVRAM map'!$AF$3:$AF$319=$A45)*('NVRAM map'!$AI$3:$AI$319&gt;=H$3)*('NVRAM map'!$AJ$3:$AJ$319&lt;=H$3),0),2)),"-",INDEX('NVRAM map'!$AF$3:$AG$319,MATCH(1,('NVRAM map'!$AF$3:$AF$319=$A45)*('NVRAM map'!$AI$3:$AI$319&gt;=H$3)*('NVRAM map'!$AJ$3:$AJ$319&lt;=H$3),0),2))</f>
        <v>PATCH0_A</v>
      </c>
      <c r="I45" s="87" t="str">
        <f t="array" aca="1" ref="I45" ca="1">IF(ISNA(INDEX('NVRAM map'!$AF$3:$AG$319,MATCH(1,('NVRAM map'!$AF$3:$AF$319=$A45)*('NVRAM map'!$AI$3:$AI$319&gt;=I$3)*('NVRAM map'!$AJ$3:$AJ$319&lt;=I$3),0),2)),"-",INDEX('NVRAM map'!$AF$3:$AG$319,MATCH(1,('NVRAM map'!$AF$3:$AF$319=$A45)*('NVRAM map'!$AI$3:$AI$319&gt;=I$3)*('NVRAM map'!$AJ$3:$AJ$319&lt;=I$3),0),2))</f>
        <v>PATCH0_A</v>
      </c>
      <c r="J45" s="87" t="str">
        <f t="array" aca="1" ref="J45" ca="1">IF(ISNA(INDEX('NVRAM map'!$AF$3:$AG$319,MATCH(1,('NVRAM map'!$AF$3:$AF$319=$A45)*('NVRAM map'!$AI$3:$AI$319&gt;=J$3)*('NVRAM map'!$AJ$3:$AJ$319&lt;=J$3),0),2)),"-",INDEX('NVRAM map'!$AF$3:$AG$319,MATCH(1,('NVRAM map'!$AF$3:$AF$319=$A45)*('NVRAM map'!$AI$3:$AI$319&gt;=J$3)*('NVRAM map'!$AJ$3:$AJ$319&lt;=J$3),0),2))</f>
        <v>PATCH0_A</v>
      </c>
      <c r="K45" s="87" t="str">
        <f t="array" aca="1" ref="K45" ca="1">IF(ISNA(INDEX('NVRAM map'!$AF$3:$AG$319,MATCH(1,('NVRAM map'!$AF$3:$AF$319=$A45)*('NVRAM map'!$AI$3:$AI$319&gt;=K$3)*('NVRAM map'!$AJ$3:$AJ$319&lt;=K$3),0),2)),"-",INDEX('NVRAM map'!$AF$3:$AG$319,MATCH(1,('NVRAM map'!$AF$3:$AF$319=$A45)*('NVRAM map'!$AI$3:$AI$319&gt;=K$3)*('NVRAM map'!$AJ$3:$AJ$319&lt;=K$3),0),2))</f>
        <v>PATCH0_A</v>
      </c>
      <c r="L45" s="87" t="str">
        <f t="array" aca="1" ref="L45" ca="1">IF(ISNA(INDEX('NVRAM map'!$AF$3:$AG$319,MATCH(1,('NVRAM map'!$AF$3:$AF$319=$A45)*('NVRAM map'!$AI$3:$AI$319&gt;=L$3)*('NVRAM map'!$AJ$3:$AJ$319&lt;=L$3),0),2)),"-",INDEX('NVRAM map'!$AF$3:$AG$319,MATCH(1,('NVRAM map'!$AF$3:$AF$319=$A45)*('NVRAM map'!$AI$3:$AI$319&gt;=L$3)*('NVRAM map'!$AJ$3:$AJ$319&lt;=L$3),0),2))</f>
        <v>PATCH0_A</v>
      </c>
      <c r="M45" s="87" t="str">
        <f t="array" aca="1" ref="M45" ca="1">IF(ISNA(INDEX('NVRAM map'!$AF$3:$AG$319,MATCH(1,('NVRAM map'!$AF$3:$AF$319=$A45)*('NVRAM map'!$AI$3:$AI$319&gt;=M$3)*('NVRAM map'!$AJ$3:$AJ$319&lt;=M$3),0),2)),"-",INDEX('NVRAM map'!$AF$3:$AG$319,MATCH(1,('NVRAM map'!$AF$3:$AF$319=$A45)*('NVRAM map'!$AI$3:$AI$319&gt;=M$3)*('NVRAM map'!$AJ$3:$AJ$319&lt;=M$3),0),2))</f>
        <v>PATCH0_A</v>
      </c>
      <c r="N45" s="87" t="str">
        <f t="array" aca="1" ref="N45" ca="1">IF(ISNA(INDEX('NVRAM map'!$AF$3:$AG$319,MATCH(1,('NVRAM map'!$AF$3:$AF$319=$A45)*('NVRAM map'!$AI$3:$AI$319&gt;=N$3)*('NVRAM map'!$AJ$3:$AJ$319&lt;=N$3),0),2)),"-",INDEX('NVRAM map'!$AF$3:$AG$319,MATCH(1,('NVRAM map'!$AF$3:$AF$319=$A45)*('NVRAM map'!$AI$3:$AI$319&gt;=N$3)*('NVRAM map'!$AJ$3:$AJ$319&lt;=N$3),0),2))</f>
        <v>PATCH0_A</v>
      </c>
      <c r="O45" s="87" t="str">
        <f t="array" aca="1" ref="O45" ca="1">IF(ISNA(INDEX('NVRAM map'!$AF$3:$AG$319,MATCH(1,('NVRAM map'!$AF$3:$AF$319=$A45)*('NVRAM map'!$AI$3:$AI$319&gt;=O$3)*('NVRAM map'!$AJ$3:$AJ$319&lt;=O$3),0),2)),"-",INDEX('NVRAM map'!$AF$3:$AG$319,MATCH(1,('NVRAM map'!$AF$3:$AF$319=$A45)*('NVRAM map'!$AI$3:$AI$319&gt;=O$3)*('NVRAM map'!$AJ$3:$AJ$319&lt;=O$3),0),2))</f>
        <v>PATCH0_A</v>
      </c>
      <c r="P45" s="87" t="str">
        <f t="array" aca="1" ref="P45" ca="1">IF(ISNA(INDEX('NVRAM map'!$AF$3:$AG$319,MATCH(1,('NVRAM map'!$AF$3:$AF$319=$A45)*('NVRAM map'!$AI$3:$AI$319&gt;=P$3)*('NVRAM map'!$AJ$3:$AJ$319&lt;=P$3),0),2)),"-",INDEX('NVRAM map'!$AF$3:$AG$319,MATCH(1,('NVRAM map'!$AF$3:$AF$319=$A45)*('NVRAM map'!$AI$3:$AI$319&gt;=P$3)*('NVRAM map'!$AJ$3:$AJ$319&lt;=P$3),0),2))</f>
        <v>PATCH0_A</v>
      </c>
      <c r="Q45" s="87" t="str">
        <f t="array" aca="1" ref="Q45" ca="1">IF(ISNA(INDEX('NVRAM map'!$AF$3:$AG$319,MATCH(1,('NVRAM map'!$AF$3:$AF$319=$A45)*('NVRAM map'!$AI$3:$AI$319&gt;=Q$3)*('NVRAM map'!$AJ$3:$AJ$319&lt;=Q$3),0),2)),"-",INDEX('NVRAM map'!$AF$3:$AG$319,MATCH(1,('NVRAM map'!$AF$3:$AF$319=$A45)*('NVRAM map'!$AI$3:$AI$319&gt;=Q$3)*('NVRAM map'!$AJ$3:$AJ$319&lt;=Q$3),0),2))</f>
        <v>PATCH0_A</v>
      </c>
      <c r="R45" s="87" t="str">
        <f t="array" aca="1" ref="R45" ca="1">IF(ISNA(INDEX('NVRAM map'!$AF$3:$AG$319,MATCH(1,('NVRAM map'!$AF$3:$AF$319=$A45)*('NVRAM map'!$AI$3:$AI$319&gt;=R$3)*('NVRAM map'!$AJ$3:$AJ$319&lt;=R$3),0),2)),"-",INDEX('NVRAM map'!$AF$3:$AG$319,MATCH(1,('NVRAM map'!$AF$3:$AF$319=$A45)*('NVRAM map'!$AI$3:$AI$319&gt;=R$3)*('NVRAM map'!$AJ$3:$AJ$319&lt;=R$3),0),2))</f>
        <v>PATCH0_A</v>
      </c>
      <c r="S45" s="87" t="str">
        <f t="array" aca="1" ref="S45" ca="1">IF(ISNA(INDEX('NVRAM map'!$AF$3:$AG$319,MATCH(1,('NVRAM map'!$AF$3:$AF$319=$A45)*('NVRAM map'!$AI$3:$AI$319&gt;=S$3)*('NVRAM map'!$AJ$3:$AJ$319&lt;=S$3),0),2)),"-",INDEX('NVRAM map'!$AF$3:$AG$319,MATCH(1,('NVRAM map'!$AF$3:$AF$319=$A45)*('NVRAM map'!$AI$3:$AI$319&gt;=S$3)*('NVRAM map'!$AJ$3:$AJ$319&lt;=S$3),0),2))</f>
        <v>PATCH0_A</v>
      </c>
      <c r="T45" s="87" t="str">
        <f t="array" aca="1" ref="T45" ca="1">IF(ISNA(INDEX('NVRAM map'!$AF$3:$AG$319,MATCH(1,('NVRAM map'!$AF$3:$AF$319=$A45)*('NVRAM map'!$AI$3:$AI$319&gt;=T$3)*('NVRAM map'!$AJ$3:$AJ$319&lt;=T$3),0),2)),"-",INDEX('NVRAM map'!$AF$3:$AG$319,MATCH(1,('NVRAM map'!$AF$3:$AF$319=$A45)*('NVRAM map'!$AI$3:$AI$319&gt;=T$3)*('NVRAM map'!$AJ$3:$AJ$319&lt;=T$3),0),2))</f>
        <v>PATCH0_A</v>
      </c>
      <c r="U45" s="87" t="str">
        <f t="array" aca="1" ref="U45" ca="1">IF(ISNA(INDEX('NVRAM map'!$AF$3:$AG$319,MATCH(1,('NVRAM map'!$AF$3:$AF$319=$A45)*('NVRAM map'!$AI$3:$AI$319&gt;=U$3)*('NVRAM map'!$AJ$3:$AJ$319&lt;=U$3),0),2)),"-",INDEX('NVRAM map'!$AF$3:$AG$319,MATCH(1,('NVRAM map'!$AF$3:$AF$319=$A45)*('NVRAM map'!$AI$3:$AI$319&gt;=U$3)*('NVRAM map'!$AJ$3:$AJ$319&lt;=U$3),0),2))</f>
        <v>PATCH0_A</v>
      </c>
      <c r="V45" s="87" t="str">
        <f t="array" aca="1" ref="V45" ca="1">IF(ISNA(INDEX('NVRAM map'!$AF$3:$AG$319,MATCH(1,('NVRAM map'!$AF$3:$AF$319=$A45)*('NVRAM map'!$AI$3:$AI$319&gt;=V$3)*('NVRAM map'!$AJ$3:$AJ$319&lt;=V$3),0),2)),"-",INDEX('NVRAM map'!$AF$3:$AG$319,MATCH(1,('NVRAM map'!$AF$3:$AF$319=$A45)*('NVRAM map'!$AI$3:$AI$319&gt;=V$3)*('NVRAM map'!$AJ$3:$AJ$319&lt;=V$3),0),2))</f>
        <v>PATCH0_A</v>
      </c>
      <c r="W45" s="87" t="str">
        <f t="array" aca="1" ref="W45" ca="1">IF(ISNA(INDEX('NVRAM map'!$AF$3:$AG$319,MATCH(1,('NVRAM map'!$AF$3:$AF$319=$A45)*('NVRAM map'!$AI$3:$AI$319&gt;=W$3)*('NVRAM map'!$AJ$3:$AJ$319&lt;=W$3),0),2)),"-",INDEX('NVRAM map'!$AF$3:$AG$319,MATCH(1,('NVRAM map'!$AF$3:$AF$319=$A45)*('NVRAM map'!$AI$3:$AI$319&gt;=W$3)*('NVRAM map'!$AJ$3:$AJ$319&lt;=W$3),0),2))</f>
        <v>PATCH0_A</v>
      </c>
      <c r="X45" s="88" t="str">
        <f ca="1">INDEX('NVRAM map'!$B$3:$B$319,MATCH(A45,'NVRAM map'!$E$3:$E$319,0))</f>
        <v>CUST</v>
      </c>
      <c r="AB45" s="44">
        <f t="shared" ca="1" si="2"/>
        <v>0</v>
      </c>
      <c r="AC45" s="12" t="b">
        <f ca="1">COUNTIF('NVRAM map'!$AD$3:$AE$319,A45)&lt;2</f>
        <v>1</v>
      </c>
      <c r="AD45" s="12">
        <f ca="1">SUMIF('NVRAM map'!$AF$3:$AF$319,A45,'NVRAM map'!$AK$3:$AK$319)</f>
        <v>65535</v>
      </c>
      <c r="AE45" s="12" t="str">
        <f t="shared" ca="1" si="3"/>
        <v>FFFF</v>
      </c>
      <c r="AF45" s="12" t="str">
        <f t="shared" ca="1" si="4"/>
        <v>11111111</v>
      </c>
      <c r="AG45" s="12" t="str">
        <f t="shared" ca="1" si="5"/>
        <v>11111111</v>
      </c>
      <c r="AH45" s="12">
        <f t="shared" ca="1" si="6"/>
        <v>16</v>
      </c>
      <c r="AI45" s="12">
        <f ca="1">SUMIF('NVRAM map'!$AF$3:$AF$319,A45,'NVRAM map'!$AH$3:$AH$319)</f>
        <v>16</v>
      </c>
      <c r="AJ45" s="12" t="b">
        <f t="shared" ca="1" si="7"/>
        <v>1</v>
      </c>
      <c r="AK45" s="12">
        <f ca="1">COUNTIF('NVRAM map'!$AF$3:$AF$319,A45)</f>
        <v>1</v>
      </c>
      <c r="AM45" s="89">
        <v>0</v>
      </c>
      <c r="AN45" s="80">
        <f t="shared" ca="1" si="14"/>
        <v>0</v>
      </c>
      <c r="AO45" s="80">
        <f t="shared" ca="1" si="14"/>
        <v>0</v>
      </c>
      <c r="AP45" s="80">
        <f t="shared" ca="1" si="14"/>
        <v>0</v>
      </c>
      <c r="AQ45" s="80">
        <f t="shared" ca="1" si="14"/>
        <v>0</v>
      </c>
      <c r="AR45" s="80">
        <f t="shared" ca="1" si="14"/>
        <v>0</v>
      </c>
      <c r="AS45" s="80">
        <f t="shared" ca="1" si="14"/>
        <v>0</v>
      </c>
      <c r="AT45" s="80">
        <f t="shared" ca="1" si="14"/>
        <v>0</v>
      </c>
      <c r="AU45" s="80">
        <f t="shared" ca="1" si="14"/>
        <v>0</v>
      </c>
      <c r="AV45" s="80">
        <f t="shared" ca="1" si="14"/>
        <v>0</v>
      </c>
      <c r="AW45" s="80">
        <f t="shared" ca="1" si="14"/>
        <v>0</v>
      </c>
      <c r="AX45" s="80">
        <f t="shared" ca="1" si="14"/>
        <v>0</v>
      </c>
      <c r="AY45" s="80">
        <f t="shared" ca="1" si="14"/>
        <v>0</v>
      </c>
      <c r="AZ45" s="80">
        <f t="shared" ca="1" si="14"/>
        <v>0</v>
      </c>
      <c r="BA45" s="80">
        <f t="shared" ca="1" si="14"/>
        <v>0</v>
      </c>
      <c r="BB45" s="81">
        <f t="shared" ca="1" si="14"/>
        <v>0</v>
      </c>
      <c r="BD45" s="12" t="str">
        <f t="shared" si="9"/>
        <v>0x1052</v>
      </c>
      <c r="BE45" s="12" t="str">
        <f t="shared" ca="1" si="10"/>
        <v>0000000000000000</v>
      </c>
      <c r="BG45" s="53" t="str">
        <f t="shared" ca="1" si="11"/>
        <v>`define EE_PATCH0_A 20</v>
      </c>
    </row>
    <row r="46" spans="1:59">
      <c r="A46" s="82" t="s">
        <v>312</v>
      </c>
      <c r="B46" s="82">
        <v>84</v>
      </c>
      <c r="C46" s="82">
        <v>21</v>
      </c>
      <c r="D46" s="83">
        <f ca="1">SUMIF('NVRAM map'!$AF$3:$AF$319,A46,'NVRAM map'!$AN$3:$AN$319)</f>
        <v>0</v>
      </c>
      <c r="E46" s="84" t="str">
        <f t="shared" ca="1" si="0"/>
        <v>0000</v>
      </c>
      <c r="F46" s="85" t="str">
        <f t="shared" ca="1" si="12"/>
        <v>0000</v>
      </c>
      <c r="G46" s="86" t="str">
        <f ca="1">VLOOKUP(MemoryView!A46,'NVRAM map'!$AD$3:$AE$319,2,0)</f>
        <v>EE_PATCH1_I</v>
      </c>
      <c r="H46" s="87" t="str">
        <f t="array" aca="1" ref="H46" ca="1">IF(ISNA(INDEX('NVRAM map'!$AF$3:$AG$319,MATCH(1,('NVRAM map'!$AF$3:$AF$319=$A46)*('NVRAM map'!$AI$3:$AI$319&gt;=H$3)*('NVRAM map'!$AJ$3:$AJ$319&lt;=H$3),0),2)),"-",INDEX('NVRAM map'!$AF$3:$AG$319,MATCH(1,('NVRAM map'!$AF$3:$AF$319=$A46)*('NVRAM map'!$AI$3:$AI$319&gt;=H$3)*('NVRAM map'!$AJ$3:$AJ$319&lt;=H$3),0),2))</f>
        <v>PATCH1_I</v>
      </c>
      <c r="I46" s="87" t="str">
        <f t="array" aca="1" ref="I46" ca="1">IF(ISNA(INDEX('NVRAM map'!$AF$3:$AG$319,MATCH(1,('NVRAM map'!$AF$3:$AF$319=$A46)*('NVRAM map'!$AI$3:$AI$319&gt;=I$3)*('NVRAM map'!$AJ$3:$AJ$319&lt;=I$3),0),2)),"-",INDEX('NVRAM map'!$AF$3:$AG$319,MATCH(1,('NVRAM map'!$AF$3:$AF$319=$A46)*('NVRAM map'!$AI$3:$AI$319&gt;=I$3)*('NVRAM map'!$AJ$3:$AJ$319&lt;=I$3),0),2))</f>
        <v>PATCH1_I</v>
      </c>
      <c r="J46" s="87" t="str">
        <f t="array" aca="1" ref="J46" ca="1">IF(ISNA(INDEX('NVRAM map'!$AF$3:$AG$319,MATCH(1,('NVRAM map'!$AF$3:$AF$319=$A46)*('NVRAM map'!$AI$3:$AI$319&gt;=J$3)*('NVRAM map'!$AJ$3:$AJ$319&lt;=J$3),0),2)),"-",INDEX('NVRAM map'!$AF$3:$AG$319,MATCH(1,('NVRAM map'!$AF$3:$AF$319=$A46)*('NVRAM map'!$AI$3:$AI$319&gt;=J$3)*('NVRAM map'!$AJ$3:$AJ$319&lt;=J$3),0),2))</f>
        <v>PATCH1_I</v>
      </c>
      <c r="K46" s="87" t="str">
        <f t="array" aca="1" ref="K46" ca="1">IF(ISNA(INDEX('NVRAM map'!$AF$3:$AG$319,MATCH(1,('NVRAM map'!$AF$3:$AF$319=$A46)*('NVRAM map'!$AI$3:$AI$319&gt;=K$3)*('NVRAM map'!$AJ$3:$AJ$319&lt;=K$3),0),2)),"-",INDEX('NVRAM map'!$AF$3:$AG$319,MATCH(1,('NVRAM map'!$AF$3:$AF$319=$A46)*('NVRAM map'!$AI$3:$AI$319&gt;=K$3)*('NVRAM map'!$AJ$3:$AJ$319&lt;=K$3),0),2))</f>
        <v>PATCH1_I</v>
      </c>
      <c r="L46" s="87" t="str">
        <f t="array" aca="1" ref="L46" ca="1">IF(ISNA(INDEX('NVRAM map'!$AF$3:$AG$319,MATCH(1,('NVRAM map'!$AF$3:$AF$319=$A46)*('NVRAM map'!$AI$3:$AI$319&gt;=L$3)*('NVRAM map'!$AJ$3:$AJ$319&lt;=L$3),0),2)),"-",INDEX('NVRAM map'!$AF$3:$AG$319,MATCH(1,('NVRAM map'!$AF$3:$AF$319=$A46)*('NVRAM map'!$AI$3:$AI$319&gt;=L$3)*('NVRAM map'!$AJ$3:$AJ$319&lt;=L$3),0),2))</f>
        <v>PATCH1_I</v>
      </c>
      <c r="M46" s="87" t="str">
        <f t="array" aca="1" ref="M46" ca="1">IF(ISNA(INDEX('NVRAM map'!$AF$3:$AG$319,MATCH(1,('NVRAM map'!$AF$3:$AF$319=$A46)*('NVRAM map'!$AI$3:$AI$319&gt;=M$3)*('NVRAM map'!$AJ$3:$AJ$319&lt;=M$3),0),2)),"-",INDEX('NVRAM map'!$AF$3:$AG$319,MATCH(1,('NVRAM map'!$AF$3:$AF$319=$A46)*('NVRAM map'!$AI$3:$AI$319&gt;=M$3)*('NVRAM map'!$AJ$3:$AJ$319&lt;=M$3),0),2))</f>
        <v>PATCH1_I</v>
      </c>
      <c r="N46" s="87" t="str">
        <f t="array" aca="1" ref="N46" ca="1">IF(ISNA(INDEX('NVRAM map'!$AF$3:$AG$319,MATCH(1,('NVRAM map'!$AF$3:$AF$319=$A46)*('NVRAM map'!$AI$3:$AI$319&gt;=N$3)*('NVRAM map'!$AJ$3:$AJ$319&lt;=N$3),0),2)),"-",INDEX('NVRAM map'!$AF$3:$AG$319,MATCH(1,('NVRAM map'!$AF$3:$AF$319=$A46)*('NVRAM map'!$AI$3:$AI$319&gt;=N$3)*('NVRAM map'!$AJ$3:$AJ$319&lt;=N$3),0),2))</f>
        <v>PATCH1_I</v>
      </c>
      <c r="O46" s="87" t="str">
        <f t="array" aca="1" ref="O46" ca="1">IF(ISNA(INDEX('NVRAM map'!$AF$3:$AG$319,MATCH(1,('NVRAM map'!$AF$3:$AF$319=$A46)*('NVRAM map'!$AI$3:$AI$319&gt;=O$3)*('NVRAM map'!$AJ$3:$AJ$319&lt;=O$3),0),2)),"-",INDEX('NVRAM map'!$AF$3:$AG$319,MATCH(1,('NVRAM map'!$AF$3:$AF$319=$A46)*('NVRAM map'!$AI$3:$AI$319&gt;=O$3)*('NVRAM map'!$AJ$3:$AJ$319&lt;=O$3),0),2))</f>
        <v>PATCH1_I</v>
      </c>
      <c r="P46" s="87" t="str">
        <f t="array" aca="1" ref="P46" ca="1">IF(ISNA(INDEX('NVRAM map'!$AF$3:$AG$319,MATCH(1,('NVRAM map'!$AF$3:$AF$319=$A46)*('NVRAM map'!$AI$3:$AI$319&gt;=P$3)*('NVRAM map'!$AJ$3:$AJ$319&lt;=P$3),0),2)),"-",INDEX('NVRAM map'!$AF$3:$AG$319,MATCH(1,('NVRAM map'!$AF$3:$AF$319=$A46)*('NVRAM map'!$AI$3:$AI$319&gt;=P$3)*('NVRAM map'!$AJ$3:$AJ$319&lt;=P$3),0),2))</f>
        <v>PATCH1_I</v>
      </c>
      <c r="Q46" s="87" t="str">
        <f t="array" aca="1" ref="Q46" ca="1">IF(ISNA(INDEX('NVRAM map'!$AF$3:$AG$319,MATCH(1,('NVRAM map'!$AF$3:$AF$319=$A46)*('NVRAM map'!$AI$3:$AI$319&gt;=Q$3)*('NVRAM map'!$AJ$3:$AJ$319&lt;=Q$3),0),2)),"-",INDEX('NVRAM map'!$AF$3:$AG$319,MATCH(1,('NVRAM map'!$AF$3:$AF$319=$A46)*('NVRAM map'!$AI$3:$AI$319&gt;=Q$3)*('NVRAM map'!$AJ$3:$AJ$319&lt;=Q$3),0),2))</f>
        <v>PATCH1_I</v>
      </c>
      <c r="R46" s="87" t="str">
        <f t="array" aca="1" ref="R46" ca="1">IF(ISNA(INDEX('NVRAM map'!$AF$3:$AG$319,MATCH(1,('NVRAM map'!$AF$3:$AF$319=$A46)*('NVRAM map'!$AI$3:$AI$319&gt;=R$3)*('NVRAM map'!$AJ$3:$AJ$319&lt;=R$3),0),2)),"-",INDEX('NVRAM map'!$AF$3:$AG$319,MATCH(1,('NVRAM map'!$AF$3:$AF$319=$A46)*('NVRAM map'!$AI$3:$AI$319&gt;=R$3)*('NVRAM map'!$AJ$3:$AJ$319&lt;=R$3),0),2))</f>
        <v>PATCH1_I</v>
      </c>
      <c r="S46" s="87" t="str">
        <f t="array" aca="1" ref="S46" ca="1">IF(ISNA(INDEX('NVRAM map'!$AF$3:$AG$319,MATCH(1,('NVRAM map'!$AF$3:$AF$319=$A46)*('NVRAM map'!$AI$3:$AI$319&gt;=S$3)*('NVRAM map'!$AJ$3:$AJ$319&lt;=S$3),0),2)),"-",INDEX('NVRAM map'!$AF$3:$AG$319,MATCH(1,('NVRAM map'!$AF$3:$AF$319=$A46)*('NVRAM map'!$AI$3:$AI$319&gt;=S$3)*('NVRAM map'!$AJ$3:$AJ$319&lt;=S$3),0),2))</f>
        <v>PATCH1_I</v>
      </c>
      <c r="T46" s="87" t="str">
        <f t="array" aca="1" ref="T46" ca="1">IF(ISNA(INDEX('NVRAM map'!$AF$3:$AG$319,MATCH(1,('NVRAM map'!$AF$3:$AF$319=$A46)*('NVRAM map'!$AI$3:$AI$319&gt;=T$3)*('NVRAM map'!$AJ$3:$AJ$319&lt;=T$3),0),2)),"-",INDEX('NVRAM map'!$AF$3:$AG$319,MATCH(1,('NVRAM map'!$AF$3:$AF$319=$A46)*('NVRAM map'!$AI$3:$AI$319&gt;=T$3)*('NVRAM map'!$AJ$3:$AJ$319&lt;=T$3),0),2))</f>
        <v>PATCH1_I</v>
      </c>
      <c r="U46" s="87" t="str">
        <f t="array" aca="1" ref="U46" ca="1">IF(ISNA(INDEX('NVRAM map'!$AF$3:$AG$319,MATCH(1,('NVRAM map'!$AF$3:$AF$319=$A46)*('NVRAM map'!$AI$3:$AI$319&gt;=U$3)*('NVRAM map'!$AJ$3:$AJ$319&lt;=U$3),0),2)),"-",INDEX('NVRAM map'!$AF$3:$AG$319,MATCH(1,('NVRAM map'!$AF$3:$AF$319=$A46)*('NVRAM map'!$AI$3:$AI$319&gt;=U$3)*('NVRAM map'!$AJ$3:$AJ$319&lt;=U$3),0),2))</f>
        <v>PATCH1_I</v>
      </c>
      <c r="V46" s="87" t="str">
        <f t="array" aca="1" ref="V46" ca="1">IF(ISNA(INDEX('NVRAM map'!$AF$3:$AG$319,MATCH(1,('NVRAM map'!$AF$3:$AF$319=$A46)*('NVRAM map'!$AI$3:$AI$319&gt;=V$3)*('NVRAM map'!$AJ$3:$AJ$319&lt;=V$3),0),2)),"-",INDEX('NVRAM map'!$AF$3:$AG$319,MATCH(1,('NVRAM map'!$AF$3:$AF$319=$A46)*('NVRAM map'!$AI$3:$AI$319&gt;=V$3)*('NVRAM map'!$AJ$3:$AJ$319&lt;=V$3),0),2))</f>
        <v>PATCH1_I</v>
      </c>
      <c r="W46" s="87" t="str">
        <f t="array" aca="1" ref="W46" ca="1">IF(ISNA(INDEX('NVRAM map'!$AF$3:$AG$319,MATCH(1,('NVRAM map'!$AF$3:$AF$319=$A46)*('NVRAM map'!$AI$3:$AI$319&gt;=W$3)*('NVRAM map'!$AJ$3:$AJ$319&lt;=W$3),0),2)),"-",INDEX('NVRAM map'!$AF$3:$AG$319,MATCH(1,('NVRAM map'!$AF$3:$AF$319=$A46)*('NVRAM map'!$AI$3:$AI$319&gt;=W$3)*('NVRAM map'!$AJ$3:$AJ$319&lt;=W$3),0),2))</f>
        <v>PATCH1_I</v>
      </c>
      <c r="X46" s="88" t="str">
        <f ca="1">INDEX('NVRAM map'!$B$3:$B$319,MATCH(A46,'NVRAM map'!$E$3:$E$319,0))</f>
        <v>CUST</v>
      </c>
      <c r="AB46" s="44">
        <f t="shared" ca="1" si="2"/>
        <v>0</v>
      </c>
      <c r="AC46" s="12" t="b">
        <f ca="1">COUNTIF('NVRAM map'!$AD$3:$AE$319,A46)&lt;2</f>
        <v>1</v>
      </c>
      <c r="AD46" s="12">
        <f ca="1">SUMIF('NVRAM map'!$AF$3:$AF$319,A46,'NVRAM map'!$AK$3:$AK$319)</f>
        <v>65535</v>
      </c>
      <c r="AE46" s="12" t="str">
        <f t="shared" ca="1" si="3"/>
        <v>FFFF</v>
      </c>
      <c r="AF46" s="12" t="str">
        <f t="shared" ca="1" si="4"/>
        <v>11111111</v>
      </c>
      <c r="AG46" s="12" t="str">
        <f t="shared" ca="1" si="5"/>
        <v>11111111</v>
      </c>
      <c r="AH46" s="12">
        <f t="shared" ca="1" si="6"/>
        <v>16</v>
      </c>
      <c r="AI46" s="12">
        <f ca="1">SUMIF('NVRAM map'!$AF$3:$AF$319,A46,'NVRAM map'!$AH$3:$AH$319)</f>
        <v>16</v>
      </c>
      <c r="AJ46" s="12" t="b">
        <f t="shared" ca="1" si="7"/>
        <v>1</v>
      </c>
      <c r="AK46" s="12">
        <f ca="1">COUNTIF('NVRAM map'!$AF$3:$AF$319,A46)</f>
        <v>1</v>
      </c>
      <c r="AM46" s="89">
        <v>0</v>
      </c>
      <c r="AN46" s="80">
        <f t="shared" ca="1" si="14"/>
        <v>0</v>
      </c>
      <c r="AO46" s="80">
        <f t="shared" ca="1" si="14"/>
        <v>0</v>
      </c>
      <c r="AP46" s="80">
        <f t="shared" ca="1" si="14"/>
        <v>0</v>
      </c>
      <c r="AQ46" s="80">
        <f t="shared" ca="1" si="14"/>
        <v>0</v>
      </c>
      <c r="AR46" s="80">
        <f t="shared" ca="1" si="14"/>
        <v>0</v>
      </c>
      <c r="AS46" s="80">
        <f t="shared" ca="1" si="14"/>
        <v>0</v>
      </c>
      <c r="AT46" s="80">
        <f t="shared" ca="1" si="14"/>
        <v>0</v>
      </c>
      <c r="AU46" s="80">
        <f t="shared" ca="1" si="14"/>
        <v>0</v>
      </c>
      <c r="AV46" s="80">
        <f t="shared" ca="1" si="14"/>
        <v>0</v>
      </c>
      <c r="AW46" s="80">
        <f t="shared" ca="1" si="14"/>
        <v>0</v>
      </c>
      <c r="AX46" s="80">
        <f t="shared" ca="1" si="14"/>
        <v>0</v>
      </c>
      <c r="AY46" s="80">
        <f t="shared" ca="1" si="14"/>
        <v>0</v>
      </c>
      <c r="AZ46" s="80">
        <f t="shared" ca="1" si="14"/>
        <v>0</v>
      </c>
      <c r="BA46" s="80">
        <f t="shared" ca="1" si="14"/>
        <v>0</v>
      </c>
      <c r="BB46" s="81">
        <f t="shared" ca="1" si="14"/>
        <v>0</v>
      </c>
      <c r="BD46" s="12" t="str">
        <f t="shared" si="9"/>
        <v>0x1054</v>
      </c>
      <c r="BE46" s="12" t="str">
        <f t="shared" ca="1" si="10"/>
        <v>0000000000000000</v>
      </c>
      <c r="BG46" s="53" t="str">
        <f t="shared" ca="1" si="11"/>
        <v>`define EE_PATCH1_I 21</v>
      </c>
    </row>
    <row r="47" spans="1:59">
      <c r="A47" s="82" t="s">
        <v>313</v>
      </c>
      <c r="B47" s="82">
        <v>86</v>
      </c>
      <c r="C47" s="82">
        <v>21</v>
      </c>
      <c r="D47" s="83">
        <f ca="1">SUMIF('NVRAM map'!$AF$3:$AF$319,A47,'NVRAM map'!$AN$3:$AN$319)</f>
        <v>0</v>
      </c>
      <c r="E47" s="84" t="str">
        <f t="shared" ca="1" si="0"/>
        <v>0000</v>
      </c>
      <c r="F47" s="85" t="str">
        <f t="shared" ca="1" si="12"/>
        <v>0000</v>
      </c>
      <c r="G47" s="86" t="str">
        <f ca="1">VLOOKUP(MemoryView!A47,'NVRAM map'!$AD$3:$AE$319,2,0)</f>
        <v>EE_PATCH1_A</v>
      </c>
      <c r="H47" s="87" t="str">
        <f t="array" aca="1" ref="H47" ca="1">IF(ISNA(INDEX('NVRAM map'!$AF$3:$AG$319,MATCH(1,('NVRAM map'!$AF$3:$AF$319=$A47)*('NVRAM map'!$AI$3:$AI$319&gt;=H$3)*('NVRAM map'!$AJ$3:$AJ$319&lt;=H$3),0),2)),"-",INDEX('NVRAM map'!$AF$3:$AG$319,MATCH(1,('NVRAM map'!$AF$3:$AF$319=$A47)*('NVRAM map'!$AI$3:$AI$319&gt;=H$3)*('NVRAM map'!$AJ$3:$AJ$319&lt;=H$3),0),2))</f>
        <v>PATCH1_A</v>
      </c>
      <c r="I47" s="87" t="str">
        <f t="array" aca="1" ref="I47" ca="1">IF(ISNA(INDEX('NVRAM map'!$AF$3:$AG$319,MATCH(1,('NVRAM map'!$AF$3:$AF$319=$A47)*('NVRAM map'!$AI$3:$AI$319&gt;=I$3)*('NVRAM map'!$AJ$3:$AJ$319&lt;=I$3),0),2)),"-",INDEX('NVRAM map'!$AF$3:$AG$319,MATCH(1,('NVRAM map'!$AF$3:$AF$319=$A47)*('NVRAM map'!$AI$3:$AI$319&gt;=I$3)*('NVRAM map'!$AJ$3:$AJ$319&lt;=I$3),0),2))</f>
        <v>PATCH1_A</v>
      </c>
      <c r="J47" s="87" t="str">
        <f t="array" aca="1" ref="J47" ca="1">IF(ISNA(INDEX('NVRAM map'!$AF$3:$AG$319,MATCH(1,('NVRAM map'!$AF$3:$AF$319=$A47)*('NVRAM map'!$AI$3:$AI$319&gt;=J$3)*('NVRAM map'!$AJ$3:$AJ$319&lt;=J$3),0),2)),"-",INDEX('NVRAM map'!$AF$3:$AG$319,MATCH(1,('NVRAM map'!$AF$3:$AF$319=$A47)*('NVRAM map'!$AI$3:$AI$319&gt;=J$3)*('NVRAM map'!$AJ$3:$AJ$319&lt;=J$3),0),2))</f>
        <v>PATCH1_A</v>
      </c>
      <c r="K47" s="87" t="str">
        <f t="array" aca="1" ref="K47" ca="1">IF(ISNA(INDEX('NVRAM map'!$AF$3:$AG$319,MATCH(1,('NVRAM map'!$AF$3:$AF$319=$A47)*('NVRAM map'!$AI$3:$AI$319&gt;=K$3)*('NVRAM map'!$AJ$3:$AJ$319&lt;=K$3),0),2)),"-",INDEX('NVRAM map'!$AF$3:$AG$319,MATCH(1,('NVRAM map'!$AF$3:$AF$319=$A47)*('NVRAM map'!$AI$3:$AI$319&gt;=K$3)*('NVRAM map'!$AJ$3:$AJ$319&lt;=K$3),0),2))</f>
        <v>PATCH1_A</v>
      </c>
      <c r="L47" s="87" t="str">
        <f t="array" aca="1" ref="L47" ca="1">IF(ISNA(INDEX('NVRAM map'!$AF$3:$AG$319,MATCH(1,('NVRAM map'!$AF$3:$AF$319=$A47)*('NVRAM map'!$AI$3:$AI$319&gt;=L$3)*('NVRAM map'!$AJ$3:$AJ$319&lt;=L$3),0),2)),"-",INDEX('NVRAM map'!$AF$3:$AG$319,MATCH(1,('NVRAM map'!$AF$3:$AF$319=$A47)*('NVRAM map'!$AI$3:$AI$319&gt;=L$3)*('NVRAM map'!$AJ$3:$AJ$319&lt;=L$3),0),2))</f>
        <v>PATCH1_A</v>
      </c>
      <c r="M47" s="87" t="str">
        <f t="array" aca="1" ref="M47" ca="1">IF(ISNA(INDEX('NVRAM map'!$AF$3:$AG$319,MATCH(1,('NVRAM map'!$AF$3:$AF$319=$A47)*('NVRAM map'!$AI$3:$AI$319&gt;=M$3)*('NVRAM map'!$AJ$3:$AJ$319&lt;=M$3),0),2)),"-",INDEX('NVRAM map'!$AF$3:$AG$319,MATCH(1,('NVRAM map'!$AF$3:$AF$319=$A47)*('NVRAM map'!$AI$3:$AI$319&gt;=M$3)*('NVRAM map'!$AJ$3:$AJ$319&lt;=M$3),0),2))</f>
        <v>PATCH1_A</v>
      </c>
      <c r="N47" s="87" t="str">
        <f t="array" aca="1" ref="N47" ca="1">IF(ISNA(INDEX('NVRAM map'!$AF$3:$AG$319,MATCH(1,('NVRAM map'!$AF$3:$AF$319=$A47)*('NVRAM map'!$AI$3:$AI$319&gt;=N$3)*('NVRAM map'!$AJ$3:$AJ$319&lt;=N$3),0),2)),"-",INDEX('NVRAM map'!$AF$3:$AG$319,MATCH(1,('NVRAM map'!$AF$3:$AF$319=$A47)*('NVRAM map'!$AI$3:$AI$319&gt;=N$3)*('NVRAM map'!$AJ$3:$AJ$319&lt;=N$3),0),2))</f>
        <v>PATCH1_A</v>
      </c>
      <c r="O47" s="87" t="str">
        <f t="array" aca="1" ref="O47" ca="1">IF(ISNA(INDEX('NVRAM map'!$AF$3:$AG$319,MATCH(1,('NVRAM map'!$AF$3:$AF$319=$A47)*('NVRAM map'!$AI$3:$AI$319&gt;=O$3)*('NVRAM map'!$AJ$3:$AJ$319&lt;=O$3),0),2)),"-",INDEX('NVRAM map'!$AF$3:$AG$319,MATCH(1,('NVRAM map'!$AF$3:$AF$319=$A47)*('NVRAM map'!$AI$3:$AI$319&gt;=O$3)*('NVRAM map'!$AJ$3:$AJ$319&lt;=O$3),0),2))</f>
        <v>PATCH1_A</v>
      </c>
      <c r="P47" s="87" t="str">
        <f t="array" aca="1" ref="P47" ca="1">IF(ISNA(INDEX('NVRAM map'!$AF$3:$AG$319,MATCH(1,('NVRAM map'!$AF$3:$AF$319=$A47)*('NVRAM map'!$AI$3:$AI$319&gt;=P$3)*('NVRAM map'!$AJ$3:$AJ$319&lt;=P$3),0),2)),"-",INDEX('NVRAM map'!$AF$3:$AG$319,MATCH(1,('NVRAM map'!$AF$3:$AF$319=$A47)*('NVRAM map'!$AI$3:$AI$319&gt;=P$3)*('NVRAM map'!$AJ$3:$AJ$319&lt;=P$3),0),2))</f>
        <v>PATCH1_A</v>
      </c>
      <c r="Q47" s="87" t="str">
        <f t="array" aca="1" ref="Q47" ca="1">IF(ISNA(INDEX('NVRAM map'!$AF$3:$AG$319,MATCH(1,('NVRAM map'!$AF$3:$AF$319=$A47)*('NVRAM map'!$AI$3:$AI$319&gt;=Q$3)*('NVRAM map'!$AJ$3:$AJ$319&lt;=Q$3),0),2)),"-",INDEX('NVRAM map'!$AF$3:$AG$319,MATCH(1,('NVRAM map'!$AF$3:$AF$319=$A47)*('NVRAM map'!$AI$3:$AI$319&gt;=Q$3)*('NVRAM map'!$AJ$3:$AJ$319&lt;=Q$3),0),2))</f>
        <v>PATCH1_A</v>
      </c>
      <c r="R47" s="87" t="str">
        <f t="array" aca="1" ref="R47" ca="1">IF(ISNA(INDEX('NVRAM map'!$AF$3:$AG$319,MATCH(1,('NVRAM map'!$AF$3:$AF$319=$A47)*('NVRAM map'!$AI$3:$AI$319&gt;=R$3)*('NVRAM map'!$AJ$3:$AJ$319&lt;=R$3),0),2)),"-",INDEX('NVRAM map'!$AF$3:$AG$319,MATCH(1,('NVRAM map'!$AF$3:$AF$319=$A47)*('NVRAM map'!$AI$3:$AI$319&gt;=R$3)*('NVRAM map'!$AJ$3:$AJ$319&lt;=R$3),0),2))</f>
        <v>PATCH1_A</v>
      </c>
      <c r="S47" s="87" t="str">
        <f t="array" aca="1" ref="S47" ca="1">IF(ISNA(INDEX('NVRAM map'!$AF$3:$AG$319,MATCH(1,('NVRAM map'!$AF$3:$AF$319=$A47)*('NVRAM map'!$AI$3:$AI$319&gt;=S$3)*('NVRAM map'!$AJ$3:$AJ$319&lt;=S$3),0),2)),"-",INDEX('NVRAM map'!$AF$3:$AG$319,MATCH(1,('NVRAM map'!$AF$3:$AF$319=$A47)*('NVRAM map'!$AI$3:$AI$319&gt;=S$3)*('NVRAM map'!$AJ$3:$AJ$319&lt;=S$3),0),2))</f>
        <v>PATCH1_A</v>
      </c>
      <c r="T47" s="87" t="str">
        <f t="array" aca="1" ref="T47" ca="1">IF(ISNA(INDEX('NVRAM map'!$AF$3:$AG$319,MATCH(1,('NVRAM map'!$AF$3:$AF$319=$A47)*('NVRAM map'!$AI$3:$AI$319&gt;=T$3)*('NVRAM map'!$AJ$3:$AJ$319&lt;=T$3),0),2)),"-",INDEX('NVRAM map'!$AF$3:$AG$319,MATCH(1,('NVRAM map'!$AF$3:$AF$319=$A47)*('NVRAM map'!$AI$3:$AI$319&gt;=T$3)*('NVRAM map'!$AJ$3:$AJ$319&lt;=T$3),0),2))</f>
        <v>PATCH1_A</v>
      </c>
      <c r="U47" s="87" t="str">
        <f t="array" aca="1" ref="U47" ca="1">IF(ISNA(INDEX('NVRAM map'!$AF$3:$AG$319,MATCH(1,('NVRAM map'!$AF$3:$AF$319=$A47)*('NVRAM map'!$AI$3:$AI$319&gt;=U$3)*('NVRAM map'!$AJ$3:$AJ$319&lt;=U$3),0),2)),"-",INDEX('NVRAM map'!$AF$3:$AG$319,MATCH(1,('NVRAM map'!$AF$3:$AF$319=$A47)*('NVRAM map'!$AI$3:$AI$319&gt;=U$3)*('NVRAM map'!$AJ$3:$AJ$319&lt;=U$3),0),2))</f>
        <v>PATCH1_A</v>
      </c>
      <c r="V47" s="87" t="str">
        <f t="array" aca="1" ref="V47" ca="1">IF(ISNA(INDEX('NVRAM map'!$AF$3:$AG$319,MATCH(1,('NVRAM map'!$AF$3:$AF$319=$A47)*('NVRAM map'!$AI$3:$AI$319&gt;=V$3)*('NVRAM map'!$AJ$3:$AJ$319&lt;=V$3),0),2)),"-",INDEX('NVRAM map'!$AF$3:$AG$319,MATCH(1,('NVRAM map'!$AF$3:$AF$319=$A47)*('NVRAM map'!$AI$3:$AI$319&gt;=V$3)*('NVRAM map'!$AJ$3:$AJ$319&lt;=V$3),0),2))</f>
        <v>PATCH1_A</v>
      </c>
      <c r="W47" s="87" t="str">
        <f t="array" aca="1" ref="W47" ca="1">IF(ISNA(INDEX('NVRAM map'!$AF$3:$AG$319,MATCH(1,('NVRAM map'!$AF$3:$AF$319=$A47)*('NVRAM map'!$AI$3:$AI$319&gt;=W$3)*('NVRAM map'!$AJ$3:$AJ$319&lt;=W$3),0),2)),"-",INDEX('NVRAM map'!$AF$3:$AG$319,MATCH(1,('NVRAM map'!$AF$3:$AF$319=$A47)*('NVRAM map'!$AI$3:$AI$319&gt;=W$3)*('NVRAM map'!$AJ$3:$AJ$319&lt;=W$3),0),2))</f>
        <v>PATCH1_A</v>
      </c>
      <c r="X47" s="88" t="str">
        <f ca="1">INDEX('NVRAM map'!$B$3:$B$319,MATCH(A47,'NVRAM map'!$E$3:$E$319,0))</f>
        <v>CUST</v>
      </c>
      <c r="AB47" s="44">
        <f t="shared" ca="1" si="2"/>
        <v>0</v>
      </c>
      <c r="AC47" s="12" t="b">
        <f ca="1">COUNTIF('NVRAM map'!$AD$3:$AE$319,A47)&lt;2</f>
        <v>1</v>
      </c>
      <c r="AD47" s="12">
        <f ca="1">SUMIF('NVRAM map'!$AF$3:$AF$319,A47,'NVRAM map'!$AK$3:$AK$319)</f>
        <v>65535</v>
      </c>
      <c r="AE47" s="12" t="str">
        <f t="shared" ca="1" si="3"/>
        <v>FFFF</v>
      </c>
      <c r="AF47" s="12" t="str">
        <f t="shared" ca="1" si="4"/>
        <v>11111111</v>
      </c>
      <c r="AG47" s="12" t="str">
        <f t="shared" ca="1" si="5"/>
        <v>11111111</v>
      </c>
      <c r="AH47" s="12">
        <f t="shared" ca="1" si="6"/>
        <v>16</v>
      </c>
      <c r="AI47" s="12">
        <f ca="1">SUMIF('NVRAM map'!$AF$3:$AF$319,A47,'NVRAM map'!$AH$3:$AH$319)</f>
        <v>16</v>
      </c>
      <c r="AJ47" s="12" t="b">
        <f t="shared" ca="1" si="7"/>
        <v>1</v>
      </c>
      <c r="AK47" s="12">
        <f ca="1">COUNTIF('NVRAM map'!$AF$3:$AF$319,A47)</f>
        <v>1</v>
      </c>
      <c r="AM47" s="89">
        <v>0</v>
      </c>
      <c r="AN47" s="80">
        <f t="shared" ca="1" si="14"/>
        <v>0</v>
      </c>
      <c r="AO47" s="80">
        <f t="shared" ca="1" si="14"/>
        <v>0</v>
      </c>
      <c r="AP47" s="80">
        <f t="shared" ca="1" si="14"/>
        <v>0</v>
      </c>
      <c r="AQ47" s="80">
        <f t="shared" ca="1" si="14"/>
        <v>0</v>
      </c>
      <c r="AR47" s="80">
        <f t="shared" ca="1" si="14"/>
        <v>0</v>
      </c>
      <c r="AS47" s="80">
        <f t="shared" ca="1" si="14"/>
        <v>0</v>
      </c>
      <c r="AT47" s="80">
        <f t="shared" ca="1" si="14"/>
        <v>0</v>
      </c>
      <c r="AU47" s="80">
        <f t="shared" ca="1" si="14"/>
        <v>0</v>
      </c>
      <c r="AV47" s="80">
        <f t="shared" ca="1" si="14"/>
        <v>0</v>
      </c>
      <c r="AW47" s="80">
        <f t="shared" ca="1" si="14"/>
        <v>0</v>
      </c>
      <c r="AX47" s="80">
        <f t="shared" ca="1" si="14"/>
        <v>0</v>
      </c>
      <c r="AY47" s="80">
        <f t="shared" ca="1" si="14"/>
        <v>0</v>
      </c>
      <c r="AZ47" s="80">
        <f t="shared" ca="1" si="14"/>
        <v>0</v>
      </c>
      <c r="BA47" s="80">
        <f t="shared" ca="1" si="14"/>
        <v>0</v>
      </c>
      <c r="BB47" s="81">
        <f t="shared" ca="1" si="14"/>
        <v>0</v>
      </c>
      <c r="BD47" s="12" t="str">
        <f t="shared" si="9"/>
        <v>0x1056</v>
      </c>
      <c r="BE47" s="12" t="str">
        <f t="shared" ca="1" si="10"/>
        <v>0000000000000000</v>
      </c>
      <c r="BG47" s="53" t="str">
        <f t="shared" ca="1" si="11"/>
        <v>`define EE_PATCH1_A 21</v>
      </c>
    </row>
    <row r="48" spans="1:59">
      <c r="A48" s="82" t="s">
        <v>314</v>
      </c>
      <c r="B48" s="82">
        <v>88</v>
      </c>
      <c r="C48" s="82">
        <v>22</v>
      </c>
      <c r="D48" s="83">
        <f ca="1">SUMIF('NVRAM map'!$AF$3:$AF$319,A48,'NVRAM map'!$AN$3:$AN$319)</f>
        <v>0</v>
      </c>
      <c r="E48" s="84" t="str">
        <f t="shared" ca="1" si="0"/>
        <v>0000</v>
      </c>
      <c r="F48" s="85" t="str">
        <f t="shared" ca="1" si="12"/>
        <v>0000</v>
      </c>
      <c r="G48" s="86" t="str">
        <f ca="1">VLOOKUP(MemoryView!A48,'NVRAM map'!$AD$3:$AE$319,2,0)</f>
        <v>EE_PATCH_AREA0</v>
      </c>
      <c r="H48" s="87" t="str">
        <f t="array" aca="1" ref="H48" ca="1">IF(ISNA(INDEX('NVRAM map'!$AF$3:$AG$319,MATCH(1,('NVRAM map'!$AF$3:$AF$319=$A48)*('NVRAM map'!$AI$3:$AI$319&gt;=H$3)*('NVRAM map'!$AJ$3:$AJ$319&lt;=H$3),0),2)),"-",INDEX('NVRAM map'!$AF$3:$AG$319,MATCH(1,('NVRAM map'!$AF$3:$AF$319=$A48)*('NVRAM map'!$AI$3:$AI$319&gt;=H$3)*('NVRAM map'!$AJ$3:$AJ$319&lt;=H$3),0),2))</f>
        <v>PATCH_AREA0</v>
      </c>
      <c r="I48" s="87" t="str">
        <f t="array" aca="1" ref="I48" ca="1">IF(ISNA(INDEX('NVRAM map'!$AF$3:$AG$319,MATCH(1,('NVRAM map'!$AF$3:$AF$319=$A48)*('NVRAM map'!$AI$3:$AI$319&gt;=I$3)*('NVRAM map'!$AJ$3:$AJ$319&lt;=I$3),0),2)),"-",INDEX('NVRAM map'!$AF$3:$AG$319,MATCH(1,('NVRAM map'!$AF$3:$AF$319=$A48)*('NVRAM map'!$AI$3:$AI$319&gt;=I$3)*('NVRAM map'!$AJ$3:$AJ$319&lt;=I$3),0),2))</f>
        <v>PATCH_AREA0</v>
      </c>
      <c r="J48" s="87" t="str">
        <f t="array" aca="1" ref="J48" ca="1">IF(ISNA(INDEX('NVRAM map'!$AF$3:$AG$319,MATCH(1,('NVRAM map'!$AF$3:$AF$319=$A48)*('NVRAM map'!$AI$3:$AI$319&gt;=J$3)*('NVRAM map'!$AJ$3:$AJ$319&lt;=J$3),0),2)),"-",INDEX('NVRAM map'!$AF$3:$AG$319,MATCH(1,('NVRAM map'!$AF$3:$AF$319=$A48)*('NVRAM map'!$AI$3:$AI$319&gt;=J$3)*('NVRAM map'!$AJ$3:$AJ$319&lt;=J$3),0),2))</f>
        <v>PATCH_AREA0</v>
      </c>
      <c r="K48" s="87" t="str">
        <f t="array" aca="1" ref="K48" ca="1">IF(ISNA(INDEX('NVRAM map'!$AF$3:$AG$319,MATCH(1,('NVRAM map'!$AF$3:$AF$319=$A48)*('NVRAM map'!$AI$3:$AI$319&gt;=K$3)*('NVRAM map'!$AJ$3:$AJ$319&lt;=K$3),0),2)),"-",INDEX('NVRAM map'!$AF$3:$AG$319,MATCH(1,('NVRAM map'!$AF$3:$AF$319=$A48)*('NVRAM map'!$AI$3:$AI$319&gt;=K$3)*('NVRAM map'!$AJ$3:$AJ$319&lt;=K$3),0),2))</f>
        <v>PATCH_AREA0</v>
      </c>
      <c r="L48" s="87" t="str">
        <f t="array" aca="1" ref="L48" ca="1">IF(ISNA(INDEX('NVRAM map'!$AF$3:$AG$319,MATCH(1,('NVRAM map'!$AF$3:$AF$319=$A48)*('NVRAM map'!$AI$3:$AI$319&gt;=L$3)*('NVRAM map'!$AJ$3:$AJ$319&lt;=L$3),0),2)),"-",INDEX('NVRAM map'!$AF$3:$AG$319,MATCH(1,('NVRAM map'!$AF$3:$AF$319=$A48)*('NVRAM map'!$AI$3:$AI$319&gt;=L$3)*('NVRAM map'!$AJ$3:$AJ$319&lt;=L$3),0),2))</f>
        <v>PATCH_AREA0</v>
      </c>
      <c r="M48" s="87" t="str">
        <f t="array" aca="1" ref="M48" ca="1">IF(ISNA(INDEX('NVRAM map'!$AF$3:$AG$319,MATCH(1,('NVRAM map'!$AF$3:$AF$319=$A48)*('NVRAM map'!$AI$3:$AI$319&gt;=M$3)*('NVRAM map'!$AJ$3:$AJ$319&lt;=M$3),0),2)),"-",INDEX('NVRAM map'!$AF$3:$AG$319,MATCH(1,('NVRAM map'!$AF$3:$AF$319=$A48)*('NVRAM map'!$AI$3:$AI$319&gt;=M$3)*('NVRAM map'!$AJ$3:$AJ$319&lt;=M$3),0),2))</f>
        <v>PATCH_AREA0</v>
      </c>
      <c r="N48" s="87" t="str">
        <f t="array" aca="1" ref="N48" ca="1">IF(ISNA(INDEX('NVRAM map'!$AF$3:$AG$319,MATCH(1,('NVRAM map'!$AF$3:$AF$319=$A48)*('NVRAM map'!$AI$3:$AI$319&gt;=N$3)*('NVRAM map'!$AJ$3:$AJ$319&lt;=N$3),0),2)),"-",INDEX('NVRAM map'!$AF$3:$AG$319,MATCH(1,('NVRAM map'!$AF$3:$AF$319=$A48)*('NVRAM map'!$AI$3:$AI$319&gt;=N$3)*('NVRAM map'!$AJ$3:$AJ$319&lt;=N$3),0),2))</f>
        <v>PATCH_AREA0</v>
      </c>
      <c r="O48" s="87" t="str">
        <f t="array" aca="1" ref="O48" ca="1">IF(ISNA(INDEX('NVRAM map'!$AF$3:$AG$319,MATCH(1,('NVRAM map'!$AF$3:$AF$319=$A48)*('NVRAM map'!$AI$3:$AI$319&gt;=O$3)*('NVRAM map'!$AJ$3:$AJ$319&lt;=O$3),0),2)),"-",INDEX('NVRAM map'!$AF$3:$AG$319,MATCH(1,('NVRAM map'!$AF$3:$AF$319=$A48)*('NVRAM map'!$AI$3:$AI$319&gt;=O$3)*('NVRAM map'!$AJ$3:$AJ$319&lt;=O$3),0),2))</f>
        <v>PATCH_AREA0</v>
      </c>
      <c r="P48" s="87" t="str">
        <f t="array" aca="1" ref="P48" ca="1">IF(ISNA(INDEX('NVRAM map'!$AF$3:$AG$319,MATCH(1,('NVRAM map'!$AF$3:$AF$319=$A48)*('NVRAM map'!$AI$3:$AI$319&gt;=P$3)*('NVRAM map'!$AJ$3:$AJ$319&lt;=P$3),0),2)),"-",INDEX('NVRAM map'!$AF$3:$AG$319,MATCH(1,('NVRAM map'!$AF$3:$AF$319=$A48)*('NVRAM map'!$AI$3:$AI$319&gt;=P$3)*('NVRAM map'!$AJ$3:$AJ$319&lt;=P$3),0),2))</f>
        <v>PATCH_AREA0</v>
      </c>
      <c r="Q48" s="87" t="str">
        <f t="array" aca="1" ref="Q48" ca="1">IF(ISNA(INDEX('NVRAM map'!$AF$3:$AG$319,MATCH(1,('NVRAM map'!$AF$3:$AF$319=$A48)*('NVRAM map'!$AI$3:$AI$319&gt;=Q$3)*('NVRAM map'!$AJ$3:$AJ$319&lt;=Q$3),0),2)),"-",INDEX('NVRAM map'!$AF$3:$AG$319,MATCH(1,('NVRAM map'!$AF$3:$AF$319=$A48)*('NVRAM map'!$AI$3:$AI$319&gt;=Q$3)*('NVRAM map'!$AJ$3:$AJ$319&lt;=Q$3),0),2))</f>
        <v>PATCH_AREA0</v>
      </c>
      <c r="R48" s="87" t="str">
        <f t="array" aca="1" ref="R48" ca="1">IF(ISNA(INDEX('NVRAM map'!$AF$3:$AG$319,MATCH(1,('NVRAM map'!$AF$3:$AF$319=$A48)*('NVRAM map'!$AI$3:$AI$319&gt;=R$3)*('NVRAM map'!$AJ$3:$AJ$319&lt;=R$3),0),2)),"-",INDEX('NVRAM map'!$AF$3:$AG$319,MATCH(1,('NVRAM map'!$AF$3:$AF$319=$A48)*('NVRAM map'!$AI$3:$AI$319&gt;=R$3)*('NVRAM map'!$AJ$3:$AJ$319&lt;=R$3),0),2))</f>
        <v>PATCH_AREA0</v>
      </c>
      <c r="S48" s="87" t="str">
        <f t="array" aca="1" ref="S48" ca="1">IF(ISNA(INDEX('NVRAM map'!$AF$3:$AG$319,MATCH(1,('NVRAM map'!$AF$3:$AF$319=$A48)*('NVRAM map'!$AI$3:$AI$319&gt;=S$3)*('NVRAM map'!$AJ$3:$AJ$319&lt;=S$3),0),2)),"-",INDEX('NVRAM map'!$AF$3:$AG$319,MATCH(1,('NVRAM map'!$AF$3:$AF$319=$A48)*('NVRAM map'!$AI$3:$AI$319&gt;=S$3)*('NVRAM map'!$AJ$3:$AJ$319&lt;=S$3),0),2))</f>
        <v>PATCH_AREA0</v>
      </c>
      <c r="T48" s="87" t="str">
        <f t="array" aca="1" ref="T48" ca="1">IF(ISNA(INDEX('NVRAM map'!$AF$3:$AG$319,MATCH(1,('NVRAM map'!$AF$3:$AF$319=$A48)*('NVRAM map'!$AI$3:$AI$319&gt;=T$3)*('NVRAM map'!$AJ$3:$AJ$319&lt;=T$3),0),2)),"-",INDEX('NVRAM map'!$AF$3:$AG$319,MATCH(1,('NVRAM map'!$AF$3:$AF$319=$A48)*('NVRAM map'!$AI$3:$AI$319&gt;=T$3)*('NVRAM map'!$AJ$3:$AJ$319&lt;=T$3),0),2))</f>
        <v>PATCH_AREA0</v>
      </c>
      <c r="U48" s="87" t="str">
        <f t="array" aca="1" ref="U48" ca="1">IF(ISNA(INDEX('NVRAM map'!$AF$3:$AG$319,MATCH(1,('NVRAM map'!$AF$3:$AF$319=$A48)*('NVRAM map'!$AI$3:$AI$319&gt;=U$3)*('NVRAM map'!$AJ$3:$AJ$319&lt;=U$3),0),2)),"-",INDEX('NVRAM map'!$AF$3:$AG$319,MATCH(1,('NVRAM map'!$AF$3:$AF$319=$A48)*('NVRAM map'!$AI$3:$AI$319&gt;=U$3)*('NVRAM map'!$AJ$3:$AJ$319&lt;=U$3),0),2))</f>
        <v>PATCH_AREA0</v>
      </c>
      <c r="V48" s="87" t="str">
        <f t="array" aca="1" ref="V48" ca="1">IF(ISNA(INDEX('NVRAM map'!$AF$3:$AG$319,MATCH(1,('NVRAM map'!$AF$3:$AF$319=$A48)*('NVRAM map'!$AI$3:$AI$319&gt;=V$3)*('NVRAM map'!$AJ$3:$AJ$319&lt;=V$3),0),2)),"-",INDEX('NVRAM map'!$AF$3:$AG$319,MATCH(1,('NVRAM map'!$AF$3:$AF$319=$A48)*('NVRAM map'!$AI$3:$AI$319&gt;=V$3)*('NVRAM map'!$AJ$3:$AJ$319&lt;=V$3),0),2))</f>
        <v>PATCH_AREA0</v>
      </c>
      <c r="W48" s="87" t="str">
        <f t="array" aca="1" ref="W48" ca="1">IF(ISNA(INDEX('NVRAM map'!$AF$3:$AG$319,MATCH(1,('NVRAM map'!$AF$3:$AF$319=$A48)*('NVRAM map'!$AI$3:$AI$319&gt;=W$3)*('NVRAM map'!$AJ$3:$AJ$319&lt;=W$3),0),2)),"-",INDEX('NVRAM map'!$AF$3:$AG$319,MATCH(1,('NVRAM map'!$AF$3:$AF$319=$A48)*('NVRAM map'!$AI$3:$AI$319&gt;=W$3)*('NVRAM map'!$AJ$3:$AJ$319&lt;=W$3),0),2))</f>
        <v>PATCH_AREA0</v>
      </c>
      <c r="X48" s="88" t="str">
        <f ca="1">INDEX('NVRAM map'!$B$3:$B$319,MATCH(A48,'NVRAM map'!$E$3:$E$319,0))</f>
        <v>CUST</v>
      </c>
      <c r="AB48" s="44">
        <f t="shared" ca="1" si="2"/>
        <v>0</v>
      </c>
      <c r="AC48" s="12" t="b">
        <f ca="1">COUNTIF('NVRAM map'!$AD$3:$AE$319,A48)&lt;2</f>
        <v>1</v>
      </c>
      <c r="AD48" s="12">
        <f ca="1">SUMIF('NVRAM map'!$AF$3:$AF$319,A48,'NVRAM map'!$AK$3:$AK$319)</f>
        <v>65535</v>
      </c>
      <c r="AE48" s="12" t="str">
        <f t="shared" ca="1" si="3"/>
        <v>FFFF</v>
      </c>
      <c r="AF48" s="12" t="str">
        <f t="shared" ca="1" si="4"/>
        <v>11111111</v>
      </c>
      <c r="AG48" s="12" t="str">
        <f t="shared" ca="1" si="5"/>
        <v>11111111</v>
      </c>
      <c r="AH48" s="12">
        <f t="shared" ca="1" si="6"/>
        <v>16</v>
      </c>
      <c r="AI48" s="12">
        <f ca="1">SUMIF('NVRAM map'!$AF$3:$AF$319,A48,'NVRAM map'!$AH$3:$AH$319)</f>
        <v>16</v>
      </c>
      <c r="AJ48" s="12" t="b">
        <f t="shared" ca="1" si="7"/>
        <v>1</v>
      </c>
      <c r="AK48" s="12">
        <f ca="1">COUNTIF('NVRAM map'!$AF$3:$AF$319,A48)</f>
        <v>1</v>
      </c>
      <c r="AM48" s="89">
        <v>0</v>
      </c>
      <c r="AN48" s="80">
        <f t="shared" ca="1" si="14"/>
        <v>0</v>
      </c>
      <c r="AO48" s="80">
        <f t="shared" ca="1" si="14"/>
        <v>0</v>
      </c>
      <c r="AP48" s="80">
        <f t="shared" ca="1" si="14"/>
        <v>0</v>
      </c>
      <c r="AQ48" s="80">
        <f t="shared" ca="1" si="14"/>
        <v>0</v>
      </c>
      <c r="AR48" s="80">
        <f t="shared" ca="1" si="14"/>
        <v>0</v>
      </c>
      <c r="AS48" s="80">
        <f t="shared" ca="1" si="14"/>
        <v>0</v>
      </c>
      <c r="AT48" s="80">
        <f t="shared" ca="1" si="14"/>
        <v>0</v>
      </c>
      <c r="AU48" s="80">
        <f t="shared" ca="1" si="14"/>
        <v>0</v>
      </c>
      <c r="AV48" s="80">
        <f t="shared" ca="1" si="14"/>
        <v>0</v>
      </c>
      <c r="AW48" s="80">
        <f t="shared" ca="1" si="14"/>
        <v>0</v>
      </c>
      <c r="AX48" s="80">
        <f t="shared" ca="1" si="14"/>
        <v>0</v>
      </c>
      <c r="AY48" s="80">
        <f t="shared" ca="1" si="14"/>
        <v>0</v>
      </c>
      <c r="AZ48" s="80">
        <f t="shared" ca="1" si="14"/>
        <v>0</v>
      </c>
      <c r="BA48" s="80">
        <f t="shared" ca="1" si="14"/>
        <v>0</v>
      </c>
      <c r="BB48" s="81">
        <f t="shared" ca="1" si="14"/>
        <v>0</v>
      </c>
      <c r="BD48" s="12" t="str">
        <f t="shared" si="9"/>
        <v>0x1058</v>
      </c>
      <c r="BE48" s="12" t="str">
        <f t="shared" ca="1" si="10"/>
        <v>0000000000000000</v>
      </c>
      <c r="BG48" s="53" t="str">
        <f t="shared" ca="1" si="11"/>
        <v>`define EE_PATCH_AREA0 22</v>
      </c>
    </row>
    <row r="49" spans="1:59">
      <c r="A49" s="82" t="s">
        <v>315</v>
      </c>
      <c r="B49" s="82">
        <v>90</v>
      </c>
      <c r="C49" s="82">
        <v>22</v>
      </c>
      <c r="D49" s="83">
        <f ca="1">SUMIF('NVRAM map'!$AF$3:$AF$319,A49,'NVRAM map'!$AN$3:$AN$319)</f>
        <v>0</v>
      </c>
      <c r="E49" s="84" t="str">
        <f t="shared" ca="1" si="0"/>
        <v>0000</v>
      </c>
      <c r="F49" s="85" t="str">
        <f t="shared" ca="1" si="12"/>
        <v>0000</v>
      </c>
      <c r="G49" s="86" t="str">
        <f ca="1">VLOOKUP(MemoryView!A49,'NVRAM map'!$AD$3:$AE$319,2,0)</f>
        <v>EE_PATCH_AREA1</v>
      </c>
      <c r="H49" s="87" t="str">
        <f t="array" aca="1" ref="H49" ca="1">IF(ISNA(INDEX('NVRAM map'!$AF$3:$AG$319,MATCH(1,('NVRAM map'!$AF$3:$AF$319=$A49)*('NVRAM map'!$AI$3:$AI$319&gt;=H$3)*('NVRAM map'!$AJ$3:$AJ$319&lt;=H$3),0),2)),"-",INDEX('NVRAM map'!$AF$3:$AG$319,MATCH(1,('NVRAM map'!$AF$3:$AF$319=$A49)*('NVRAM map'!$AI$3:$AI$319&gt;=H$3)*('NVRAM map'!$AJ$3:$AJ$319&lt;=H$3),0),2))</f>
        <v>PATCH_AREA1</v>
      </c>
      <c r="I49" s="87" t="str">
        <f t="array" aca="1" ref="I49" ca="1">IF(ISNA(INDEX('NVRAM map'!$AF$3:$AG$319,MATCH(1,('NVRAM map'!$AF$3:$AF$319=$A49)*('NVRAM map'!$AI$3:$AI$319&gt;=I$3)*('NVRAM map'!$AJ$3:$AJ$319&lt;=I$3),0),2)),"-",INDEX('NVRAM map'!$AF$3:$AG$319,MATCH(1,('NVRAM map'!$AF$3:$AF$319=$A49)*('NVRAM map'!$AI$3:$AI$319&gt;=I$3)*('NVRAM map'!$AJ$3:$AJ$319&lt;=I$3),0),2))</f>
        <v>PATCH_AREA1</v>
      </c>
      <c r="J49" s="87" t="str">
        <f t="array" aca="1" ref="J49" ca="1">IF(ISNA(INDEX('NVRAM map'!$AF$3:$AG$319,MATCH(1,('NVRAM map'!$AF$3:$AF$319=$A49)*('NVRAM map'!$AI$3:$AI$319&gt;=J$3)*('NVRAM map'!$AJ$3:$AJ$319&lt;=J$3),0),2)),"-",INDEX('NVRAM map'!$AF$3:$AG$319,MATCH(1,('NVRAM map'!$AF$3:$AF$319=$A49)*('NVRAM map'!$AI$3:$AI$319&gt;=J$3)*('NVRAM map'!$AJ$3:$AJ$319&lt;=J$3),0),2))</f>
        <v>PATCH_AREA1</v>
      </c>
      <c r="K49" s="87" t="str">
        <f t="array" aca="1" ref="K49" ca="1">IF(ISNA(INDEX('NVRAM map'!$AF$3:$AG$319,MATCH(1,('NVRAM map'!$AF$3:$AF$319=$A49)*('NVRAM map'!$AI$3:$AI$319&gt;=K$3)*('NVRAM map'!$AJ$3:$AJ$319&lt;=K$3),0),2)),"-",INDEX('NVRAM map'!$AF$3:$AG$319,MATCH(1,('NVRAM map'!$AF$3:$AF$319=$A49)*('NVRAM map'!$AI$3:$AI$319&gt;=K$3)*('NVRAM map'!$AJ$3:$AJ$319&lt;=K$3),0),2))</f>
        <v>PATCH_AREA1</v>
      </c>
      <c r="L49" s="87" t="str">
        <f t="array" aca="1" ref="L49" ca="1">IF(ISNA(INDEX('NVRAM map'!$AF$3:$AG$319,MATCH(1,('NVRAM map'!$AF$3:$AF$319=$A49)*('NVRAM map'!$AI$3:$AI$319&gt;=L$3)*('NVRAM map'!$AJ$3:$AJ$319&lt;=L$3),0),2)),"-",INDEX('NVRAM map'!$AF$3:$AG$319,MATCH(1,('NVRAM map'!$AF$3:$AF$319=$A49)*('NVRAM map'!$AI$3:$AI$319&gt;=L$3)*('NVRAM map'!$AJ$3:$AJ$319&lt;=L$3),0),2))</f>
        <v>PATCH_AREA1</v>
      </c>
      <c r="M49" s="87" t="str">
        <f t="array" aca="1" ref="M49" ca="1">IF(ISNA(INDEX('NVRAM map'!$AF$3:$AG$319,MATCH(1,('NVRAM map'!$AF$3:$AF$319=$A49)*('NVRAM map'!$AI$3:$AI$319&gt;=M$3)*('NVRAM map'!$AJ$3:$AJ$319&lt;=M$3),0),2)),"-",INDEX('NVRAM map'!$AF$3:$AG$319,MATCH(1,('NVRAM map'!$AF$3:$AF$319=$A49)*('NVRAM map'!$AI$3:$AI$319&gt;=M$3)*('NVRAM map'!$AJ$3:$AJ$319&lt;=M$3),0),2))</f>
        <v>PATCH_AREA1</v>
      </c>
      <c r="N49" s="87" t="str">
        <f t="array" aca="1" ref="N49" ca="1">IF(ISNA(INDEX('NVRAM map'!$AF$3:$AG$319,MATCH(1,('NVRAM map'!$AF$3:$AF$319=$A49)*('NVRAM map'!$AI$3:$AI$319&gt;=N$3)*('NVRAM map'!$AJ$3:$AJ$319&lt;=N$3),0),2)),"-",INDEX('NVRAM map'!$AF$3:$AG$319,MATCH(1,('NVRAM map'!$AF$3:$AF$319=$A49)*('NVRAM map'!$AI$3:$AI$319&gt;=N$3)*('NVRAM map'!$AJ$3:$AJ$319&lt;=N$3),0),2))</f>
        <v>PATCH_AREA1</v>
      </c>
      <c r="O49" s="87" t="str">
        <f t="array" aca="1" ref="O49" ca="1">IF(ISNA(INDEX('NVRAM map'!$AF$3:$AG$319,MATCH(1,('NVRAM map'!$AF$3:$AF$319=$A49)*('NVRAM map'!$AI$3:$AI$319&gt;=O$3)*('NVRAM map'!$AJ$3:$AJ$319&lt;=O$3),0),2)),"-",INDEX('NVRAM map'!$AF$3:$AG$319,MATCH(1,('NVRAM map'!$AF$3:$AF$319=$A49)*('NVRAM map'!$AI$3:$AI$319&gt;=O$3)*('NVRAM map'!$AJ$3:$AJ$319&lt;=O$3),0),2))</f>
        <v>PATCH_AREA1</v>
      </c>
      <c r="P49" s="87" t="str">
        <f t="array" aca="1" ref="P49" ca="1">IF(ISNA(INDEX('NVRAM map'!$AF$3:$AG$319,MATCH(1,('NVRAM map'!$AF$3:$AF$319=$A49)*('NVRAM map'!$AI$3:$AI$319&gt;=P$3)*('NVRAM map'!$AJ$3:$AJ$319&lt;=P$3),0),2)),"-",INDEX('NVRAM map'!$AF$3:$AG$319,MATCH(1,('NVRAM map'!$AF$3:$AF$319=$A49)*('NVRAM map'!$AI$3:$AI$319&gt;=P$3)*('NVRAM map'!$AJ$3:$AJ$319&lt;=P$3),0),2))</f>
        <v>PATCH_AREA1</v>
      </c>
      <c r="Q49" s="87" t="str">
        <f t="array" aca="1" ref="Q49" ca="1">IF(ISNA(INDEX('NVRAM map'!$AF$3:$AG$319,MATCH(1,('NVRAM map'!$AF$3:$AF$319=$A49)*('NVRAM map'!$AI$3:$AI$319&gt;=Q$3)*('NVRAM map'!$AJ$3:$AJ$319&lt;=Q$3),0),2)),"-",INDEX('NVRAM map'!$AF$3:$AG$319,MATCH(1,('NVRAM map'!$AF$3:$AF$319=$A49)*('NVRAM map'!$AI$3:$AI$319&gt;=Q$3)*('NVRAM map'!$AJ$3:$AJ$319&lt;=Q$3),0),2))</f>
        <v>PATCH_AREA1</v>
      </c>
      <c r="R49" s="87" t="str">
        <f t="array" aca="1" ref="R49" ca="1">IF(ISNA(INDEX('NVRAM map'!$AF$3:$AG$319,MATCH(1,('NVRAM map'!$AF$3:$AF$319=$A49)*('NVRAM map'!$AI$3:$AI$319&gt;=R$3)*('NVRAM map'!$AJ$3:$AJ$319&lt;=R$3),0),2)),"-",INDEX('NVRAM map'!$AF$3:$AG$319,MATCH(1,('NVRAM map'!$AF$3:$AF$319=$A49)*('NVRAM map'!$AI$3:$AI$319&gt;=R$3)*('NVRAM map'!$AJ$3:$AJ$319&lt;=R$3),0),2))</f>
        <v>PATCH_AREA1</v>
      </c>
      <c r="S49" s="87" t="str">
        <f t="array" aca="1" ref="S49" ca="1">IF(ISNA(INDEX('NVRAM map'!$AF$3:$AG$319,MATCH(1,('NVRAM map'!$AF$3:$AF$319=$A49)*('NVRAM map'!$AI$3:$AI$319&gt;=S$3)*('NVRAM map'!$AJ$3:$AJ$319&lt;=S$3),0),2)),"-",INDEX('NVRAM map'!$AF$3:$AG$319,MATCH(1,('NVRAM map'!$AF$3:$AF$319=$A49)*('NVRAM map'!$AI$3:$AI$319&gt;=S$3)*('NVRAM map'!$AJ$3:$AJ$319&lt;=S$3),0),2))</f>
        <v>PATCH_AREA1</v>
      </c>
      <c r="T49" s="87" t="str">
        <f t="array" aca="1" ref="T49" ca="1">IF(ISNA(INDEX('NVRAM map'!$AF$3:$AG$319,MATCH(1,('NVRAM map'!$AF$3:$AF$319=$A49)*('NVRAM map'!$AI$3:$AI$319&gt;=T$3)*('NVRAM map'!$AJ$3:$AJ$319&lt;=T$3),0),2)),"-",INDEX('NVRAM map'!$AF$3:$AG$319,MATCH(1,('NVRAM map'!$AF$3:$AF$319=$A49)*('NVRAM map'!$AI$3:$AI$319&gt;=T$3)*('NVRAM map'!$AJ$3:$AJ$319&lt;=T$3),0),2))</f>
        <v>PATCH_AREA1</v>
      </c>
      <c r="U49" s="87" t="str">
        <f t="array" aca="1" ref="U49" ca="1">IF(ISNA(INDEX('NVRAM map'!$AF$3:$AG$319,MATCH(1,('NVRAM map'!$AF$3:$AF$319=$A49)*('NVRAM map'!$AI$3:$AI$319&gt;=U$3)*('NVRAM map'!$AJ$3:$AJ$319&lt;=U$3),0),2)),"-",INDEX('NVRAM map'!$AF$3:$AG$319,MATCH(1,('NVRAM map'!$AF$3:$AF$319=$A49)*('NVRAM map'!$AI$3:$AI$319&gt;=U$3)*('NVRAM map'!$AJ$3:$AJ$319&lt;=U$3),0),2))</f>
        <v>PATCH_AREA1</v>
      </c>
      <c r="V49" s="87" t="str">
        <f t="array" aca="1" ref="V49" ca="1">IF(ISNA(INDEX('NVRAM map'!$AF$3:$AG$319,MATCH(1,('NVRAM map'!$AF$3:$AF$319=$A49)*('NVRAM map'!$AI$3:$AI$319&gt;=V$3)*('NVRAM map'!$AJ$3:$AJ$319&lt;=V$3),0),2)),"-",INDEX('NVRAM map'!$AF$3:$AG$319,MATCH(1,('NVRAM map'!$AF$3:$AF$319=$A49)*('NVRAM map'!$AI$3:$AI$319&gt;=V$3)*('NVRAM map'!$AJ$3:$AJ$319&lt;=V$3),0),2))</f>
        <v>PATCH_AREA1</v>
      </c>
      <c r="W49" s="87" t="str">
        <f t="array" aca="1" ref="W49" ca="1">IF(ISNA(INDEX('NVRAM map'!$AF$3:$AG$319,MATCH(1,('NVRAM map'!$AF$3:$AF$319=$A49)*('NVRAM map'!$AI$3:$AI$319&gt;=W$3)*('NVRAM map'!$AJ$3:$AJ$319&lt;=W$3),0),2)),"-",INDEX('NVRAM map'!$AF$3:$AG$319,MATCH(1,('NVRAM map'!$AF$3:$AF$319=$A49)*('NVRAM map'!$AI$3:$AI$319&gt;=W$3)*('NVRAM map'!$AJ$3:$AJ$319&lt;=W$3),0),2))</f>
        <v>PATCH_AREA1</v>
      </c>
      <c r="X49" s="88" t="str">
        <f ca="1">INDEX('NVRAM map'!$B$3:$B$319,MATCH(A49,'NVRAM map'!$E$3:$E$319,0))</f>
        <v>CUST</v>
      </c>
      <c r="AB49" s="44">
        <f t="shared" ca="1" si="2"/>
        <v>0</v>
      </c>
      <c r="AC49" s="12" t="b">
        <f ca="1">COUNTIF('NVRAM map'!$AD$3:$AE$319,A49)&lt;2</f>
        <v>1</v>
      </c>
      <c r="AD49" s="12">
        <f ca="1">SUMIF('NVRAM map'!$AF$3:$AF$319,A49,'NVRAM map'!$AK$3:$AK$319)</f>
        <v>65535</v>
      </c>
      <c r="AE49" s="12" t="str">
        <f t="shared" ca="1" si="3"/>
        <v>FFFF</v>
      </c>
      <c r="AF49" s="12" t="str">
        <f t="shared" ca="1" si="4"/>
        <v>11111111</v>
      </c>
      <c r="AG49" s="12" t="str">
        <f t="shared" ca="1" si="5"/>
        <v>11111111</v>
      </c>
      <c r="AH49" s="12">
        <f t="shared" ca="1" si="6"/>
        <v>16</v>
      </c>
      <c r="AI49" s="12">
        <f ca="1">SUMIF('NVRAM map'!$AF$3:$AF$319,A49,'NVRAM map'!$AH$3:$AH$319)</f>
        <v>16</v>
      </c>
      <c r="AJ49" s="12" t="b">
        <f t="shared" ca="1" si="7"/>
        <v>1</v>
      </c>
      <c r="AK49" s="12">
        <f ca="1">COUNTIF('NVRAM map'!$AF$3:$AF$319,A49)</f>
        <v>1</v>
      </c>
      <c r="AM49" s="89">
        <v>0</v>
      </c>
      <c r="AN49" s="80">
        <f t="shared" ca="1" si="14"/>
        <v>0</v>
      </c>
      <c r="AO49" s="80">
        <f t="shared" ca="1" si="14"/>
        <v>0</v>
      </c>
      <c r="AP49" s="80">
        <f t="shared" ca="1" si="14"/>
        <v>0</v>
      </c>
      <c r="AQ49" s="80">
        <f t="shared" ca="1" si="14"/>
        <v>0</v>
      </c>
      <c r="AR49" s="80">
        <f t="shared" ca="1" si="14"/>
        <v>0</v>
      </c>
      <c r="AS49" s="80">
        <f t="shared" ca="1" si="14"/>
        <v>0</v>
      </c>
      <c r="AT49" s="80">
        <f t="shared" ca="1" si="14"/>
        <v>0</v>
      </c>
      <c r="AU49" s="80">
        <f t="shared" ca="1" si="14"/>
        <v>0</v>
      </c>
      <c r="AV49" s="80">
        <f t="shared" ca="1" si="14"/>
        <v>0</v>
      </c>
      <c r="AW49" s="80">
        <f t="shared" ca="1" si="14"/>
        <v>0</v>
      </c>
      <c r="AX49" s="80">
        <f t="shared" ca="1" si="14"/>
        <v>0</v>
      </c>
      <c r="AY49" s="80">
        <f t="shared" ca="1" si="14"/>
        <v>0</v>
      </c>
      <c r="AZ49" s="80">
        <f t="shared" ca="1" si="14"/>
        <v>0</v>
      </c>
      <c r="BA49" s="80">
        <f t="shared" ca="1" si="14"/>
        <v>0</v>
      </c>
      <c r="BB49" s="81">
        <f t="shared" ca="1" si="14"/>
        <v>0</v>
      </c>
      <c r="BD49" s="12" t="str">
        <f t="shared" si="9"/>
        <v>0x105A</v>
      </c>
      <c r="BE49" s="12" t="str">
        <f t="shared" ca="1" si="10"/>
        <v>0000000000000000</v>
      </c>
      <c r="BG49" s="53" t="str">
        <f t="shared" ca="1" si="11"/>
        <v>`define EE_PATCH_AREA1 22</v>
      </c>
    </row>
    <row r="50" spans="1:59">
      <c r="A50" s="82" t="s">
        <v>316</v>
      </c>
      <c r="B50" s="82">
        <v>92</v>
      </c>
      <c r="C50" s="82">
        <v>23</v>
      </c>
      <c r="D50" s="83">
        <f ca="1">SUMIF('NVRAM map'!$AF$3:$AF$319,A50,'NVRAM map'!$AN$3:$AN$319)</f>
        <v>0</v>
      </c>
      <c r="E50" s="84" t="str">
        <f t="shared" ca="1" si="0"/>
        <v>0000</v>
      </c>
      <c r="F50" s="85" t="str">
        <f t="shared" ca="1" si="12"/>
        <v>0000</v>
      </c>
      <c r="G50" s="86" t="str">
        <f ca="1">VLOOKUP(MemoryView!A50,'NVRAM map'!$AD$3:$AE$319,2,0)</f>
        <v>EE_PATCH_AREA2</v>
      </c>
      <c r="H50" s="87" t="str">
        <f t="array" aca="1" ref="H50" ca="1">IF(ISNA(INDEX('NVRAM map'!$AF$3:$AG$319,MATCH(1,('NVRAM map'!$AF$3:$AF$319=$A50)*('NVRAM map'!$AI$3:$AI$319&gt;=H$3)*('NVRAM map'!$AJ$3:$AJ$319&lt;=H$3),0),2)),"-",INDEX('NVRAM map'!$AF$3:$AG$319,MATCH(1,('NVRAM map'!$AF$3:$AF$319=$A50)*('NVRAM map'!$AI$3:$AI$319&gt;=H$3)*('NVRAM map'!$AJ$3:$AJ$319&lt;=H$3),0),2))</f>
        <v>PATCH_AREA2</v>
      </c>
      <c r="I50" s="87" t="str">
        <f t="array" aca="1" ref="I50" ca="1">IF(ISNA(INDEX('NVRAM map'!$AF$3:$AG$319,MATCH(1,('NVRAM map'!$AF$3:$AF$319=$A50)*('NVRAM map'!$AI$3:$AI$319&gt;=I$3)*('NVRAM map'!$AJ$3:$AJ$319&lt;=I$3),0),2)),"-",INDEX('NVRAM map'!$AF$3:$AG$319,MATCH(1,('NVRAM map'!$AF$3:$AF$319=$A50)*('NVRAM map'!$AI$3:$AI$319&gt;=I$3)*('NVRAM map'!$AJ$3:$AJ$319&lt;=I$3),0),2))</f>
        <v>PATCH_AREA2</v>
      </c>
      <c r="J50" s="87" t="str">
        <f t="array" aca="1" ref="J50" ca="1">IF(ISNA(INDEX('NVRAM map'!$AF$3:$AG$319,MATCH(1,('NVRAM map'!$AF$3:$AF$319=$A50)*('NVRAM map'!$AI$3:$AI$319&gt;=J$3)*('NVRAM map'!$AJ$3:$AJ$319&lt;=J$3),0),2)),"-",INDEX('NVRAM map'!$AF$3:$AG$319,MATCH(1,('NVRAM map'!$AF$3:$AF$319=$A50)*('NVRAM map'!$AI$3:$AI$319&gt;=J$3)*('NVRAM map'!$AJ$3:$AJ$319&lt;=J$3),0),2))</f>
        <v>PATCH_AREA2</v>
      </c>
      <c r="K50" s="87" t="str">
        <f t="array" aca="1" ref="K50" ca="1">IF(ISNA(INDEX('NVRAM map'!$AF$3:$AG$319,MATCH(1,('NVRAM map'!$AF$3:$AF$319=$A50)*('NVRAM map'!$AI$3:$AI$319&gt;=K$3)*('NVRAM map'!$AJ$3:$AJ$319&lt;=K$3),0),2)),"-",INDEX('NVRAM map'!$AF$3:$AG$319,MATCH(1,('NVRAM map'!$AF$3:$AF$319=$A50)*('NVRAM map'!$AI$3:$AI$319&gt;=K$3)*('NVRAM map'!$AJ$3:$AJ$319&lt;=K$3),0),2))</f>
        <v>PATCH_AREA2</v>
      </c>
      <c r="L50" s="87" t="str">
        <f t="array" aca="1" ref="L50" ca="1">IF(ISNA(INDEX('NVRAM map'!$AF$3:$AG$319,MATCH(1,('NVRAM map'!$AF$3:$AF$319=$A50)*('NVRAM map'!$AI$3:$AI$319&gt;=L$3)*('NVRAM map'!$AJ$3:$AJ$319&lt;=L$3),0),2)),"-",INDEX('NVRAM map'!$AF$3:$AG$319,MATCH(1,('NVRAM map'!$AF$3:$AF$319=$A50)*('NVRAM map'!$AI$3:$AI$319&gt;=L$3)*('NVRAM map'!$AJ$3:$AJ$319&lt;=L$3),0),2))</f>
        <v>PATCH_AREA2</v>
      </c>
      <c r="M50" s="87" t="str">
        <f t="array" aca="1" ref="M50" ca="1">IF(ISNA(INDEX('NVRAM map'!$AF$3:$AG$319,MATCH(1,('NVRAM map'!$AF$3:$AF$319=$A50)*('NVRAM map'!$AI$3:$AI$319&gt;=M$3)*('NVRAM map'!$AJ$3:$AJ$319&lt;=M$3),0),2)),"-",INDEX('NVRAM map'!$AF$3:$AG$319,MATCH(1,('NVRAM map'!$AF$3:$AF$319=$A50)*('NVRAM map'!$AI$3:$AI$319&gt;=M$3)*('NVRAM map'!$AJ$3:$AJ$319&lt;=M$3),0),2))</f>
        <v>PATCH_AREA2</v>
      </c>
      <c r="N50" s="87" t="str">
        <f t="array" aca="1" ref="N50" ca="1">IF(ISNA(INDEX('NVRAM map'!$AF$3:$AG$319,MATCH(1,('NVRAM map'!$AF$3:$AF$319=$A50)*('NVRAM map'!$AI$3:$AI$319&gt;=N$3)*('NVRAM map'!$AJ$3:$AJ$319&lt;=N$3),0),2)),"-",INDEX('NVRAM map'!$AF$3:$AG$319,MATCH(1,('NVRAM map'!$AF$3:$AF$319=$A50)*('NVRAM map'!$AI$3:$AI$319&gt;=N$3)*('NVRAM map'!$AJ$3:$AJ$319&lt;=N$3),0),2))</f>
        <v>PATCH_AREA2</v>
      </c>
      <c r="O50" s="87" t="str">
        <f t="array" aca="1" ref="O50" ca="1">IF(ISNA(INDEX('NVRAM map'!$AF$3:$AG$319,MATCH(1,('NVRAM map'!$AF$3:$AF$319=$A50)*('NVRAM map'!$AI$3:$AI$319&gt;=O$3)*('NVRAM map'!$AJ$3:$AJ$319&lt;=O$3),0),2)),"-",INDEX('NVRAM map'!$AF$3:$AG$319,MATCH(1,('NVRAM map'!$AF$3:$AF$319=$A50)*('NVRAM map'!$AI$3:$AI$319&gt;=O$3)*('NVRAM map'!$AJ$3:$AJ$319&lt;=O$3),0),2))</f>
        <v>PATCH_AREA2</v>
      </c>
      <c r="P50" s="87" t="str">
        <f t="array" aca="1" ref="P50" ca="1">IF(ISNA(INDEX('NVRAM map'!$AF$3:$AG$319,MATCH(1,('NVRAM map'!$AF$3:$AF$319=$A50)*('NVRAM map'!$AI$3:$AI$319&gt;=P$3)*('NVRAM map'!$AJ$3:$AJ$319&lt;=P$3),0),2)),"-",INDEX('NVRAM map'!$AF$3:$AG$319,MATCH(1,('NVRAM map'!$AF$3:$AF$319=$A50)*('NVRAM map'!$AI$3:$AI$319&gt;=P$3)*('NVRAM map'!$AJ$3:$AJ$319&lt;=P$3),0),2))</f>
        <v>PATCH_AREA2</v>
      </c>
      <c r="Q50" s="87" t="str">
        <f t="array" aca="1" ref="Q50" ca="1">IF(ISNA(INDEX('NVRAM map'!$AF$3:$AG$319,MATCH(1,('NVRAM map'!$AF$3:$AF$319=$A50)*('NVRAM map'!$AI$3:$AI$319&gt;=Q$3)*('NVRAM map'!$AJ$3:$AJ$319&lt;=Q$3),0),2)),"-",INDEX('NVRAM map'!$AF$3:$AG$319,MATCH(1,('NVRAM map'!$AF$3:$AF$319=$A50)*('NVRAM map'!$AI$3:$AI$319&gt;=Q$3)*('NVRAM map'!$AJ$3:$AJ$319&lt;=Q$3),0),2))</f>
        <v>PATCH_AREA2</v>
      </c>
      <c r="R50" s="87" t="str">
        <f t="array" aca="1" ref="R50" ca="1">IF(ISNA(INDEX('NVRAM map'!$AF$3:$AG$319,MATCH(1,('NVRAM map'!$AF$3:$AF$319=$A50)*('NVRAM map'!$AI$3:$AI$319&gt;=R$3)*('NVRAM map'!$AJ$3:$AJ$319&lt;=R$3),0),2)),"-",INDEX('NVRAM map'!$AF$3:$AG$319,MATCH(1,('NVRAM map'!$AF$3:$AF$319=$A50)*('NVRAM map'!$AI$3:$AI$319&gt;=R$3)*('NVRAM map'!$AJ$3:$AJ$319&lt;=R$3),0),2))</f>
        <v>PATCH_AREA2</v>
      </c>
      <c r="S50" s="87" t="str">
        <f t="array" aca="1" ref="S50" ca="1">IF(ISNA(INDEX('NVRAM map'!$AF$3:$AG$319,MATCH(1,('NVRAM map'!$AF$3:$AF$319=$A50)*('NVRAM map'!$AI$3:$AI$319&gt;=S$3)*('NVRAM map'!$AJ$3:$AJ$319&lt;=S$3),0),2)),"-",INDEX('NVRAM map'!$AF$3:$AG$319,MATCH(1,('NVRAM map'!$AF$3:$AF$319=$A50)*('NVRAM map'!$AI$3:$AI$319&gt;=S$3)*('NVRAM map'!$AJ$3:$AJ$319&lt;=S$3),0),2))</f>
        <v>PATCH_AREA2</v>
      </c>
      <c r="T50" s="87" t="str">
        <f t="array" aca="1" ref="T50" ca="1">IF(ISNA(INDEX('NVRAM map'!$AF$3:$AG$319,MATCH(1,('NVRAM map'!$AF$3:$AF$319=$A50)*('NVRAM map'!$AI$3:$AI$319&gt;=T$3)*('NVRAM map'!$AJ$3:$AJ$319&lt;=T$3),0),2)),"-",INDEX('NVRAM map'!$AF$3:$AG$319,MATCH(1,('NVRAM map'!$AF$3:$AF$319=$A50)*('NVRAM map'!$AI$3:$AI$319&gt;=T$3)*('NVRAM map'!$AJ$3:$AJ$319&lt;=T$3),0),2))</f>
        <v>PATCH_AREA2</v>
      </c>
      <c r="U50" s="87" t="str">
        <f t="array" aca="1" ref="U50" ca="1">IF(ISNA(INDEX('NVRAM map'!$AF$3:$AG$319,MATCH(1,('NVRAM map'!$AF$3:$AF$319=$A50)*('NVRAM map'!$AI$3:$AI$319&gt;=U$3)*('NVRAM map'!$AJ$3:$AJ$319&lt;=U$3),0),2)),"-",INDEX('NVRAM map'!$AF$3:$AG$319,MATCH(1,('NVRAM map'!$AF$3:$AF$319=$A50)*('NVRAM map'!$AI$3:$AI$319&gt;=U$3)*('NVRAM map'!$AJ$3:$AJ$319&lt;=U$3),0),2))</f>
        <v>PATCH_AREA2</v>
      </c>
      <c r="V50" s="87" t="str">
        <f t="array" aca="1" ref="V50" ca="1">IF(ISNA(INDEX('NVRAM map'!$AF$3:$AG$319,MATCH(1,('NVRAM map'!$AF$3:$AF$319=$A50)*('NVRAM map'!$AI$3:$AI$319&gt;=V$3)*('NVRAM map'!$AJ$3:$AJ$319&lt;=V$3),0),2)),"-",INDEX('NVRAM map'!$AF$3:$AG$319,MATCH(1,('NVRAM map'!$AF$3:$AF$319=$A50)*('NVRAM map'!$AI$3:$AI$319&gt;=V$3)*('NVRAM map'!$AJ$3:$AJ$319&lt;=V$3),0),2))</f>
        <v>PATCH_AREA2</v>
      </c>
      <c r="W50" s="87" t="str">
        <f t="array" aca="1" ref="W50" ca="1">IF(ISNA(INDEX('NVRAM map'!$AF$3:$AG$319,MATCH(1,('NVRAM map'!$AF$3:$AF$319=$A50)*('NVRAM map'!$AI$3:$AI$319&gt;=W$3)*('NVRAM map'!$AJ$3:$AJ$319&lt;=W$3),0),2)),"-",INDEX('NVRAM map'!$AF$3:$AG$319,MATCH(1,('NVRAM map'!$AF$3:$AF$319=$A50)*('NVRAM map'!$AI$3:$AI$319&gt;=W$3)*('NVRAM map'!$AJ$3:$AJ$319&lt;=W$3),0),2))</f>
        <v>PATCH_AREA2</v>
      </c>
      <c r="X50" s="88" t="str">
        <f ca="1">INDEX('NVRAM map'!$B$3:$B$319,MATCH(A50,'NVRAM map'!$E$3:$E$319,0))</f>
        <v>CUST</v>
      </c>
      <c r="AB50" s="44">
        <f t="shared" ca="1" si="2"/>
        <v>0</v>
      </c>
      <c r="AC50" s="12" t="b">
        <f ca="1">COUNTIF('NVRAM map'!$AD$3:$AE$319,A50)&lt;2</f>
        <v>1</v>
      </c>
      <c r="AD50" s="12">
        <f ca="1">SUMIF('NVRAM map'!$AF$3:$AF$319,A50,'NVRAM map'!$AK$3:$AK$319)</f>
        <v>65535</v>
      </c>
      <c r="AE50" s="12" t="str">
        <f t="shared" ca="1" si="3"/>
        <v>FFFF</v>
      </c>
      <c r="AF50" s="12" t="str">
        <f t="shared" ca="1" si="4"/>
        <v>11111111</v>
      </c>
      <c r="AG50" s="12" t="str">
        <f t="shared" ca="1" si="5"/>
        <v>11111111</v>
      </c>
      <c r="AH50" s="12">
        <f t="shared" ca="1" si="6"/>
        <v>16</v>
      </c>
      <c r="AI50" s="12">
        <f ca="1">SUMIF('NVRAM map'!$AF$3:$AF$319,A50,'NVRAM map'!$AH$3:$AH$319)</f>
        <v>16</v>
      </c>
      <c r="AJ50" s="12" t="b">
        <f t="shared" ca="1" si="7"/>
        <v>1</v>
      </c>
      <c r="AK50" s="12">
        <f ca="1">COUNTIF('NVRAM map'!$AF$3:$AF$319,A50)</f>
        <v>1</v>
      </c>
      <c r="AM50" s="89">
        <v>0</v>
      </c>
      <c r="AN50" s="80">
        <f t="shared" ca="1" si="14"/>
        <v>0</v>
      </c>
      <c r="AO50" s="80">
        <f t="shared" ca="1" si="14"/>
        <v>0</v>
      </c>
      <c r="AP50" s="80">
        <f t="shared" ca="1" si="14"/>
        <v>0</v>
      </c>
      <c r="AQ50" s="80">
        <f t="shared" ca="1" si="14"/>
        <v>0</v>
      </c>
      <c r="AR50" s="80">
        <f t="shared" ca="1" si="14"/>
        <v>0</v>
      </c>
      <c r="AS50" s="80">
        <f t="shared" ca="1" si="14"/>
        <v>0</v>
      </c>
      <c r="AT50" s="80">
        <f t="shared" ca="1" si="14"/>
        <v>0</v>
      </c>
      <c r="AU50" s="80">
        <f t="shared" ca="1" si="14"/>
        <v>0</v>
      </c>
      <c r="AV50" s="80">
        <f t="shared" ca="1" si="14"/>
        <v>0</v>
      </c>
      <c r="AW50" s="80">
        <f t="shared" ca="1" si="14"/>
        <v>0</v>
      </c>
      <c r="AX50" s="80">
        <f t="shared" ca="1" si="14"/>
        <v>0</v>
      </c>
      <c r="AY50" s="80">
        <f t="shared" ca="1" si="14"/>
        <v>0</v>
      </c>
      <c r="AZ50" s="80">
        <f t="shared" ca="1" si="14"/>
        <v>0</v>
      </c>
      <c r="BA50" s="80">
        <f t="shared" ca="1" si="14"/>
        <v>0</v>
      </c>
      <c r="BB50" s="81">
        <f t="shared" ca="1" si="14"/>
        <v>0</v>
      </c>
      <c r="BD50" s="12" t="str">
        <f t="shared" si="9"/>
        <v>0x105C</v>
      </c>
      <c r="BE50" s="12" t="str">
        <f t="shared" ca="1" si="10"/>
        <v>0000000000000000</v>
      </c>
      <c r="BG50" s="53" t="str">
        <f t="shared" ca="1" si="11"/>
        <v>`define EE_PATCH_AREA2 23</v>
      </c>
    </row>
    <row r="51" spans="1:59">
      <c r="A51" s="82" t="s">
        <v>317</v>
      </c>
      <c r="B51" s="82">
        <v>94</v>
      </c>
      <c r="C51" s="82">
        <v>23</v>
      </c>
      <c r="D51" s="83">
        <f ca="1">SUMIF('NVRAM map'!$AF$3:$AF$319,A51,'NVRAM map'!$AN$3:$AN$319)</f>
        <v>0</v>
      </c>
      <c r="E51" s="84" t="str">
        <f t="shared" ca="1" si="0"/>
        <v>0000</v>
      </c>
      <c r="F51" s="85" t="str">
        <f t="shared" ca="1" si="12"/>
        <v>0000</v>
      </c>
      <c r="G51" s="86" t="str">
        <f ca="1">VLOOKUP(MemoryView!A51,'NVRAM map'!$AD$3:$AE$319,2,0)</f>
        <v>EE_PATCH_AREA3</v>
      </c>
      <c r="H51" s="87" t="str">
        <f t="array" aca="1" ref="H51" ca="1">IF(ISNA(INDEX('NVRAM map'!$AF$3:$AG$319,MATCH(1,('NVRAM map'!$AF$3:$AF$319=$A51)*('NVRAM map'!$AI$3:$AI$319&gt;=H$3)*('NVRAM map'!$AJ$3:$AJ$319&lt;=H$3),0),2)),"-",INDEX('NVRAM map'!$AF$3:$AG$319,MATCH(1,('NVRAM map'!$AF$3:$AF$319=$A51)*('NVRAM map'!$AI$3:$AI$319&gt;=H$3)*('NVRAM map'!$AJ$3:$AJ$319&lt;=H$3),0),2))</f>
        <v>PATCH_AREA3</v>
      </c>
      <c r="I51" s="87" t="str">
        <f t="array" aca="1" ref="I51" ca="1">IF(ISNA(INDEX('NVRAM map'!$AF$3:$AG$319,MATCH(1,('NVRAM map'!$AF$3:$AF$319=$A51)*('NVRAM map'!$AI$3:$AI$319&gt;=I$3)*('NVRAM map'!$AJ$3:$AJ$319&lt;=I$3),0),2)),"-",INDEX('NVRAM map'!$AF$3:$AG$319,MATCH(1,('NVRAM map'!$AF$3:$AF$319=$A51)*('NVRAM map'!$AI$3:$AI$319&gt;=I$3)*('NVRAM map'!$AJ$3:$AJ$319&lt;=I$3),0),2))</f>
        <v>PATCH_AREA3</v>
      </c>
      <c r="J51" s="87" t="str">
        <f t="array" aca="1" ref="J51" ca="1">IF(ISNA(INDEX('NVRAM map'!$AF$3:$AG$319,MATCH(1,('NVRAM map'!$AF$3:$AF$319=$A51)*('NVRAM map'!$AI$3:$AI$319&gt;=J$3)*('NVRAM map'!$AJ$3:$AJ$319&lt;=J$3),0),2)),"-",INDEX('NVRAM map'!$AF$3:$AG$319,MATCH(1,('NVRAM map'!$AF$3:$AF$319=$A51)*('NVRAM map'!$AI$3:$AI$319&gt;=J$3)*('NVRAM map'!$AJ$3:$AJ$319&lt;=J$3),0),2))</f>
        <v>PATCH_AREA3</v>
      </c>
      <c r="K51" s="87" t="str">
        <f t="array" aca="1" ref="K51" ca="1">IF(ISNA(INDEX('NVRAM map'!$AF$3:$AG$319,MATCH(1,('NVRAM map'!$AF$3:$AF$319=$A51)*('NVRAM map'!$AI$3:$AI$319&gt;=K$3)*('NVRAM map'!$AJ$3:$AJ$319&lt;=K$3),0),2)),"-",INDEX('NVRAM map'!$AF$3:$AG$319,MATCH(1,('NVRAM map'!$AF$3:$AF$319=$A51)*('NVRAM map'!$AI$3:$AI$319&gt;=K$3)*('NVRAM map'!$AJ$3:$AJ$319&lt;=K$3),0),2))</f>
        <v>PATCH_AREA3</v>
      </c>
      <c r="L51" s="87" t="str">
        <f t="array" aca="1" ref="L51" ca="1">IF(ISNA(INDEX('NVRAM map'!$AF$3:$AG$319,MATCH(1,('NVRAM map'!$AF$3:$AF$319=$A51)*('NVRAM map'!$AI$3:$AI$319&gt;=L$3)*('NVRAM map'!$AJ$3:$AJ$319&lt;=L$3),0),2)),"-",INDEX('NVRAM map'!$AF$3:$AG$319,MATCH(1,('NVRAM map'!$AF$3:$AF$319=$A51)*('NVRAM map'!$AI$3:$AI$319&gt;=L$3)*('NVRAM map'!$AJ$3:$AJ$319&lt;=L$3),0),2))</f>
        <v>PATCH_AREA3</v>
      </c>
      <c r="M51" s="87" t="str">
        <f t="array" aca="1" ref="M51" ca="1">IF(ISNA(INDEX('NVRAM map'!$AF$3:$AG$319,MATCH(1,('NVRAM map'!$AF$3:$AF$319=$A51)*('NVRAM map'!$AI$3:$AI$319&gt;=M$3)*('NVRAM map'!$AJ$3:$AJ$319&lt;=M$3),0),2)),"-",INDEX('NVRAM map'!$AF$3:$AG$319,MATCH(1,('NVRAM map'!$AF$3:$AF$319=$A51)*('NVRAM map'!$AI$3:$AI$319&gt;=M$3)*('NVRAM map'!$AJ$3:$AJ$319&lt;=M$3),0),2))</f>
        <v>PATCH_AREA3</v>
      </c>
      <c r="N51" s="87" t="str">
        <f t="array" aca="1" ref="N51" ca="1">IF(ISNA(INDEX('NVRAM map'!$AF$3:$AG$319,MATCH(1,('NVRAM map'!$AF$3:$AF$319=$A51)*('NVRAM map'!$AI$3:$AI$319&gt;=N$3)*('NVRAM map'!$AJ$3:$AJ$319&lt;=N$3),0),2)),"-",INDEX('NVRAM map'!$AF$3:$AG$319,MATCH(1,('NVRAM map'!$AF$3:$AF$319=$A51)*('NVRAM map'!$AI$3:$AI$319&gt;=N$3)*('NVRAM map'!$AJ$3:$AJ$319&lt;=N$3),0),2))</f>
        <v>PATCH_AREA3</v>
      </c>
      <c r="O51" s="87" t="str">
        <f t="array" aca="1" ref="O51" ca="1">IF(ISNA(INDEX('NVRAM map'!$AF$3:$AG$319,MATCH(1,('NVRAM map'!$AF$3:$AF$319=$A51)*('NVRAM map'!$AI$3:$AI$319&gt;=O$3)*('NVRAM map'!$AJ$3:$AJ$319&lt;=O$3),0),2)),"-",INDEX('NVRAM map'!$AF$3:$AG$319,MATCH(1,('NVRAM map'!$AF$3:$AF$319=$A51)*('NVRAM map'!$AI$3:$AI$319&gt;=O$3)*('NVRAM map'!$AJ$3:$AJ$319&lt;=O$3),0),2))</f>
        <v>PATCH_AREA3</v>
      </c>
      <c r="P51" s="87" t="str">
        <f t="array" aca="1" ref="P51" ca="1">IF(ISNA(INDEX('NVRAM map'!$AF$3:$AG$319,MATCH(1,('NVRAM map'!$AF$3:$AF$319=$A51)*('NVRAM map'!$AI$3:$AI$319&gt;=P$3)*('NVRAM map'!$AJ$3:$AJ$319&lt;=P$3),0),2)),"-",INDEX('NVRAM map'!$AF$3:$AG$319,MATCH(1,('NVRAM map'!$AF$3:$AF$319=$A51)*('NVRAM map'!$AI$3:$AI$319&gt;=P$3)*('NVRAM map'!$AJ$3:$AJ$319&lt;=P$3),0),2))</f>
        <v>PATCH_AREA3</v>
      </c>
      <c r="Q51" s="87" t="str">
        <f t="array" aca="1" ref="Q51" ca="1">IF(ISNA(INDEX('NVRAM map'!$AF$3:$AG$319,MATCH(1,('NVRAM map'!$AF$3:$AF$319=$A51)*('NVRAM map'!$AI$3:$AI$319&gt;=Q$3)*('NVRAM map'!$AJ$3:$AJ$319&lt;=Q$3),0),2)),"-",INDEX('NVRAM map'!$AF$3:$AG$319,MATCH(1,('NVRAM map'!$AF$3:$AF$319=$A51)*('NVRAM map'!$AI$3:$AI$319&gt;=Q$3)*('NVRAM map'!$AJ$3:$AJ$319&lt;=Q$3),0),2))</f>
        <v>PATCH_AREA3</v>
      </c>
      <c r="R51" s="87" t="str">
        <f t="array" aca="1" ref="R51" ca="1">IF(ISNA(INDEX('NVRAM map'!$AF$3:$AG$319,MATCH(1,('NVRAM map'!$AF$3:$AF$319=$A51)*('NVRAM map'!$AI$3:$AI$319&gt;=R$3)*('NVRAM map'!$AJ$3:$AJ$319&lt;=R$3),0),2)),"-",INDEX('NVRAM map'!$AF$3:$AG$319,MATCH(1,('NVRAM map'!$AF$3:$AF$319=$A51)*('NVRAM map'!$AI$3:$AI$319&gt;=R$3)*('NVRAM map'!$AJ$3:$AJ$319&lt;=R$3),0),2))</f>
        <v>PATCH_AREA3</v>
      </c>
      <c r="S51" s="87" t="str">
        <f t="array" aca="1" ref="S51" ca="1">IF(ISNA(INDEX('NVRAM map'!$AF$3:$AG$319,MATCH(1,('NVRAM map'!$AF$3:$AF$319=$A51)*('NVRAM map'!$AI$3:$AI$319&gt;=S$3)*('NVRAM map'!$AJ$3:$AJ$319&lt;=S$3),0),2)),"-",INDEX('NVRAM map'!$AF$3:$AG$319,MATCH(1,('NVRAM map'!$AF$3:$AF$319=$A51)*('NVRAM map'!$AI$3:$AI$319&gt;=S$3)*('NVRAM map'!$AJ$3:$AJ$319&lt;=S$3),0),2))</f>
        <v>PATCH_AREA3</v>
      </c>
      <c r="T51" s="87" t="str">
        <f t="array" aca="1" ref="T51" ca="1">IF(ISNA(INDEX('NVRAM map'!$AF$3:$AG$319,MATCH(1,('NVRAM map'!$AF$3:$AF$319=$A51)*('NVRAM map'!$AI$3:$AI$319&gt;=T$3)*('NVRAM map'!$AJ$3:$AJ$319&lt;=T$3),0),2)),"-",INDEX('NVRAM map'!$AF$3:$AG$319,MATCH(1,('NVRAM map'!$AF$3:$AF$319=$A51)*('NVRAM map'!$AI$3:$AI$319&gt;=T$3)*('NVRAM map'!$AJ$3:$AJ$319&lt;=T$3),0),2))</f>
        <v>PATCH_AREA3</v>
      </c>
      <c r="U51" s="87" t="str">
        <f t="array" aca="1" ref="U51" ca="1">IF(ISNA(INDEX('NVRAM map'!$AF$3:$AG$319,MATCH(1,('NVRAM map'!$AF$3:$AF$319=$A51)*('NVRAM map'!$AI$3:$AI$319&gt;=U$3)*('NVRAM map'!$AJ$3:$AJ$319&lt;=U$3),0),2)),"-",INDEX('NVRAM map'!$AF$3:$AG$319,MATCH(1,('NVRAM map'!$AF$3:$AF$319=$A51)*('NVRAM map'!$AI$3:$AI$319&gt;=U$3)*('NVRAM map'!$AJ$3:$AJ$319&lt;=U$3),0),2))</f>
        <v>PATCH_AREA3</v>
      </c>
      <c r="V51" s="87" t="str">
        <f t="array" aca="1" ref="V51" ca="1">IF(ISNA(INDEX('NVRAM map'!$AF$3:$AG$319,MATCH(1,('NVRAM map'!$AF$3:$AF$319=$A51)*('NVRAM map'!$AI$3:$AI$319&gt;=V$3)*('NVRAM map'!$AJ$3:$AJ$319&lt;=V$3),0),2)),"-",INDEX('NVRAM map'!$AF$3:$AG$319,MATCH(1,('NVRAM map'!$AF$3:$AF$319=$A51)*('NVRAM map'!$AI$3:$AI$319&gt;=V$3)*('NVRAM map'!$AJ$3:$AJ$319&lt;=V$3),0),2))</f>
        <v>PATCH_AREA3</v>
      </c>
      <c r="W51" s="87" t="str">
        <f t="array" aca="1" ref="W51" ca="1">IF(ISNA(INDEX('NVRAM map'!$AF$3:$AG$319,MATCH(1,('NVRAM map'!$AF$3:$AF$319=$A51)*('NVRAM map'!$AI$3:$AI$319&gt;=W$3)*('NVRAM map'!$AJ$3:$AJ$319&lt;=W$3),0),2)),"-",INDEX('NVRAM map'!$AF$3:$AG$319,MATCH(1,('NVRAM map'!$AF$3:$AF$319=$A51)*('NVRAM map'!$AI$3:$AI$319&gt;=W$3)*('NVRAM map'!$AJ$3:$AJ$319&lt;=W$3),0),2))</f>
        <v>PATCH_AREA3</v>
      </c>
      <c r="X51" s="88" t="str">
        <f ca="1">INDEX('NVRAM map'!$B$3:$B$319,MATCH(A51,'NVRAM map'!$E$3:$E$319,0))</f>
        <v>CUST</v>
      </c>
      <c r="AB51" s="44">
        <f t="shared" ca="1" si="2"/>
        <v>0</v>
      </c>
      <c r="AC51" s="12" t="b">
        <f ca="1">COUNTIF('NVRAM map'!$AD$3:$AE$319,A51)&lt;2</f>
        <v>1</v>
      </c>
      <c r="AD51" s="12">
        <f ca="1">SUMIF('NVRAM map'!$AF$3:$AF$319,A51,'NVRAM map'!$AK$3:$AK$319)</f>
        <v>65535</v>
      </c>
      <c r="AE51" s="12" t="str">
        <f t="shared" ca="1" si="3"/>
        <v>FFFF</v>
      </c>
      <c r="AF51" s="12" t="str">
        <f t="shared" ca="1" si="4"/>
        <v>11111111</v>
      </c>
      <c r="AG51" s="12" t="str">
        <f t="shared" ca="1" si="5"/>
        <v>11111111</v>
      </c>
      <c r="AH51" s="12">
        <f t="shared" ca="1" si="6"/>
        <v>16</v>
      </c>
      <c r="AI51" s="12">
        <f ca="1">SUMIF('NVRAM map'!$AF$3:$AF$319,A51,'NVRAM map'!$AH$3:$AH$319)</f>
        <v>16</v>
      </c>
      <c r="AJ51" s="12" t="b">
        <f t="shared" ca="1" si="7"/>
        <v>1</v>
      </c>
      <c r="AK51" s="12">
        <f ca="1">COUNTIF('NVRAM map'!$AF$3:$AF$319,A51)</f>
        <v>1</v>
      </c>
      <c r="AM51" s="89">
        <v>0</v>
      </c>
      <c r="AN51" s="80">
        <f t="shared" ca="1" si="14"/>
        <v>0</v>
      </c>
      <c r="AO51" s="80">
        <f t="shared" ca="1" si="14"/>
        <v>0</v>
      </c>
      <c r="AP51" s="80">
        <f t="shared" ca="1" si="14"/>
        <v>0</v>
      </c>
      <c r="AQ51" s="80">
        <f t="shared" ca="1" si="14"/>
        <v>0</v>
      </c>
      <c r="AR51" s="80">
        <f t="shared" ca="1" si="14"/>
        <v>0</v>
      </c>
      <c r="AS51" s="80">
        <f t="shared" ca="1" si="14"/>
        <v>0</v>
      </c>
      <c r="AT51" s="80">
        <f t="shared" ca="1" si="14"/>
        <v>0</v>
      </c>
      <c r="AU51" s="80">
        <f t="shared" ca="1" si="14"/>
        <v>0</v>
      </c>
      <c r="AV51" s="80">
        <f t="shared" ca="1" si="14"/>
        <v>0</v>
      </c>
      <c r="AW51" s="80">
        <f t="shared" ca="1" si="14"/>
        <v>0</v>
      </c>
      <c r="AX51" s="80">
        <f t="shared" ca="1" si="14"/>
        <v>0</v>
      </c>
      <c r="AY51" s="80">
        <f t="shared" ca="1" si="14"/>
        <v>0</v>
      </c>
      <c r="AZ51" s="80">
        <f t="shared" ca="1" si="14"/>
        <v>0</v>
      </c>
      <c r="BA51" s="80">
        <f t="shared" ca="1" si="14"/>
        <v>0</v>
      </c>
      <c r="BB51" s="81">
        <f t="shared" ca="1" si="14"/>
        <v>0</v>
      </c>
      <c r="BD51" s="12" t="str">
        <f t="shared" si="9"/>
        <v>0x105E</v>
      </c>
      <c r="BE51" s="12" t="str">
        <f t="shared" ca="1" si="10"/>
        <v>0000000000000000</v>
      </c>
      <c r="BG51" s="53" t="str">
        <f t="shared" ca="1" si="11"/>
        <v>`define EE_PATCH_AREA3 23</v>
      </c>
    </row>
    <row r="52" spans="1:59">
      <c r="A52" s="82" t="s">
        <v>318</v>
      </c>
      <c r="B52" s="82">
        <v>96</v>
      </c>
      <c r="C52" s="82">
        <v>24</v>
      </c>
      <c r="D52" s="83">
        <f ca="1">SUMIF('NVRAM map'!$AF$3:$AF$319,A52,'NVRAM map'!$AN$3:$AN$319)</f>
        <v>0</v>
      </c>
      <c r="E52" s="84" t="str">
        <f t="shared" ca="1" si="0"/>
        <v>0000</v>
      </c>
      <c r="F52" s="85" t="str">
        <f t="shared" ca="1" si="12"/>
        <v>0000</v>
      </c>
      <c r="G52" s="86" t="str">
        <f ca="1">VLOOKUP(MemoryView!A52,'NVRAM map'!$AD$3:$AE$319,2,0)</f>
        <v>EE_PATCH_AREA4</v>
      </c>
      <c r="H52" s="87" t="str">
        <f t="array" aca="1" ref="H52" ca="1">IF(ISNA(INDEX('NVRAM map'!$AF$3:$AG$319,MATCH(1,('NVRAM map'!$AF$3:$AF$319=$A52)*('NVRAM map'!$AI$3:$AI$319&gt;=H$3)*('NVRAM map'!$AJ$3:$AJ$319&lt;=H$3),0),2)),"-",INDEX('NVRAM map'!$AF$3:$AG$319,MATCH(1,('NVRAM map'!$AF$3:$AF$319=$A52)*('NVRAM map'!$AI$3:$AI$319&gt;=H$3)*('NVRAM map'!$AJ$3:$AJ$319&lt;=H$3),0),2))</f>
        <v>PATCH_AREA4</v>
      </c>
      <c r="I52" s="87" t="str">
        <f t="array" aca="1" ref="I52" ca="1">IF(ISNA(INDEX('NVRAM map'!$AF$3:$AG$319,MATCH(1,('NVRAM map'!$AF$3:$AF$319=$A52)*('NVRAM map'!$AI$3:$AI$319&gt;=I$3)*('NVRAM map'!$AJ$3:$AJ$319&lt;=I$3),0),2)),"-",INDEX('NVRAM map'!$AF$3:$AG$319,MATCH(1,('NVRAM map'!$AF$3:$AF$319=$A52)*('NVRAM map'!$AI$3:$AI$319&gt;=I$3)*('NVRAM map'!$AJ$3:$AJ$319&lt;=I$3),0),2))</f>
        <v>PATCH_AREA4</v>
      </c>
      <c r="J52" s="87" t="str">
        <f t="array" aca="1" ref="J52" ca="1">IF(ISNA(INDEX('NVRAM map'!$AF$3:$AG$319,MATCH(1,('NVRAM map'!$AF$3:$AF$319=$A52)*('NVRAM map'!$AI$3:$AI$319&gt;=J$3)*('NVRAM map'!$AJ$3:$AJ$319&lt;=J$3),0),2)),"-",INDEX('NVRAM map'!$AF$3:$AG$319,MATCH(1,('NVRAM map'!$AF$3:$AF$319=$A52)*('NVRAM map'!$AI$3:$AI$319&gt;=J$3)*('NVRAM map'!$AJ$3:$AJ$319&lt;=J$3),0),2))</f>
        <v>PATCH_AREA4</v>
      </c>
      <c r="K52" s="87" t="str">
        <f t="array" aca="1" ref="K52" ca="1">IF(ISNA(INDEX('NVRAM map'!$AF$3:$AG$319,MATCH(1,('NVRAM map'!$AF$3:$AF$319=$A52)*('NVRAM map'!$AI$3:$AI$319&gt;=K$3)*('NVRAM map'!$AJ$3:$AJ$319&lt;=K$3),0),2)),"-",INDEX('NVRAM map'!$AF$3:$AG$319,MATCH(1,('NVRAM map'!$AF$3:$AF$319=$A52)*('NVRAM map'!$AI$3:$AI$319&gt;=K$3)*('NVRAM map'!$AJ$3:$AJ$319&lt;=K$3),0),2))</f>
        <v>PATCH_AREA4</v>
      </c>
      <c r="L52" s="87" t="str">
        <f t="array" aca="1" ref="L52" ca="1">IF(ISNA(INDEX('NVRAM map'!$AF$3:$AG$319,MATCH(1,('NVRAM map'!$AF$3:$AF$319=$A52)*('NVRAM map'!$AI$3:$AI$319&gt;=L$3)*('NVRAM map'!$AJ$3:$AJ$319&lt;=L$3),0),2)),"-",INDEX('NVRAM map'!$AF$3:$AG$319,MATCH(1,('NVRAM map'!$AF$3:$AF$319=$A52)*('NVRAM map'!$AI$3:$AI$319&gt;=L$3)*('NVRAM map'!$AJ$3:$AJ$319&lt;=L$3),0),2))</f>
        <v>PATCH_AREA4</v>
      </c>
      <c r="M52" s="87" t="str">
        <f t="array" aca="1" ref="M52" ca="1">IF(ISNA(INDEX('NVRAM map'!$AF$3:$AG$319,MATCH(1,('NVRAM map'!$AF$3:$AF$319=$A52)*('NVRAM map'!$AI$3:$AI$319&gt;=M$3)*('NVRAM map'!$AJ$3:$AJ$319&lt;=M$3),0),2)),"-",INDEX('NVRAM map'!$AF$3:$AG$319,MATCH(1,('NVRAM map'!$AF$3:$AF$319=$A52)*('NVRAM map'!$AI$3:$AI$319&gt;=M$3)*('NVRAM map'!$AJ$3:$AJ$319&lt;=M$3),0),2))</f>
        <v>PATCH_AREA4</v>
      </c>
      <c r="N52" s="87" t="str">
        <f t="array" aca="1" ref="N52" ca="1">IF(ISNA(INDEX('NVRAM map'!$AF$3:$AG$319,MATCH(1,('NVRAM map'!$AF$3:$AF$319=$A52)*('NVRAM map'!$AI$3:$AI$319&gt;=N$3)*('NVRAM map'!$AJ$3:$AJ$319&lt;=N$3),0),2)),"-",INDEX('NVRAM map'!$AF$3:$AG$319,MATCH(1,('NVRAM map'!$AF$3:$AF$319=$A52)*('NVRAM map'!$AI$3:$AI$319&gt;=N$3)*('NVRAM map'!$AJ$3:$AJ$319&lt;=N$3),0),2))</f>
        <v>PATCH_AREA4</v>
      </c>
      <c r="O52" s="87" t="str">
        <f t="array" aca="1" ref="O52" ca="1">IF(ISNA(INDEX('NVRAM map'!$AF$3:$AG$319,MATCH(1,('NVRAM map'!$AF$3:$AF$319=$A52)*('NVRAM map'!$AI$3:$AI$319&gt;=O$3)*('NVRAM map'!$AJ$3:$AJ$319&lt;=O$3),0),2)),"-",INDEX('NVRAM map'!$AF$3:$AG$319,MATCH(1,('NVRAM map'!$AF$3:$AF$319=$A52)*('NVRAM map'!$AI$3:$AI$319&gt;=O$3)*('NVRAM map'!$AJ$3:$AJ$319&lt;=O$3),0),2))</f>
        <v>PATCH_AREA4</v>
      </c>
      <c r="P52" s="87" t="str">
        <f t="array" aca="1" ref="P52" ca="1">IF(ISNA(INDEX('NVRAM map'!$AF$3:$AG$319,MATCH(1,('NVRAM map'!$AF$3:$AF$319=$A52)*('NVRAM map'!$AI$3:$AI$319&gt;=P$3)*('NVRAM map'!$AJ$3:$AJ$319&lt;=P$3),0),2)),"-",INDEX('NVRAM map'!$AF$3:$AG$319,MATCH(1,('NVRAM map'!$AF$3:$AF$319=$A52)*('NVRAM map'!$AI$3:$AI$319&gt;=P$3)*('NVRAM map'!$AJ$3:$AJ$319&lt;=P$3),0),2))</f>
        <v>PATCH_AREA4</v>
      </c>
      <c r="Q52" s="87" t="str">
        <f t="array" aca="1" ref="Q52" ca="1">IF(ISNA(INDEX('NVRAM map'!$AF$3:$AG$319,MATCH(1,('NVRAM map'!$AF$3:$AF$319=$A52)*('NVRAM map'!$AI$3:$AI$319&gt;=Q$3)*('NVRAM map'!$AJ$3:$AJ$319&lt;=Q$3),0),2)),"-",INDEX('NVRAM map'!$AF$3:$AG$319,MATCH(1,('NVRAM map'!$AF$3:$AF$319=$A52)*('NVRAM map'!$AI$3:$AI$319&gt;=Q$3)*('NVRAM map'!$AJ$3:$AJ$319&lt;=Q$3),0),2))</f>
        <v>PATCH_AREA4</v>
      </c>
      <c r="R52" s="87" t="str">
        <f t="array" aca="1" ref="R52" ca="1">IF(ISNA(INDEX('NVRAM map'!$AF$3:$AG$319,MATCH(1,('NVRAM map'!$AF$3:$AF$319=$A52)*('NVRAM map'!$AI$3:$AI$319&gt;=R$3)*('NVRAM map'!$AJ$3:$AJ$319&lt;=R$3),0),2)),"-",INDEX('NVRAM map'!$AF$3:$AG$319,MATCH(1,('NVRAM map'!$AF$3:$AF$319=$A52)*('NVRAM map'!$AI$3:$AI$319&gt;=R$3)*('NVRAM map'!$AJ$3:$AJ$319&lt;=R$3),0),2))</f>
        <v>PATCH_AREA4</v>
      </c>
      <c r="S52" s="87" t="str">
        <f t="array" aca="1" ref="S52" ca="1">IF(ISNA(INDEX('NVRAM map'!$AF$3:$AG$319,MATCH(1,('NVRAM map'!$AF$3:$AF$319=$A52)*('NVRAM map'!$AI$3:$AI$319&gt;=S$3)*('NVRAM map'!$AJ$3:$AJ$319&lt;=S$3),0),2)),"-",INDEX('NVRAM map'!$AF$3:$AG$319,MATCH(1,('NVRAM map'!$AF$3:$AF$319=$A52)*('NVRAM map'!$AI$3:$AI$319&gt;=S$3)*('NVRAM map'!$AJ$3:$AJ$319&lt;=S$3),0),2))</f>
        <v>PATCH_AREA4</v>
      </c>
      <c r="T52" s="87" t="str">
        <f t="array" aca="1" ref="T52" ca="1">IF(ISNA(INDEX('NVRAM map'!$AF$3:$AG$319,MATCH(1,('NVRAM map'!$AF$3:$AF$319=$A52)*('NVRAM map'!$AI$3:$AI$319&gt;=T$3)*('NVRAM map'!$AJ$3:$AJ$319&lt;=T$3),0),2)),"-",INDEX('NVRAM map'!$AF$3:$AG$319,MATCH(1,('NVRAM map'!$AF$3:$AF$319=$A52)*('NVRAM map'!$AI$3:$AI$319&gt;=T$3)*('NVRAM map'!$AJ$3:$AJ$319&lt;=T$3),0),2))</f>
        <v>PATCH_AREA4</v>
      </c>
      <c r="U52" s="87" t="str">
        <f t="array" aca="1" ref="U52" ca="1">IF(ISNA(INDEX('NVRAM map'!$AF$3:$AG$319,MATCH(1,('NVRAM map'!$AF$3:$AF$319=$A52)*('NVRAM map'!$AI$3:$AI$319&gt;=U$3)*('NVRAM map'!$AJ$3:$AJ$319&lt;=U$3),0),2)),"-",INDEX('NVRAM map'!$AF$3:$AG$319,MATCH(1,('NVRAM map'!$AF$3:$AF$319=$A52)*('NVRAM map'!$AI$3:$AI$319&gt;=U$3)*('NVRAM map'!$AJ$3:$AJ$319&lt;=U$3),0),2))</f>
        <v>PATCH_AREA4</v>
      </c>
      <c r="V52" s="87" t="str">
        <f t="array" aca="1" ref="V52" ca="1">IF(ISNA(INDEX('NVRAM map'!$AF$3:$AG$319,MATCH(1,('NVRAM map'!$AF$3:$AF$319=$A52)*('NVRAM map'!$AI$3:$AI$319&gt;=V$3)*('NVRAM map'!$AJ$3:$AJ$319&lt;=V$3),0),2)),"-",INDEX('NVRAM map'!$AF$3:$AG$319,MATCH(1,('NVRAM map'!$AF$3:$AF$319=$A52)*('NVRAM map'!$AI$3:$AI$319&gt;=V$3)*('NVRAM map'!$AJ$3:$AJ$319&lt;=V$3),0),2))</f>
        <v>PATCH_AREA4</v>
      </c>
      <c r="W52" s="87" t="str">
        <f t="array" aca="1" ref="W52" ca="1">IF(ISNA(INDEX('NVRAM map'!$AF$3:$AG$319,MATCH(1,('NVRAM map'!$AF$3:$AF$319=$A52)*('NVRAM map'!$AI$3:$AI$319&gt;=W$3)*('NVRAM map'!$AJ$3:$AJ$319&lt;=W$3),0),2)),"-",INDEX('NVRAM map'!$AF$3:$AG$319,MATCH(1,('NVRAM map'!$AF$3:$AF$319=$A52)*('NVRAM map'!$AI$3:$AI$319&gt;=W$3)*('NVRAM map'!$AJ$3:$AJ$319&lt;=W$3),0),2))</f>
        <v>PATCH_AREA4</v>
      </c>
      <c r="X52" s="88" t="str">
        <f ca="1">INDEX('NVRAM map'!$B$3:$B$319,MATCH(A52,'NVRAM map'!$E$3:$E$319,0))</f>
        <v>CUST</v>
      </c>
      <c r="AB52" s="44">
        <f t="shared" ca="1" si="2"/>
        <v>0</v>
      </c>
      <c r="AC52" s="12" t="b">
        <f ca="1">COUNTIF('NVRAM map'!$AD$3:$AE$319,A52)&lt;2</f>
        <v>1</v>
      </c>
      <c r="AD52" s="12">
        <f ca="1">SUMIF('NVRAM map'!$AF$3:$AF$319,A52,'NVRAM map'!$AK$3:$AK$319)</f>
        <v>65535</v>
      </c>
      <c r="AE52" s="12" t="str">
        <f t="shared" ca="1" si="3"/>
        <v>FFFF</v>
      </c>
      <c r="AF52" s="12" t="str">
        <f t="shared" ca="1" si="4"/>
        <v>11111111</v>
      </c>
      <c r="AG52" s="12" t="str">
        <f t="shared" ca="1" si="5"/>
        <v>11111111</v>
      </c>
      <c r="AH52" s="12">
        <f t="shared" ca="1" si="6"/>
        <v>16</v>
      </c>
      <c r="AI52" s="12">
        <f ca="1">SUMIF('NVRAM map'!$AF$3:$AF$319,A52,'NVRAM map'!$AH$3:$AH$319)</f>
        <v>16</v>
      </c>
      <c r="AJ52" s="12" t="b">
        <f t="shared" ca="1" si="7"/>
        <v>1</v>
      </c>
      <c r="AK52" s="12">
        <f ca="1">COUNTIF('NVRAM map'!$AF$3:$AF$319,A52)</f>
        <v>1</v>
      </c>
      <c r="AM52" s="89">
        <v>0</v>
      </c>
      <c r="AN52" s="80">
        <f t="shared" ca="1" si="14"/>
        <v>0</v>
      </c>
      <c r="AO52" s="80">
        <f t="shared" ca="1" si="14"/>
        <v>0</v>
      </c>
      <c r="AP52" s="80">
        <f t="shared" ca="1" si="14"/>
        <v>0</v>
      </c>
      <c r="AQ52" s="80">
        <f t="shared" ca="1" si="14"/>
        <v>0</v>
      </c>
      <c r="AR52" s="80">
        <f t="shared" ca="1" si="14"/>
        <v>0</v>
      </c>
      <c r="AS52" s="80">
        <f t="shared" ca="1" si="14"/>
        <v>0</v>
      </c>
      <c r="AT52" s="80">
        <f t="shared" ca="1" si="14"/>
        <v>0</v>
      </c>
      <c r="AU52" s="80">
        <f t="shared" ca="1" si="14"/>
        <v>0</v>
      </c>
      <c r="AV52" s="80">
        <f t="shared" ca="1" si="14"/>
        <v>0</v>
      </c>
      <c r="AW52" s="80">
        <f t="shared" ca="1" si="14"/>
        <v>0</v>
      </c>
      <c r="AX52" s="80">
        <f t="shared" ca="1" si="14"/>
        <v>0</v>
      </c>
      <c r="AY52" s="80">
        <f t="shared" ca="1" si="14"/>
        <v>0</v>
      </c>
      <c r="AZ52" s="80">
        <f t="shared" ca="1" si="14"/>
        <v>0</v>
      </c>
      <c r="BA52" s="80">
        <f t="shared" ca="1" si="14"/>
        <v>0</v>
      </c>
      <c r="BB52" s="81">
        <f t="shared" ca="1" si="14"/>
        <v>0</v>
      </c>
      <c r="BD52" s="12" t="str">
        <f t="shared" si="9"/>
        <v>0x1060</v>
      </c>
      <c r="BE52" s="12" t="str">
        <f t="shared" ca="1" si="10"/>
        <v>0000000000000000</v>
      </c>
      <c r="BG52" s="53" t="str">
        <f t="shared" ca="1" si="11"/>
        <v>`define EE_PATCH_AREA4 24</v>
      </c>
    </row>
    <row r="53" spans="1:59">
      <c r="A53" s="82" t="s">
        <v>319</v>
      </c>
      <c r="B53" s="82">
        <v>98</v>
      </c>
      <c r="C53" s="82">
        <v>24</v>
      </c>
      <c r="D53" s="83">
        <f ca="1">SUMIF('NVRAM map'!$AF$3:$AF$319,A53,'NVRAM map'!$AN$3:$AN$319)</f>
        <v>0</v>
      </c>
      <c r="E53" s="84" t="str">
        <f t="shared" ca="1" si="0"/>
        <v>0000</v>
      </c>
      <c r="F53" s="85" t="str">
        <f t="shared" ca="1" si="12"/>
        <v>0000</v>
      </c>
      <c r="G53" s="86" t="str">
        <f ca="1">VLOOKUP(MemoryView!A53,'NVRAM map'!$AD$3:$AE$319,2,0)</f>
        <v>EE_PATCH_AREA5</v>
      </c>
      <c r="H53" s="87" t="str">
        <f t="array" aca="1" ref="H53" ca="1">IF(ISNA(INDEX('NVRAM map'!$AF$3:$AG$319,MATCH(1,('NVRAM map'!$AF$3:$AF$319=$A53)*('NVRAM map'!$AI$3:$AI$319&gt;=H$3)*('NVRAM map'!$AJ$3:$AJ$319&lt;=H$3),0),2)),"-",INDEX('NVRAM map'!$AF$3:$AG$319,MATCH(1,('NVRAM map'!$AF$3:$AF$319=$A53)*('NVRAM map'!$AI$3:$AI$319&gt;=H$3)*('NVRAM map'!$AJ$3:$AJ$319&lt;=H$3),0),2))</f>
        <v>PATCH_AREA5</v>
      </c>
      <c r="I53" s="87" t="str">
        <f t="array" aca="1" ref="I53" ca="1">IF(ISNA(INDEX('NVRAM map'!$AF$3:$AG$319,MATCH(1,('NVRAM map'!$AF$3:$AF$319=$A53)*('NVRAM map'!$AI$3:$AI$319&gt;=I$3)*('NVRAM map'!$AJ$3:$AJ$319&lt;=I$3),0),2)),"-",INDEX('NVRAM map'!$AF$3:$AG$319,MATCH(1,('NVRAM map'!$AF$3:$AF$319=$A53)*('NVRAM map'!$AI$3:$AI$319&gt;=I$3)*('NVRAM map'!$AJ$3:$AJ$319&lt;=I$3),0),2))</f>
        <v>PATCH_AREA5</v>
      </c>
      <c r="J53" s="87" t="str">
        <f t="array" aca="1" ref="J53" ca="1">IF(ISNA(INDEX('NVRAM map'!$AF$3:$AG$319,MATCH(1,('NVRAM map'!$AF$3:$AF$319=$A53)*('NVRAM map'!$AI$3:$AI$319&gt;=J$3)*('NVRAM map'!$AJ$3:$AJ$319&lt;=J$3),0),2)),"-",INDEX('NVRAM map'!$AF$3:$AG$319,MATCH(1,('NVRAM map'!$AF$3:$AF$319=$A53)*('NVRAM map'!$AI$3:$AI$319&gt;=J$3)*('NVRAM map'!$AJ$3:$AJ$319&lt;=J$3),0),2))</f>
        <v>PATCH_AREA5</v>
      </c>
      <c r="K53" s="87" t="str">
        <f t="array" aca="1" ref="K53" ca="1">IF(ISNA(INDEX('NVRAM map'!$AF$3:$AG$319,MATCH(1,('NVRAM map'!$AF$3:$AF$319=$A53)*('NVRAM map'!$AI$3:$AI$319&gt;=K$3)*('NVRAM map'!$AJ$3:$AJ$319&lt;=K$3),0),2)),"-",INDEX('NVRAM map'!$AF$3:$AG$319,MATCH(1,('NVRAM map'!$AF$3:$AF$319=$A53)*('NVRAM map'!$AI$3:$AI$319&gt;=K$3)*('NVRAM map'!$AJ$3:$AJ$319&lt;=K$3),0),2))</f>
        <v>PATCH_AREA5</v>
      </c>
      <c r="L53" s="87" t="str">
        <f t="array" aca="1" ref="L53" ca="1">IF(ISNA(INDEX('NVRAM map'!$AF$3:$AG$319,MATCH(1,('NVRAM map'!$AF$3:$AF$319=$A53)*('NVRAM map'!$AI$3:$AI$319&gt;=L$3)*('NVRAM map'!$AJ$3:$AJ$319&lt;=L$3),0),2)),"-",INDEX('NVRAM map'!$AF$3:$AG$319,MATCH(1,('NVRAM map'!$AF$3:$AF$319=$A53)*('NVRAM map'!$AI$3:$AI$319&gt;=L$3)*('NVRAM map'!$AJ$3:$AJ$319&lt;=L$3),0),2))</f>
        <v>PATCH_AREA5</v>
      </c>
      <c r="M53" s="87" t="str">
        <f t="array" aca="1" ref="M53" ca="1">IF(ISNA(INDEX('NVRAM map'!$AF$3:$AG$319,MATCH(1,('NVRAM map'!$AF$3:$AF$319=$A53)*('NVRAM map'!$AI$3:$AI$319&gt;=M$3)*('NVRAM map'!$AJ$3:$AJ$319&lt;=M$3),0),2)),"-",INDEX('NVRAM map'!$AF$3:$AG$319,MATCH(1,('NVRAM map'!$AF$3:$AF$319=$A53)*('NVRAM map'!$AI$3:$AI$319&gt;=M$3)*('NVRAM map'!$AJ$3:$AJ$319&lt;=M$3),0),2))</f>
        <v>PATCH_AREA5</v>
      </c>
      <c r="N53" s="87" t="str">
        <f t="array" aca="1" ref="N53" ca="1">IF(ISNA(INDEX('NVRAM map'!$AF$3:$AG$319,MATCH(1,('NVRAM map'!$AF$3:$AF$319=$A53)*('NVRAM map'!$AI$3:$AI$319&gt;=N$3)*('NVRAM map'!$AJ$3:$AJ$319&lt;=N$3),0),2)),"-",INDEX('NVRAM map'!$AF$3:$AG$319,MATCH(1,('NVRAM map'!$AF$3:$AF$319=$A53)*('NVRAM map'!$AI$3:$AI$319&gt;=N$3)*('NVRAM map'!$AJ$3:$AJ$319&lt;=N$3),0),2))</f>
        <v>PATCH_AREA5</v>
      </c>
      <c r="O53" s="87" t="str">
        <f t="array" aca="1" ref="O53" ca="1">IF(ISNA(INDEX('NVRAM map'!$AF$3:$AG$319,MATCH(1,('NVRAM map'!$AF$3:$AF$319=$A53)*('NVRAM map'!$AI$3:$AI$319&gt;=O$3)*('NVRAM map'!$AJ$3:$AJ$319&lt;=O$3),0),2)),"-",INDEX('NVRAM map'!$AF$3:$AG$319,MATCH(1,('NVRAM map'!$AF$3:$AF$319=$A53)*('NVRAM map'!$AI$3:$AI$319&gt;=O$3)*('NVRAM map'!$AJ$3:$AJ$319&lt;=O$3),0),2))</f>
        <v>PATCH_AREA5</v>
      </c>
      <c r="P53" s="87" t="str">
        <f t="array" aca="1" ref="P53" ca="1">IF(ISNA(INDEX('NVRAM map'!$AF$3:$AG$319,MATCH(1,('NVRAM map'!$AF$3:$AF$319=$A53)*('NVRAM map'!$AI$3:$AI$319&gt;=P$3)*('NVRAM map'!$AJ$3:$AJ$319&lt;=P$3),0),2)),"-",INDEX('NVRAM map'!$AF$3:$AG$319,MATCH(1,('NVRAM map'!$AF$3:$AF$319=$A53)*('NVRAM map'!$AI$3:$AI$319&gt;=P$3)*('NVRAM map'!$AJ$3:$AJ$319&lt;=P$3),0),2))</f>
        <v>PATCH_AREA5</v>
      </c>
      <c r="Q53" s="87" t="str">
        <f t="array" aca="1" ref="Q53" ca="1">IF(ISNA(INDEX('NVRAM map'!$AF$3:$AG$319,MATCH(1,('NVRAM map'!$AF$3:$AF$319=$A53)*('NVRAM map'!$AI$3:$AI$319&gt;=Q$3)*('NVRAM map'!$AJ$3:$AJ$319&lt;=Q$3),0),2)),"-",INDEX('NVRAM map'!$AF$3:$AG$319,MATCH(1,('NVRAM map'!$AF$3:$AF$319=$A53)*('NVRAM map'!$AI$3:$AI$319&gt;=Q$3)*('NVRAM map'!$AJ$3:$AJ$319&lt;=Q$3),0),2))</f>
        <v>PATCH_AREA5</v>
      </c>
      <c r="R53" s="87" t="str">
        <f t="array" aca="1" ref="R53" ca="1">IF(ISNA(INDEX('NVRAM map'!$AF$3:$AG$319,MATCH(1,('NVRAM map'!$AF$3:$AF$319=$A53)*('NVRAM map'!$AI$3:$AI$319&gt;=R$3)*('NVRAM map'!$AJ$3:$AJ$319&lt;=R$3),0),2)),"-",INDEX('NVRAM map'!$AF$3:$AG$319,MATCH(1,('NVRAM map'!$AF$3:$AF$319=$A53)*('NVRAM map'!$AI$3:$AI$319&gt;=R$3)*('NVRAM map'!$AJ$3:$AJ$319&lt;=R$3),0),2))</f>
        <v>PATCH_AREA5</v>
      </c>
      <c r="S53" s="87" t="str">
        <f t="array" aca="1" ref="S53" ca="1">IF(ISNA(INDEX('NVRAM map'!$AF$3:$AG$319,MATCH(1,('NVRAM map'!$AF$3:$AF$319=$A53)*('NVRAM map'!$AI$3:$AI$319&gt;=S$3)*('NVRAM map'!$AJ$3:$AJ$319&lt;=S$3),0),2)),"-",INDEX('NVRAM map'!$AF$3:$AG$319,MATCH(1,('NVRAM map'!$AF$3:$AF$319=$A53)*('NVRAM map'!$AI$3:$AI$319&gt;=S$3)*('NVRAM map'!$AJ$3:$AJ$319&lt;=S$3),0),2))</f>
        <v>PATCH_AREA5</v>
      </c>
      <c r="T53" s="87" t="str">
        <f t="array" aca="1" ref="T53" ca="1">IF(ISNA(INDEX('NVRAM map'!$AF$3:$AG$319,MATCH(1,('NVRAM map'!$AF$3:$AF$319=$A53)*('NVRAM map'!$AI$3:$AI$319&gt;=T$3)*('NVRAM map'!$AJ$3:$AJ$319&lt;=T$3),0),2)),"-",INDEX('NVRAM map'!$AF$3:$AG$319,MATCH(1,('NVRAM map'!$AF$3:$AF$319=$A53)*('NVRAM map'!$AI$3:$AI$319&gt;=T$3)*('NVRAM map'!$AJ$3:$AJ$319&lt;=T$3),0),2))</f>
        <v>PATCH_AREA5</v>
      </c>
      <c r="U53" s="87" t="str">
        <f t="array" aca="1" ref="U53" ca="1">IF(ISNA(INDEX('NVRAM map'!$AF$3:$AG$319,MATCH(1,('NVRAM map'!$AF$3:$AF$319=$A53)*('NVRAM map'!$AI$3:$AI$319&gt;=U$3)*('NVRAM map'!$AJ$3:$AJ$319&lt;=U$3),0),2)),"-",INDEX('NVRAM map'!$AF$3:$AG$319,MATCH(1,('NVRAM map'!$AF$3:$AF$319=$A53)*('NVRAM map'!$AI$3:$AI$319&gt;=U$3)*('NVRAM map'!$AJ$3:$AJ$319&lt;=U$3),0),2))</f>
        <v>PATCH_AREA5</v>
      </c>
      <c r="V53" s="87" t="str">
        <f t="array" aca="1" ref="V53" ca="1">IF(ISNA(INDEX('NVRAM map'!$AF$3:$AG$319,MATCH(1,('NVRAM map'!$AF$3:$AF$319=$A53)*('NVRAM map'!$AI$3:$AI$319&gt;=V$3)*('NVRAM map'!$AJ$3:$AJ$319&lt;=V$3),0),2)),"-",INDEX('NVRAM map'!$AF$3:$AG$319,MATCH(1,('NVRAM map'!$AF$3:$AF$319=$A53)*('NVRAM map'!$AI$3:$AI$319&gt;=V$3)*('NVRAM map'!$AJ$3:$AJ$319&lt;=V$3),0),2))</f>
        <v>PATCH_AREA5</v>
      </c>
      <c r="W53" s="87" t="str">
        <f t="array" aca="1" ref="W53" ca="1">IF(ISNA(INDEX('NVRAM map'!$AF$3:$AG$319,MATCH(1,('NVRAM map'!$AF$3:$AF$319=$A53)*('NVRAM map'!$AI$3:$AI$319&gt;=W$3)*('NVRAM map'!$AJ$3:$AJ$319&lt;=W$3),0),2)),"-",INDEX('NVRAM map'!$AF$3:$AG$319,MATCH(1,('NVRAM map'!$AF$3:$AF$319=$A53)*('NVRAM map'!$AI$3:$AI$319&gt;=W$3)*('NVRAM map'!$AJ$3:$AJ$319&lt;=W$3),0),2))</f>
        <v>PATCH_AREA5</v>
      </c>
      <c r="X53" s="88" t="str">
        <f ca="1">INDEX('NVRAM map'!$B$3:$B$319,MATCH(A53,'NVRAM map'!$E$3:$E$319,0))</f>
        <v>CUST</v>
      </c>
      <c r="AB53" s="44">
        <f t="shared" ca="1" si="2"/>
        <v>0</v>
      </c>
      <c r="AC53" s="12" t="b">
        <f ca="1">COUNTIF('NVRAM map'!$AD$3:$AE$319,A53)&lt;2</f>
        <v>1</v>
      </c>
      <c r="AD53" s="12">
        <f ca="1">SUMIF('NVRAM map'!$AF$3:$AF$319,A53,'NVRAM map'!$AK$3:$AK$319)</f>
        <v>65535</v>
      </c>
      <c r="AE53" s="12" t="str">
        <f t="shared" ca="1" si="3"/>
        <v>FFFF</v>
      </c>
      <c r="AF53" s="12" t="str">
        <f t="shared" ca="1" si="4"/>
        <v>11111111</v>
      </c>
      <c r="AG53" s="12" t="str">
        <f t="shared" ca="1" si="5"/>
        <v>11111111</v>
      </c>
      <c r="AH53" s="12">
        <f t="shared" ca="1" si="6"/>
        <v>16</v>
      </c>
      <c r="AI53" s="12">
        <f ca="1">SUMIF('NVRAM map'!$AF$3:$AF$319,A53,'NVRAM map'!$AH$3:$AH$319)</f>
        <v>16</v>
      </c>
      <c r="AJ53" s="12" t="b">
        <f t="shared" ca="1" si="7"/>
        <v>1</v>
      </c>
      <c r="AK53" s="12">
        <f ca="1">COUNTIF('NVRAM map'!$AF$3:$AF$319,A53)</f>
        <v>1</v>
      </c>
      <c r="AM53" s="89">
        <v>0</v>
      </c>
      <c r="AN53" s="80">
        <f t="shared" ca="1" si="14"/>
        <v>0</v>
      </c>
      <c r="AO53" s="80">
        <f t="shared" ca="1" si="14"/>
        <v>0</v>
      </c>
      <c r="AP53" s="80">
        <f t="shared" ca="1" si="14"/>
        <v>0</v>
      </c>
      <c r="AQ53" s="80">
        <f t="shared" ca="1" si="14"/>
        <v>0</v>
      </c>
      <c r="AR53" s="80">
        <f t="shared" ca="1" si="14"/>
        <v>0</v>
      </c>
      <c r="AS53" s="80">
        <f t="shared" ca="1" si="14"/>
        <v>0</v>
      </c>
      <c r="AT53" s="80">
        <f t="shared" ca="1" si="14"/>
        <v>0</v>
      </c>
      <c r="AU53" s="80">
        <f t="shared" ca="1" si="14"/>
        <v>0</v>
      </c>
      <c r="AV53" s="80">
        <f t="shared" ca="1" si="14"/>
        <v>0</v>
      </c>
      <c r="AW53" s="80">
        <f t="shared" ca="1" si="14"/>
        <v>0</v>
      </c>
      <c r="AX53" s="80">
        <f t="shared" ca="1" si="14"/>
        <v>0</v>
      </c>
      <c r="AY53" s="80">
        <f t="shared" ca="1" si="14"/>
        <v>0</v>
      </c>
      <c r="AZ53" s="80">
        <f t="shared" ca="1" si="14"/>
        <v>0</v>
      </c>
      <c r="BA53" s="80">
        <f t="shared" ca="1" si="14"/>
        <v>0</v>
      </c>
      <c r="BB53" s="81">
        <f t="shared" ca="1" si="14"/>
        <v>0</v>
      </c>
      <c r="BD53" s="12" t="str">
        <f t="shared" si="9"/>
        <v>0x1062</v>
      </c>
      <c r="BE53" s="12" t="str">
        <f t="shared" ca="1" si="10"/>
        <v>0000000000000000</v>
      </c>
      <c r="BG53" s="53" t="str">
        <f t="shared" ca="1" si="11"/>
        <v>`define EE_PATCH_AREA5 24</v>
      </c>
    </row>
    <row r="54" spans="1:59">
      <c r="A54" s="82" t="s">
        <v>320</v>
      </c>
      <c r="B54" s="82">
        <v>100</v>
      </c>
      <c r="C54" s="82">
        <v>25</v>
      </c>
      <c r="D54" s="83">
        <f ca="1">SUMIF('NVRAM map'!$AF$3:$AF$319,A54,'NVRAM map'!$AN$3:$AN$319)</f>
        <v>0</v>
      </c>
      <c r="E54" s="84" t="str">
        <f t="shared" ca="1" si="0"/>
        <v>0000</v>
      </c>
      <c r="F54" s="85" t="str">
        <f t="shared" ca="1" si="12"/>
        <v>0000</v>
      </c>
      <c r="G54" s="86" t="str">
        <f ca="1">VLOOKUP(MemoryView!A54,'NVRAM map'!$AD$3:$AE$319,2,0)</f>
        <v>EE_PATCH_AREA6</v>
      </c>
      <c r="H54" s="87" t="str">
        <f t="array" aca="1" ref="H54" ca="1">IF(ISNA(INDEX('NVRAM map'!$AF$3:$AG$319,MATCH(1,('NVRAM map'!$AF$3:$AF$319=$A54)*('NVRAM map'!$AI$3:$AI$319&gt;=H$3)*('NVRAM map'!$AJ$3:$AJ$319&lt;=H$3),0),2)),"-",INDEX('NVRAM map'!$AF$3:$AG$319,MATCH(1,('NVRAM map'!$AF$3:$AF$319=$A54)*('NVRAM map'!$AI$3:$AI$319&gt;=H$3)*('NVRAM map'!$AJ$3:$AJ$319&lt;=H$3),0),2))</f>
        <v>PATCH_AREA6</v>
      </c>
      <c r="I54" s="87" t="str">
        <f t="array" aca="1" ref="I54" ca="1">IF(ISNA(INDEX('NVRAM map'!$AF$3:$AG$319,MATCH(1,('NVRAM map'!$AF$3:$AF$319=$A54)*('NVRAM map'!$AI$3:$AI$319&gt;=I$3)*('NVRAM map'!$AJ$3:$AJ$319&lt;=I$3),0),2)),"-",INDEX('NVRAM map'!$AF$3:$AG$319,MATCH(1,('NVRAM map'!$AF$3:$AF$319=$A54)*('NVRAM map'!$AI$3:$AI$319&gt;=I$3)*('NVRAM map'!$AJ$3:$AJ$319&lt;=I$3),0),2))</f>
        <v>PATCH_AREA6</v>
      </c>
      <c r="J54" s="87" t="str">
        <f t="array" aca="1" ref="J54" ca="1">IF(ISNA(INDEX('NVRAM map'!$AF$3:$AG$319,MATCH(1,('NVRAM map'!$AF$3:$AF$319=$A54)*('NVRAM map'!$AI$3:$AI$319&gt;=J$3)*('NVRAM map'!$AJ$3:$AJ$319&lt;=J$3),0),2)),"-",INDEX('NVRAM map'!$AF$3:$AG$319,MATCH(1,('NVRAM map'!$AF$3:$AF$319=$A54)*('NVRAM map'!$AI$3:$AI$319&gt;=J$3)*('NVRAM map'!$AJ$3:$AJ$319&lt;=J$3),0),2))</f>
        <v>PATCH_AREA6</v>
      </c>
      <c r="K54" s="87" t="str">
        <f t="array" aca="1" ref="K54" ca="1">IF(ISNA(INDEX('NVRAM map'!$AF$3:$AG$319,MATCH(1,('NVRAM map'!$AF$3:$AF$319=$A54)*('NVRAM map'!$AI$3:$AI$319&gt;=K$3)*('NVRAM map'!$AJ$3:$AJ$319&lt;=K$3),0),2)),"-",INDEX('NVRAM map'!$AF$3:$AG$319,MATCH(1,('NVRAM map'!$AF$3:$AF$319=$A54)*('NVRAM map'!$AI$3:$AI$319&gt;=K$3)*('NVRAM map'!$AJ$3:$AJ$319&lt;=K$3),0),2))</f>
        <v>PATCH_AREA6</v>
      </c>
      <c r="L54" s="87" t="str">
        <f t="array" aca="1" ref="L54" ca="1">IF(ISNA(INDEX('NVRAM map'!$AF$3:$AG$319,MATCH(1,('NVRAM map'!$AF$3:$AF$319=$A54)*('NVRAM map'!$AI$3:$AI$319&gt;=L$3)*('NVRAM map'!$AJ$3:$AJ$319&lt;=L$3),0),2)),"-",INDEX('NVRAM map'!$AF$3:$AG$319,MATCH(1,('NVRAM map'!$AF$3:$AF$319=$A54)*('NVRAM map'!$AI$3:$AI$319&gt;=L$3)*('NVRAM map'!$AJ$3:$AJ$319&lt;=L$3),0),2))</f>
        <v>PATCH_AREA6</v>
      </c>
      <c r="M54" s="87" t="str">
        <f t="array" aca="1" ref="M54" ca="1">IF(ISNA(INDEX('NVRAM map'!$AF$3:$AG$319,MATCH(1,('NVRAM map'!$AF$3:$AF$319=$A54)*('NVRAM map'!$AI$3:$AI$319&gt;=M$3)*('NVRAM map'!$AJ$3:$AJ$319&lt;=M$3),0),2)),"-",INDEX('NVRAM map'!$AF$3:$AG$319,MATCH(1,('NVRAM map'!$AF$3:$AF$319=$A54)*('NVRAM map'!$AI$3:$AI$319&gt;=M$3)*('NVRAM map'!$AJ$3:$AJ$319&lt;=M$3),0),2))</f>
        <v>PATCH_AREA6</v>
      </c>
      <c r="N54" s="87" t="str">
        <f t="array" aca="1" ref="N54" ca="1">IF(ISNA(INDEX('NVRAM map'!$AF$3:$AG$319,MATCH(1,('NVRAM map'!$AF$3:$AF$319=$A54)*('NVRAM map'!$AI$3:$AI$319&gt;=N$3)*('NVRAM map'!$AJ$3:$AJ$319&lt;=N$3),0),2)),"-",INDEX('NVRAM map'!$AF$3:$AG$319,MATCH(1,('NVRAM map'!$AF$3:$AF$319=$A54)*('NVRAM map'!$AI$3:$AI$319&gt;=N$3)*('NVRAM map'!$AJ$3:$AJ$319&lt;=N$3),0),2))</f>
        <v>PATCH_AREA6</v>
      </c>
      <c r="O54" s="87" t="str">
        <f t="array" aca="1" ref="O54" ca="1">IF(ISNA(INDEX('NVRAM map'!$AF$3:$AG$319,MATCH(1,('NVRAM map'!$AF$3:$AF$319=$A54)*('NVRAM map'!$AI$3:$AI$319&gt;=O$3)*('NVRAM map'!$AJ$3:$AJ$319&lt;=O$3),0),2)),"-",INDEX('NVRAM map'!$AF$3:$AG$319,MATCH(1,('NVRAM map'!$AF$3:$AF$319=$A54)*('NVRAM map'!$AI$3:$AI$319&gt;=O$3)*('NVRAM map'!$AJ$3:$AJ$319&lt;=O$3),0),2))</f>
        <v>PATCH_AREA6</v>
      </c>
      <c r="P54" s="87" t="str">
        <f t="array" aca="1" ref="P54" ca="1">IF(ISNA(INDEX('NVRAM map'!$AF$3:$AG$319,MATCH(1,('NVRAM map'!$AF$3:$AF$319=$A54)*('NVRAM map'!$AI$3:$AI$319&gt;=P$3)*('NVRAM map'!$AJ$3:$AJ$319&lt;=P$3),0),2)),"-",INDEX('NVRAM map'!$AF$3:$AG$319,MATCH(1,('NVRAM map'!$AF$3:$AF$319=$A54)*('NVRAM map'!$AI$3:$AI$319&gt;=P$3)*('NVRAM map'!$AJ$3:$AJ$319&lt;=P$3),0),2))</f>
        <v>PATCH_AREA6</v>
      </c>
      <c r="Q54" s="87" t="str">
        <f t="array" aca="1" ref="Q54" ca="1">IF(ISNA(INDEX('NVRAM map'!$AF$3:$AG$319,MATCH(1,('NVRAM map'!$AF$3:$AF$319=$A54)*('NVRAM map'!$AI$3:$AI$319&gt;=Q$3)*('NVRAM map'!$AJ$3:$AJ$319&lt;=Q$3),0),2)),"-",INDEX('NVRAM map'!$AF$3:$AG$319,MATCH(1,('NVRAM map'!$AF$3:$AF$319=$A54)*('NVRAM map'!$AI$3:$AI$319&gt;=Q$3)*('NVRAM map'!$AJ$3:$AJ$319&lt;=Q$3),0),2))</f>
        <v>PATCH_AREA6</v>
      </c>
      <c r="R54" s="87" t="str">
        <f t="array" aca="1" ref="R54" ca="1">IF(ISNA(INDEX('NVRAM map'!$AF$3:$AG$319,MATCH(1,('NVRAM map'!$AF$3:$AF$319=$A54)*('NVRAM map'!$AI$3:$AI$319&gt;=R$3)*('NVRAM map'!$AJ$3:$AJ$319&lt;=R$3),0),2)),"-",INDEX('NVRAM map'!$AF$3:$AG$319,MATCH(1,('NVRAM map'!$AF$3:$AF$319=$A54)*('NVRAM map'!$AI$3:$AI$319&gt;=R$3)*('NVRAM map'!$AJ$3:$AJ$319&lt;=R$3),0),2))</f>
        <v>PATCH_AREA6</v>
      </c>
      <c r="S54" s="87" t="str">
        <f t="array" aca="1" ref="S54" ca="1">IF(ISNA(INDEX('NVRAM map'!$AF$3:$AG$319,MATCH(1,('NVRAM map'!$AF$3:$AF$319=$A54)*('NVRAM map'!$AI$3:$AI$319&gt;=S$3)*('NVRAM map'!$AJ$3:$AJ$319&lt;=S$3),0),2)),"-",INDEX('NVRAM map'!$AF$3:$AG$319,MATCH(1,('NVRAM map'!$AF$3:$AF$319=$A54)*('NVRAM map'!$AI$3:$AI$319&gt;=S$3)*('NVRAM map'!$AJ$3:$AJ$319&lt;=S$3),0),2))</f>
        <v>PATCH_AREA6</v>
      </c>
      <c r="T54" s="87" t="str">
        <f t="array" aca="1" ref="T54" ca="1">IF(ISNA(INDEX('NVRAM map'!$AF$3:$AG$319,MATCH(1,('NVRAM map'!$AF$3:$AF$319=$A54)*('NVRAM map'!$AI$3:$AI$319&gt;=T$3)*('NVRAM map'!$AJ$3:$AJ$319&lt;=T$3),0),2)),"-",INDEX('NVRAM map'!$AF$3:$AG$319,MATCH(1,('NVRAM map'!$AF$3:$AF$319=$A54)*('NVRAM map'!$AI$3:$AI$319&gt;=T$3)*('NVRAM map'!$AJ$3:$AJ$319&lt;=T$3),0),2))</f>
        <v>PATCH_AREA6</v>
      </c>
      <c r="U54" s="87" t="str">
        <f t="array" aca="1" ref="U54" ca="1">IF(ISNA(INDEX('NVRAM map'!$AF$3:$AG$319,MATCH(1,('NVRAM map'!$AF$3:$AF$319=$A54)*('NVRAM map'!$AI$3:$AI$319&gt;=U$3)*('NVRAM map'!$AJ$3:$AJ$319&lt;=U$3),0),2)),"-",INDEX('NVRAM map'!$AF$3:$AG$319,MATCH(1,('NVRAM map'!$AF$3:$AF$319=$A54)*('NVRAM map'!$AI$3:$AI$319&gt;=U$3)*('NVRAM map'!$AJ$3:$AJ$319&lt;=U$3),0),2))</f>
        <v>PATCH_AREA6</v>
      </c>
      <c r="V54" s="87" t="str">
        <f t="array" aca="1" ref="V54" ca="1">IF(ISNA(INDEX('NVRAM map'!$AF$3:$AG$319,MATCH(1,('NVRAM map'!$AF$3:$AF$319=$A54)*('NVRAM map'!$AI$3:$AI$319&gt;=V$3)*('NVRAM map'!$AJ$3:$AJ$319&lt;=V$3),0),2)),"-",INDEX('NVRAM map'!$AF$3:$AG$319,MATCH(1,('NVRAM map'!$AF$3:$AF$319=$A54)*('NVRAM map'!$AI$3:$AI$319&gt;=V$3)*('NVRAM map'!$AJ$3:$AJ$319&lt;=V$3),0),2))</f>
        <v>PATCH_AREA6</v>
      </c>
      <c r="W54" s="87" t="str">
        <f t="array" aca="1" ref="W54" ca="1">IF(ISNA(INDEX('NVRAM map'!$AF$3:$AG$319,MATCH(1,('NVRAM map'!$AF$3:$AF$319=$A54)*('NVRAM map'!$AI$3:$AI$319&gt;=W$3)*('NVRAM map'!$AJ$3:$AJ$319&lt;=W$3),0),2)),"-",INDEX('NVRAM map'!$AF$3:$AG$319,MATCH(1,('NVRAM map'!$AF$3:$AF$319=$A54)*('NVRAM map'!$AI$3:$AI$319&gt;=W$3)*('NVRAM map'!$AJ$3:$AJ$319&lt;=W$3),0),2))</f>
        <v>PATCH_AREA6</v>
      </c>
      <c r="X54" s="88" t="str">
        <f ca="1">INDEX('NVRAM map'!$B$3:$B$319,MATCH(A54,'NVRAM map'!$E$3:$E$319,0))</f>
        <v>CUST</v>
      </c>
      <c r="AB54" s="44">
        <f t="shared" ca="1" si="2"/>
        <v>0</v>
      </c>
      <c r="AC54" s="12" t="b">
        <f ca="1">COUNTIF('NVRAM map'!$AD$3:$AE$319,A54)&lt;2</f>
        <v>1</v>
      </c>
      <c r="AD54" s="12">
        <f ca="1">SUMIF('NVRAM map'!$AF$3:$AF$319,A54,'NVRAM map'!$AK$3:$AK$319)</f>
        <v>65535</v>
      </c>
      <c r="AE54" s="12" t="str">
        <f t="shared" ca="1" si="3"/>
        <v>FFFF</v>
      </c>
      <c r="AF54" s="12" t="str">
        <f t="shared" ca="1" si="4"/>
        <v>11111111</v>
      </c>
      <c r="AG54" s="12" t="str">
        <f t="shared" ca="1" si="5"/>
        <v>11111111</v>
      </c>
      <c r="AH54" s="12">
        <f t="shared" ca="1" si="6"/>
        <v>16</v>
      </c>
      <c r="AI54" s="12">
        <f ca="1">SUMIF('NVRAM map'!$AF$3:$AF$319,A54,'NVRAM map'!$AH$3:$AH$319)</f>
        <v>16</v>
      </c>
      <c r="AJ54" s="12" t="b">
        <f t="shared" ca="1" si="7"/>
        <v>1</v>
      </c>
      <c r="AK54" s="12">
        <f ca="1">COUNTIF('NVRAM map'!$AF$3:$AF$319,A54)</f>
        <v>1</v>
      </c>
      <c r="AM54" s="89">
        <v>0</v>
      </c>
      <c r="AN54" s="80">
        <f t="shared" ca="1" si="14"/>
        <v>0</v>
      </c>
      <c r="AO54" s="80">
        <f t="shared" ca="1" si="14"/>
        <v>0</v>
      </c>
      <c r="AP54" s="80">
        <f t="shared" ca="1" si="14"/>
        <v>0</v>
      </c>
      <c r="AQ54" s="80">
        <f t="shared" ca="1" si="14"/>
        <v>0</v>
      </c>
      <c r="AR54" s="80">
        <f t="shared" ca="1" si="14"/>
        <v>0</v>
      </c>
      <c r="AS54" s="80">
        <f t="shared" ca="1" si="14"/>
        <v>0</v>
      </c>
      <c r="AT54" s="80">
        <f t="shared" ca="1" si="14"/>
        <v>0</v>
      </c>
      <c r="AU54" s="80">
        <f t="shared" ca="1" si="14"/>
        <v>0</v>
      </c>
      <c r="AV54" s="80">
        <f t="shared" ca="1" si="14"/>
        <v>0</v>
      </c>
      <c r="AW54" s="80">
        <f t="shared" ca="1" si="14"/>
        <v>0</v>
      </c>
      <c r="AX54" s="80">
        <f t="shared" ca="1" si="14"/>
        <v>0</v>
      </c>
      <c r="AY54" s="80">
        <f t="shared" ca="1" si="14"/>
        <v>0</v>
      </c>
      <c r="AZ54" s="80">
        <f t="shared" ca="1" si="14"/>
        <v>0</v>
      </c>
      <c r="BA54" s="80">
        <f t="shared" ca="1" si="14"/>
        <v>0</v>
      </c>
      <c r="BB54" s="81">
        <f t="shared" ca="1" si="14"/>
        <v>0</v>
      </c>
      <c r="BD54" s="12" t="str">
        <f t="shared" si="9"/>
        <v>0x1064</v>
      </c>
      <c r="BE54" s="12" t="str">
        <f t="shared" ca="1" si="10"/>
        <v>0000000000000000</v>
      </c>
      <c r="BG54" s="53" t="str">
        <f t="shared" ca="1" si="11"/>
        <v>`define EE_PATCH_AREA6 25</v>
      </c>
    </row>
    <row r="55" spans="1:59">
      <c r="A55" s="82" t="s">
        <v>321</v>
      </c>
      <c r="B55" s="82">
        <v>102</v>
      </c>
      <c r="C55" s="82">
        <v>25</v>
      </c>
      <c r="D55" s="83">
        <f ca="1">SUMIF('NVRAM map'!$AF$3:$AF$319,A55,'NVRAM map'!$AN$3:$AN$319)</f>
        <v>9830</v>
      </c>
      <c r="E55" s="84" t="str">
        <f t="shared" ca="1" si="0"/>
        <v>2666</v>
      </c>
      <c r="F55" s="85" t="str">
        <f t="shared" ca="1" si="12"/>
        <v>2666</v>
      </c>
      <c r="G55" s="86" t="str">
        <f ca="1">VLOOKUP(MemoryView!A55,'NVRAM map'!$AD$3:$AE$319,2,0)</f>
        <v>EE_P0_2</v>
      </c>
      <c r="H55" s="87" t="str">
        <f t="array" aca="1" ref="H55" ca="1">IF(ISNA(INDEX('NVRAM map'!$AF$3:$AG$319,MATCH(1,('NVRAM map'!$AF$3:$AF$319=$A55)*('NVRAM map'!$AI$3:$AI$319&gt;=H$3)*('NVRAM map'!$AJ$3:$AJ$319&lt;=H$3),0),2)),"-",INDEX('NVRAM map'!$AF$3:$AG$319,MATCH(1,('NVRAM map'!$AF$3:$AF$319=$A55)*('NVRAM map'!$AI$3:$AI$319&gt;=H$3)*('NVRAM map'!$AJ$3:$AJ$319&lt;=H$3),0),2))</f>
        <v>P0_2</v>
      </c>
      <c r="I55" s="87" t="str">
        <f t="array" aca="1" ref="I55" ca="1">IF(ISNA(INDEX('NVRAM map'!$AF$3:$AG$319,MATCH(1,('NVRAM map'!$AF$3:$AF$319=$A55)*('NVRAM map'!$AI$3:$AI$319&gt;=I$3)*('NVRAM map'!$AJ$3:$AJ$319&lt;=I$3),0),2)),"-",INDEX('NVRAM map'!$AF$3:$AG$319,MATCH(1,('NVRAM map'!$AF$3:$AF$319=$A55)*('NVRAM map'!$AI$3:$AI$319&gt;=I$3)*('NVRAM map'!$AJ$3:$AJ$319&lt;=I$3),0),2))</f>
        <v>P0_2</v>
      </c>
      <c r="J55" s="87" t="str">
        <f t="array" aca="1" ref="J55" ca="1">IF(ISNA(INDEX('NVRAM map'!$AF$3:$AG$319,MATCH(1,('NVRAM map'!$AF$3:$AF$319=$A55)*('NVRAM map'!$AI$3:$AI$319&gt;=J$3)*('NVRAM map'!$AJ$3:$AJ$319&lt;=J$3),0),2)),"-",INDEX('NVRAM map'!$AF$3:$AG$319,MATCH(1,('NVRAM map'!$AF$3:$AF$319=$A55)*('NVRAM map'!$AI$3:$AI$319&gt;=J$3)*('NVRAM map'!$AJ$3:$AJ$319&lt;=J$3),0),2))</f>
        <v>P0_2</v>
      </c>
      <c r="K55" s="87" t="str">
        <f t="array" aca="1" ref="K55" ca="1">IF(ISNA(INDEX('NVRAM map'!$AF$3:$AG$319,MATCH(1,('NVRAM map'!$AF$3:$AF$319=$A55)*('NVRAM map'!$AI$3:$AI$319&gt;=K$3)*('NVRAM map'!$AJ$3:$AJ$319&lt;=K$3),0),2)),"-",INDEX('NVRAM map'!$AF$3:$AG$319,MATCH(1,('NVRAM map'!$AF$3:$AF$319=$A55)*('NVRAM map'!$AI$3:$AI$319&gt;=K$3)*('NVRAM map'!$AJ$3:$AJ$319&lt;=K$3),0),2))</f>
        <v>P0_2</v>
      </c>
      <c r="L55" s="87" t="str">
        <f t="array" aca="1" ref="L55" ca="1">IF(ISNA(INDEX('NVRAM map'!$AF$3:$AG$319,MATCH(1,('NVRAM map'!$AF$3:$AF$319=$A55)*('NVRAM map'!$AI$3:$AI$319&gt;=L$3)*('NVRAM map'!$AJ$3:$AJ$319&lt;=L$3),0),2)),"-",INDEX('NVRAM map'!$AF$3:$AG$319,MATCH(1,('NVRAM map'!$AF$3:$AF$319=$A55)*('NVRAM map'!$AI$3:$AI$319&gt;=L$3)*('NVRAM map'!$AJ$3:$AJ$319&lt;=L$3),0),2))</f>
        <v>P0_2</v>
      </c>
      <c r="M55" s="87" t="str">
        <f t="array" aca="1" ref="M55" ca="1">IF(ISNA(INDEX('NVRAM map'!$AF$3:$AG$319,MATCH(1,('NVRAM map'!$AF$3:$AF$319=$A55)*('NVRAM map'!$AI$3:$AI$319&gt;=M$3)*('NVRAM map'!$AJ$3:$AJ$319&lt;=M$3),0),2)),"-",INDEX('NVRAM map'!$AF$3:$AG$319,MATCH(1,('NVRAM map'!$AF$3:$AF$319=$A55)*('NVRAM map'!$AI$3:$AI$319&gt;=M$3)*('NVRAM map'!$AJ$3:$AJ$319&lt;=M$3),0),2))</f>
        <v>P0_2</v>
      </c>
      <c r="N55" s="87" t="str">
        <f t="array" aca="1" ref="N55" ca="1">IF(ISNA(INDEX('NVRAM map'!$AF$3:$AG$319,MATCH(1,('NVRAM map'!$AF$3:$AF$319=$A55)*('NVRAM map'!$AI$3:$AI$319&gt;=N$3)*('NVRAM map'!$AJ$3:$AJ$319&lt;=N$3),0),2)),"-",INDEX('NVRAM map'!$AF$3:$AG$319,MATCH(1,('NVRAM map'!$AF$3:$AF$319=$A55)*('NVRAM map'!$AI$3:$AI$319&gt;=N$3)*('NVRAM map'!$AJ$3:$AJ$319&lt;=N$3),0),2))</f>
        <v>P0_2</v>
      </c>
      <c r="O55" s="87" t="str">
        <f t="array" aca="1" ref="O55" ca="1">IF(ISNA(INDEX('NVRAM map'!$AF$3:$AG$319,MATCH(1,('NVRAM map'!$AF$3:$AF$319=$A55)*('NVRAM map'!$AI$3:$AI$319&gt;=O$3)*('NVRAM map'!$AJ$3:$AJ$319&lt;=O$3),0),2)),"-",INDEX('NVRAM map'!$AF$3:$AG$319,MATCH(1,('NVRAM map'!$AF$3:$AF$319=$A55)*('NVRAM map'!$AI$3:$AI$319&gt;=O$3)*('NVRAM map'!$AJ$3:$AJ$319&lt;=O$3),0),2))</f>
        <v>P0_2</v>
      </c>
      <c r="P55" s="87" t="str">
        <f t="array" aca="1" ref="P55" ca="1">IF(ISNA(INDEX('NVRAM map'!$AF$3:$AG$319,MATCH(1,('NVRAM map'!$AF$3:$AF$319=$A55)*('NVRAM map'!$AI$3:$AI$319&gt;=P$3)*('NVRAM map'!$AJ$3:$AJ$319&lt;=P$3),0),2)),"-",INDEX('NVRAM map'!$AF$3:$AG$319,MATCH(1,('NVRAM map'!$AF$3:$AF$319=$A55)*('NVRAM map'!$AI$3:$AI$319&gt;=P$3)*('NVRAM map'!$AJ$3:$AJ$319&lt;=P$3),0),2))</f>
        <v>P0_2</v>
      </c>
      <c r="Q55" s="87" t="str">
        <f t="array" aca="1" ref="Q55" ca="1">IF(ISNA(INDEX('NVRAM map'!$AF$3:$AG$319,MATCH(1,('NVRAM map'!$AF$3:$AF$319=$A55)*('NVRAM map'!$AI$3:$AI$319&gt;=Q$3)*('NVRAM map'!$AJ$3:$AJ$319&lt;=Q$3),0),2)),"-",INDEX('NVRAM map'!$AF$3:$AG$319,MATCH(1,('NVRAM map'!$AF$3:$AF$319=$A55)*('NVRAM map'!$AI$3:$AI$319&gt;=Q$3)*('NVRAM map'!$AJ$3:$AJ$319&lt;=Q$3),0),2))</f>
        <v>P0_2</v>
      </c>
      <c r="R55" s="87" t="str">
        <f t="array" aca="1" ref="R55" ca="1">IF(ISNA(INDEX('NVRAM map'!$AF$3:$AG$319,MATCH(1,('NVRAM map'!$AF$3:$AF$319=$A55)*('NVRAM map'!$AI$3:$AI$319&gt;=R$3)*('NVRAM map'!$AJ$3:$AJ$319&lt;=R$3),0),2)),"-",INDEX('NVRAM map'!$AF$3:$AG$319,MATCH(1,('NVRAM map'!$AF$3:$AF$319=$A55)*('NVRAM map'!$AI$3:$AI$319&gt;=R$3)*('NVRAM map'!$AJ$3:$AJ$319&lt;=R$3),0),2))</f>
        <v>P0_2</v>
      </c>
      <c r="S55" s="87" t="str">
        <f t="array" aca="1" ref="S55" ca="1">IF(ISNA(INDEX('NVRAM map'!$AF$3:$AG$319,MATCH(1,('NVRAM map'!$AF$3:$AF$319=$A55)*('NVRAM map'!$AI$3:$AI$319&gt;=S$3)*('NVRAM map'!$AJ$3:$AJ$319&lt;=S$3),0),2)),"-",INDEX('NVRAM map'!$AF$3:$AG$319,MATCH(1,('NVRAM map'!$AF$3:$AF$319=$A55)*('NVRAM map'!$AI$3:$AI$319&gt;=S$3)*('NVRAM map'!$AJ$3:$AJ$319&lt;=S$3),0),2))</f>
        <v>P0_2</v>
      </c>
      <c r="T55" s="87" t="str">
        <f t="array" aca="1" ref="T55" ca="1">IF(ISNA(INDEX('NVRAM map'!$AF$3:$AG$319,MATCH(1,('NVRAM map'!$AF$3:$AF$319=$A55)*('NVRAM map'!$AI$3:$AI$319&gt;=T$3)*('NVRAM map'!$AJ$3:$AJ$319&lt;=T$3),0),2)),"-",INDEX('NVRAM map'!$AF$3:$AG$319,MATCH(1,('NVRAM map'!$AF$3:$AF$319=$A55)*('NVRAM map'!$AI$3:$AI$319&gt;=T$3)*('NVRAM map'!$AJ$3:$AJ$319&lt;=T$3),0),2))</f>
        <v>P0_2</v>
      </c>
      <c r="U55" s="87" t="str">
        <f t="array" aca="1" ref="U55" ca="1">IF(ISNA(INDEX('NVRAM map'!$AF$3:$AG$319,MATCH(1,('NVRAM map'!$AF$3:$AF$319=$A55)*('NVRAM map'!$AI$3:$AI$319&gt;=U$3)*('NVRAM map'!$AJ$3:$AJ$319&lt;=U$3),0),2)),"-",INDEX('NVRAM map'!$AF$3:$AG$319,MATCH(1,('NVRAM map'!$AF$3:$AF$319=$A55)*('NVRAM map'!$AI$3:$AI$319&gt;=U$3)*('NVRAM map'!$AJ$3:$AJ$319&lt;=U$3),0),2))</f>
        <v>P0_2</v>
      </c>
      <c r="V55" s="87" t="str">
        <f t="array" aca="1" ref="V55" ca="1">IF(ISNA(INDEX('NVRAM map'!$AF$3:$AG$319,MATCH(1,('NVRAM map'!$AF$3:$AF$319=$A55)*('NVRAM map'!$AI$3:$AI$319&gt;=V$3)*('NVRAM map'!$AJ$3:$AJ$319&lt;=V$3),0),2)),"-",INDEX('NVRAM map'!$AF$3:$AG$319,MATCH(1,('NVRAM map'!$AF$3:$AF$319=$A55)*('NVRAM map'!$AI$3:$AI$319&gt;=V$3)*('NVRAM map'!$AJ$3:$AJ$319&lt;=V$3),0),2))</f>
        <v>P0_2</v>
      </c>
      <c r="W55" s="87" t="str">
        <f t="array" aca="1" ref="W55" ca="1">IF(ISNA(INDEX('NVRAM map'!$AF$3:$AG$319,MATCH(1,('NVRAM map'!$AF$3:$AF$319=$A55)*('NVRAM map'!$AI$3:$AI$319&gt;=W$3)*('NVRAM map'!$AJ$3:$AJ$319&lt;=W$3),0),2)),"-",INDEX('NVRAM map'!$AF$3:$AG$319,MATCH(1,('NVRAM map'!$AF$3:$AF$319=$A55)*('NVRAM map'!$AI$3:$AI$319&gt;=W$3)*('NVRAM map'!$AJ$3:$AJ$319&lt;=W$3),0),2))</f>
        <v>P0_2</v>
      </c>
      <c r="X55" s="88" t="str">
        <f ca="1">INDEX('NVRAM map'!$B$3:$B$319,MATCH(A55,'NVRAM map'!$E$3:$E$319,0))</f>
        <v>CUST</v>
      </c>
      <c r="AB55" s="44">
        <f t="shared" ca="1" si="2"/>
        <v>140</v>
      </c>
      <c r="AC55" s="12" t="b">
        <f ca="1">COUNTIF('NVRAM map'!$AD$3:$AE$319,A55)&lt;2</f>
        <v>1</v>
      </c>
      <c r="AD55" s="12">
        <f ca="1">SUMIF('NVRAM map'!$AF$3:$AF$319,A55,'NVRAM map'!$AK$3:$AK$319)</f>
        <v>65535</v>
      </c>
      <c r="AE55" s="12" t="str">
        <f t="shared" ca="1" si="3"/>
        <v>FFFF</v>
      </c>
      <c r="AF55" s="12" t="str">
        <f t="shared" ca="1" si="4"/>
        <v>11111111</v>
      </c>
      <c r="AG55" s="12" t="str">
        <f t="shared" ca="1" si="5"/>
        <v>11111111</v>
      </c>
      <c r="AH55" s="12">
        <f t="shared" ca="1" si="6"/>
        <v>16</v>
      </c>
      <c r="AI55" s="12">
        <f ca="1">SUMIF('NVRAM map'!$AF$3:$AF$319,A55,'NVRAM map'!$AH$3:$AH$319)</f>
        <v>16</v>
      </c>
      <c r="AJ55" s="12" t="b">
        <f t="shared" ca="1" si="7"/>
        <v>1</v>
      </c>
      <c r="AK55" s="12">
        <f ca="1">COUNTIF('NVRAM map'!$AF$3:$AF$319,A55)</f>
        <v>1</v>
      </c>
      <c r="AM55" s="89">
        <v>0</v>
      </c>
      <c r="AN55" s="80">
        <f t="shared" ref="AN55:BB71" ca="1" si="15">IF(I55=H55,AM55,IF(AM55=1,0,1))</f>
        <v>0</v>
      </c>
      <c r="AO55" s="80">
        <f t="shared" ca="1" si="15"/>
        <v>0</v>
      </c>
      <c r="AP55" s="80">
        <f t="shared" ca="1" si="15"/>
        <v>0</v>
      </c>
      <c r="AQ55" s="80">
        <f t="shared" ca="1" si="15"/>
        <v>0</v>
      </c>
      <c r="AR55" s="80">
        <f t="shared" ca="1" si="15"/>
        <v>0</v>
      </c>
      <c r="AS55" s="80">
        <f t="shared" ca="1" si="15"/>
        <v>0</v>
      </c>
      <c r="AT55" s="80">
        <f t="shared" ca="1" si="15"/>
        <v>0</v>
      </c>
      <c r="AU55" s="80">
        <f t="shared" ca="1" si="15"/>
        <v>0</v>
      </c>
      <c r="AV55" s="80">
        <f t="shared" ca="1" si="15"/>
        <v>0</v>
      </c>
      <c r="AW55" s="80">
        <f t="shared" ca="1" si="15"/>
        <v>0</v>
      </c>
      <c r="AX55" s="80">
        <f t="shared" ca="1" si="15"/>
        <v>0</v>
      </c>
      <c r="AY55" s="80">
        <f t="shared" ca="1" si="15"/>
        <v>0</v>
      </c>
      <c r="AZ55" s="80">
        <f t="shared" ca="1" si="15"/>
        <v>0</v>
      </c>
      <c r="BA55" s="80">
        <f t="shared" ca="1" si="15"/>
        <v>0</v>
      </c>
      <c r="BB55" s="81">
        <f t="shared" ca="1" si="15"/>
        <v>0</v>
      </c>
      <c r="BD55" s="12" t="str">
        <f t="shared" si="9"/>
        <v>0x1066</v>
      </c>
      <c r="BE55" s="12" t="str">
        <f t="shared" ca="1" si="10"/>
        <v>0010011001100110</v>
      </c>
      <c r="BG55" s="53" t="str">
        <f t="shared" ca="1" si="11"/>
        <v>`define EE_P0_2 25</v>
      </c>
    </row>
    <row r="56" spans="1:59">
      <c r="A56" s="82" t="s">
        <v>322</v>
      </c>
      <c r="B56" s="82">
        <v>104</v>
      </c>
      <c r="C56" s="82">
        <v>26</v>
      </c>
      <c r="D56" s="83">
        <f ca="1">SUMIF('NVRAM map'!$AF$3:$AF$319,A56,'NVRAM map'!$AN$3:$AN$319)</f>
        <v>8178</v>
      </c>
      <c r="E56" s="84" t="str">
        <f t="shared" ca="1" si="0"/>
        <v>1FF2</v>
      </c>
      <c r="F56" s="85" t="str">
        <f t="shared" ca="1" si="12"/>
        <v>1FF2</v>
      </c>
      <c r="G56" s="86" t="str">
        <f ca="1">VLOOKUP(MemoryView!A56,'NVRAM map'!$AD$3:$AE$319,2,0)</f>
        <v>EE_A0_2</v>
      </c>
      <c r="H56" s="87" t="str">
        <f t="array" aca="1" ref="H56" ca="1">IF(ISNA(INDEX('NVRAM map'!$AF$3:$AG$319,MATCH(1,('NVRAM map'!$AF$3:$AF$319=$A56)*('NVRAM map'!$AI$3:$AI$319&gt;=H$3)*('NVRAM map'!$AJ$3:$AJ$319&lt;=H$3),0),2)),"-",INDEX('NVRAM map'!$AF$3:$AG$319,MATCH(1,('NVRAM map'!$AF$3:$AF$319=$A56)*('NVRAM map'!$AI$3:$AI$319&gt;=H$3)*('NVRAM map'!$AJ$3:$AJ$319&lt;=H$3),0),2))</f>
        <v>A0_2</v>
      </c>
      <c r="I56" s="87" t="str">
        <f t="array" aca="1" ref="I56" ca="1">IF(ISNA(INDEX('NVRAM map'!$AF$3:$AG$319,MATCH(1,('NVRAM map'!$AF$3:$AF$319=$A56)*('NVRAM map'!$AI$3:$AI$319&gt;=I$3)*('NVRAM map'!$AJ$3:$AJ$319&lt;=I$3),0),2)),"-",INDEX('NVRAM map'!$AF$3:$AG$319,MATCH(1,('NVRAM map'!$AF$3:$AF$319=$A56)*('NVRAM map'!$AI$3:$AI$319&gt;=I$3)*('NVRAM map'!$AJ$3:$AJ$319&lt;=I$3),0),2))</f>
        <v>A0_2</v>
      </c>
      <c r="J56" s="87" t="str">
        <f t="array" aca="1" ref="J56" ca="1">IF(ISNA(INDEX('NVRAM map'!$AF$3:$AG$319,MATCH(1,('NVRAM map'!$AF$3:$AF$319=$A56)*('NVRAM map'!$AI$3:$AI$319&gt;=J$3)*('NVRAM map'!$AJ$3:$AJ$319&lt;=J$3),0),2)),"-",INDEX('NVRAM map'!$AF$3:$AG$319,MATCH(1,('NVRAM map'!$AF$3:$AF$319=$A56)*('NVRAM map'!$AI$3:$AI$319&gt;=J$3)*('NVRAM map'!$AJ$3:$AJ$319&lt;=J$3),0),2))</f>
        <v>A0_2</v>
      </c>
      <c r="K56" s="87" t="str">
        <f t="array" aca="1" ref="K56" ca="1">IF(ISNA(INDEX('NVRAM map'!$AF$3:$AG$319,MATCH(1,('NVRAM map'!$AF$3:$AF$319=$A56)*('NVRAM map'!$AI$3:$AI$319&gt;=K$3)*('NVRAM map'!$AJ$3:$AJ$319&lt;=K$3),0),2)),"-",INDEX('NVRAM map'!$AF$3:$AG$319,MATCH(1,('NVRAM map'!$AF$3:$AF$319=$A56)*('NVRAM map'!$AI$3:$AI$319&gt;=K$3)*('NVRAM map'!$AJ$3:$AJ$319&lt;=K$3),0),2))</f>
        <v>A0_2</v>
      </c>
      <c r="L56" s="87" t="str">
        <f t="array" aca="1" ref="L56" ca="1">IF(ISNA(INDEX('NVRAM map'!$AF$3:$AG$319,MATCH(1,('NVRAM map'!$AF$3:$AF$319=$A56)*('NVRAM map'!$AI$3:$AI$319&gt;=L$3)*('NVRAM map'!$AJ$3:$AJ$319&lt;=L$3),0),2)),"-",INDEX('NVRAM map'!$AF$3:$AG$319,MATCH(1,('NVRAM map'!$AF$3:$AF$319=$A56)*('NVRAM map'!$AI$3:$AI$319&gt;=L$3)*('NVRAM map'!$AJ$3:$AJ$319&lt;=L$3),0),2))</f>
        <v>A0_2</v>
      </c>
      <c r="M56" s="87" t="str">
        <f t="array" aca="1" ref="M56" ca="1">IF(ISNA(INDEX('NVRAM map'!$AF$3:$AG$319,MATCH(1,('NVRAM map'!$AF$3:$AF$319=$A56)*('NVRAM map'!$AI$3:$AI$319&gt;=M$3)*('NVRAM map'!$AJ$3:$AJ$319&lt;=M$3),0),2)),"-",INDEX('NVRAM map'!$AF$3:$AG$319,MATCH(1,('NVRAM map'!$AF$3:$AF$319=$A56)*('NVRAM map'!$AI$3:$AI$319&gt;=M$3)*('NVRAM map'!$AJ$3:$AJ$319&lt;=M$3),0),2))</f>
        <v>A0_2</v>
      </c>
      <c r="N56" s="87" t="str">
        <f t="array" aca="1" ref="N56" ca="1">IF(ISNA(INDEX('NVRAM map'!$AF$3:$AG$319,MATCH(1,('NVRAM map'!$AF$3:$AF$319=$A56)*('NVRAM map'!$AI$3:$AI$319&gt;=N$3)*('NVRAM map'!$AJ$3:$AJ$319&lt;=N$3),0),2)),"-",INDEX('NVRAM map'!$AF$3:$AG$319,MATCH(1,('NVRAM map'!$AF$3:$AF$319=$A56)*('NVRAM map'!$AI$3:$AI$319&gt;=N$3)*('NVRAM map'!$AJ$3:$AJ$319&lt;=N$3),0),2))</f>
        <v>A0_2</v>
      </c>
      <c r="O56" s="87" t="str">
        <f t="array" aca="1" ref="O56" ca="1">IF(ISNA(INDEX('NVRAM map'!$AF$3:$AG$319,MATCH(1,('NVRAM map'!$AF$3:$AF$319=$A56)*('NVRAM map'!$AI$3:$AI$319&gt;=O$3)*('NVRAM map'!$AJ$3:$AJ$319&lt;=O$3),0),2)),"-",INDEX('NVRAM map'!$AF$3:$AG$319,MATCH(1,('NVRAM map'!$AF$3:$AF$319=$A56)*('NVRAM map'!$AI$3:$AI$319&gt;=O$3)*('NVRAM map'!$AJ$3:$AJ$319&lt;=O$3),0),2))</f>
        <v>A0_2</v>
      </c>
      <c r="P56" s="87" t="str">
        <f t="array" aca="1" ref="P56" ca="1">IF(ISNA(INDEX('NVRAM map'!$AF$3:$AG$319,MATCH(1,('NVRAM map'!$AF$3:$AF$319=$A56)*('NVRAM map'!$AI$3:$AI$319&gt;=P$3)*('NVRAM map'!$AJ$3:$AJ$319&lt;=P$3),0),2)),"-",INDEX('NVRAM map'!$AF$3:$AG$319,MATCH(1,('NVRAM map'!$AF$3:$AF$319=$A56)*('NVRAM map'!$AI$3:$AI$319&gt;=P$3)*('NVRAM map'!$AJ$3:$AJ$319&lt;=P$3),0),2))</f>
        <v>A0_2</v>
      </c>
      <c r="Q56" s="87" t="str">
        <f t="array" aca="1" ref="Q56" ca="1">IF(ISNA(INDEX('NVRAM map'!$AF$3:$AG$319,MATCH(1,('NVRAM map'!$AF$3:$AF$319=$A56)*('NVRAM map'!$AI$3:$AI$319&gt;=Q$3)*('NVRAM map'!$AJ$3:$AJ$319&lt;=Q$3),0),2)),"-",INDEX('NVRAM map'!$AF$3:$AG$319,MATCH(1,('NVRAM map'!$AF$3:$AF$319=$A56)*('NVRAM map'!$AI$3:$AI$319&gt;=Q$3)*('NVRAM map'!$AJ$3:$AJ$319&lt;=Q$3),0),2))</f>
        <v>A0_2</v>
      </c>
      <c r="R56" s="87" t="str">
        <f t="array" aca="1" ref="R56" ca="1">IF(ISNA(INDEX('NVRAM map'!$AF$3:$AG$319,MATCH(1,('NVRAM map'!$AF$3:$AF$319=$A56)*('NVRAM map'!$AI$3:$AI$319&gt;=R$3)*('NVRAM map'!$AJ$3:$AJ$319&lt;=R$3),0),2)),"-",INDEX('NVRAM map'!$AF$3:$AG$319,MATCH(1,('NVRAM map'!$AF$3:$AF$319=$A56)*('NVRAM map'!$AI$3:$AI$319&gt;=R$3)*('NVRAM map'!$AJ$3:$AJ$319&lt;=R$3),0),2))</f>
        <v>A0_2</v>
      </c>
      <c r="S56" s="87" t="str">
        <f t="array" aca="1" ref="S56" ca="1">IF(ISNA(INDEX('NVRAM map'!$AF$3:$AG$319,MATCH(1,('NVRAM map'!$AF$3:$AF$319=$A56)*('NVRAM map'!$AI$3:$AI$319&gt;=S$3)*('NVRAM map'!$AJ$3:$AJ$319&lt;=S$3),0),2)),"-",INDEX('NVRAM map'!$AF$3:$AG$319,MATCH(1,('NVRAM map'!$AF$3:$AF$319=$A56)*('NVRAM map'!$AI$3:$AI$319&gt;=S$3)*('NVRAM map'!$AJ$3:$AJ$319&lt;=S$3),0),2))</f>
        <v>A0_2</v>
      </c>
      <c r="T56" s="87" t="str">
        <f t="array" aca="1" ref="T56" ca="1">IF(ISNA(INDEX('NVRAM map'!$AF$3:$AG$319,MATCH(1,('NVRAM map'!$AF$3:$AF$319=$A56)*('NVRAM map'!$AI$3:$AI$319&gt;=T$3)*('NVRAM map'!$AJ$3:$AJ$319&lt;=T$3),0),2)),"-",INDEX('NVRAM map'!$AF$3:$AG$319,MATCH(1,('NVRAM map'!$AF$3:$AF$319=$A56)*('NVRAM map'!$AI$3:$AI$319&gt;=T$3)*('NVRAM map'!$AJ$3:$AJ$319&lt;=T$3),0),2))</f>
        <v>A0_2</v>
      </c>
      <c r="U56" s="87" t="str">
        <f t="array" aca="1" ref="U56" ca="1">IF(ISNA(INDEX('NVRAM map'!$AF$3:$AG$319,MATCH(1,('NVRAM map'!$AF$3:$AF$319=$A56)*('NVRAM map'!$AI$3:$AI$319&gt;=U$3)*('NVRAM map'!$AJ$3:$AJ$319&lt;=U$3),0),2)),"-",INDEX('NVRAM map'!$AF$3:$AG$319,MATCH(1,('NVRAM map'!$AF$3:$AF$319=$A56)*('NVRAM map'!$AI$3:$AI$319&gt;=U$3)*('NVRAM map'!$AJ$3:$AJ$319&lt;=U$3),0),2))</f>
        <v>A0_2</v>
      </c>
      <c r="V56" s="87" t="str">
        <f t="array" aca="1" ref="V56" ca="1">IF(ISNA(INDEX('NVRAM map'!$AF$3:$AG$319,MATCH(1,('NVRAM map'!$AF$3:$AF$319=$A56)*('NVRAM map'!$AI$3:$AI$319&gt;=V$3)*('NVRAM map'!$AJ$3:$AJ$319&lt;=V$3),0),2)),"-",INDEX('NVRAM map'!$AF$3:$AG$319,MATCH(1,('NVRAM map'!$AF$3:$AF$319=$A56)*('NVRAM map'!$AI$3:$AI$319&gt;=V$3)*('NVRAM map'!$AJ$3:$AJ$319&lt;=V$3),0),2))</f>
        <v>A0_2</v>
      </c>
      <c r="W56" s="87" t="str">
        <f t="array" aca="1" ref="W56" ca="1">IF(ISNA(INDEX('NVRAM map'!$AF$3:$AG$319,MATCH(1,('NVRAM map'!$AF$3:$AF$319=$A56)*('NVRAM map'!$AI$3:$AI$319&gt;=W$3)*('NVRAM map'!$AJ$3:$AJ$319&lt;=W$3),0),2)),"-",INDEX('NVRAM map'!$AF$3:$AG$319,MATCH(1,('NVRAM map'!$AF$3:$AF$319=$A56)*('NVRAM map'!$AI$3:$AI$319&gt;=W$3)*('NVRAM map'!$AJ$3:$AJ$319&lt;=W$3),0),2))</f>
        <v>A0_2</v>
      </c>
      <c r="X56" s="88" t="str">
        <f ca="1">INDEX('NVRAM map'!$B$3:$B$319,MATCH(A56,'NVRAM map'!$E$3:$E$319,0))</f>
        <v>CUST</v>
      </c>
      <c r="AB56" s="44">
        <f t="shared" ca="1" si="2"/>
        <v>273</v>
      </c>
      <c r="AC56" s="12" t="b">
        <f ca="1">COUNTIF('NVRAM map'!$AD$3:$AE$319,A56)&lt;2</f>
        <v>1</v>
      </c>
      <c r="AD56" s="12">
        <f ca="1">SUMIF('NVRAM map'!$AF$3:$AF$319,A56,'NVRAM map'!$AK$3:$AK$319)</f>
        <v>65535</v>
      </c>
      <c r="AE56" s="12" t="str">
        <f t="shared" ca="1" si="3"/>
        <v>FFFF</v>
      </c>
      <c r="AF56" s="12" t="str">
        <f t="shared" ca="1" si="4"/>
        <v>11111111</v>
      </c>
      <c r="AG56" s="12" t="str">
        <f t="shared" ca="1" si="5"/>
        <v>11111111</v>
      </c>
      <c r="AH56" s="12">
        <f t="shared" ca="1" si="6"/>
        <v>16</v>
      </c>
      <c r="AI56" s="12">
        <f ca="1">SUMIF('NVRAM map'!$AF$3:$AF$319,A56,'NVRAM map'!$AH$3:$AH$319)</f>
        <v>16</v>
      </c>
      <c r="AJ56" s="12" t="b">
        <f t="shared" ca="1" si="7"/>
        <v>1</v>
      </c>
      <c r="AK56" s="12">
        <f ca="1">COUNTIF('NVRAM map'!$AF$3:$AF$319,A56)</f>
        <v>1</v>
      </c>
      <c r="AM56" s="89">
        <v>0</v>
      </c>
      <c r="AN56" s="80">
        <f t="shared" ca="1" si="15"/>
        <v>0</v>
      </c>
      <c r="AO56" s="80">
        <f t="shared" ca="1" si="15"/>
        <v>0</v>
      </c>
      <c r="AP56" s="80">
        <f t="shared" ca="1" si="15"/>
        <v>0</v>
      </c>
      <c r="AQ56" s="80">
        <f t="shared" ca="1" si="15"/>
        <v>0</v>
      </c>
      <c r="AR56" s="80">
        <f t="shared" ca="1" si="15"/>
        <v>0</v>
      </c>
      <c r="AS56" s="80">
        <f t="shared" ca="1" si="15"/>
        <v>0</v>
      </c>
      <c r="AT56" s="80">
        <f t="shared" ca="1" si="15"/>
        <v>0</v>
      </c>
      <c r="AU56" s="80">
        <f t="shared" ca="1" si="15"/>
        <v>0</v>
      </c>
      <c r="AV56" s="80">
        <f t="shared" ca="1" si="15"/>
        <v>0</v>
      </c>
      <c r="AW56" s="80">
        <f t="shared" ca="1" si="15"/>
        <v>0</v>
      </c>
      <c r="AX56" s="80">
        <f t="shared" ca="1" si="15"/>
        <v>0</v>
      </c>
      <c r="AY56" s="80">
        <f t="shared" ca="1" si="15"/>
        <v>0</v>
      </c>
      <c r="AZ56" s="80">
        <f t="shared" ca="1" si="15"/>
        <v>0</v>
      </c>
      <c r="BA56" s="80">
        <f t="shared" ca="1" si="15"/>
        <v>0</v>
      </c>
      <c r="BB56" s="81">
        <f t="shared" ca="1" si="15"/>
        <v>0</v>
      </c>
      <c r="BD56" s="12" t="str">
        <f t="shared" si="9"/>
        <v>0x1068</v>
      </c>
      <c r="BE56" s="12" t="str">
        <f t="shared" ca="1" si="10"/>
        <v>0001111111110010</v>
      </c>
      <c r="BG56" s="53" t="str">
        <f t="shared" ca="1" si="11"/>
        <v>`define EE_A0_2 26</v>
      </c>
    </row>
    <row r="57" spans="1:59">
      <c r="A57" s="82" t="s">
        <v>323</v>
      </c>
      <c r="B57" s="82">
        <v>106</v>
      </c>
      <c r="C57" s="82">
        <v>26</v>
      </c>
      <c r="D57" s="83">
        <f ca="1">SUMIF('NVRAM map'!$AF$3:$AF$319,A57,'NVRAM map'!$AN$3:$AN$319)</f>
        <v>62936</v>
      </c>
      <c r="E57" s="84" t="str">
        <f t="shared" ca="1" si="0"/>
        <v>F5D8</v>
      </c>
      <c r="F57" s="85" t="str">
        <f t="shared" ca="1" si="12"/>
        <v>F5D8</v>
      </c>
      <c r="G57" s="86" t="str">
        <f ca="1">VLOOKUP(MemoryView!A57,'NVRAM map'!$AD$3:$AE$319,2,0)</f>
        <v>EE_A1_2</v>
      </c>
      <c r="H57" s="87" t="str">
        <f t="array" aca="1" ref="H57" ca="1">IF(ISNA(INDEX('NVRAM map'!$AF$3:$AG$319,MATCH(1,('NVRAM map'!$AF$3:$AF$319=$A57)*('NVRAM map'!$AI$3:$AI$319&gt;=H$3)*('NVRAM map'!$AJ$3:$AJ$319&lt;=H$3),0),2)),"-",INDEX('NVRAM map'!$AF$3:$AG$319,MATCH(1,('NVRAM map'!$AF$3:$AF$319=$A57)*('NVRAM map'!$AI$3:$AI$319&gt;=H$3)*('NVRAM map'!$AJ$3:$AJ$319&lt;=H$3),0),2))</f>
        <v>A1_2</v>
      </c>
      <c r="I57" s="87" t="str">
        <f t="array" aca="1" ref="I57" ca="1">IF(ISNA(INDEX('NVRAM map'!$AF$3:$AG$319,MATCH(1,('NVRAM map'!$AF$3:$AF$319=$A57)*('NVRAM map'!$AI$3:$AI$319&gt;=I$3)*('NVRAM map'!$AJ$3:$AJ$319&lt;=I$3),0),2)),"-",INDEX('NVRAM map'!$AF$3:$AG$319,MATCH(1,('NVRAM map'!$AF$3:$AF$319=$A57)*('NVRAM map'!$AI$3:$AI$319&gt;=I$3)*('NVRAM map'!$AJ$3:$AJ$319&lt;=I$3),0),2))</f>
        <v>A1_2</v>
      </c>
      <c r="J57" s="87" t="str">
        <f t="array" aca="1" ref="J57" ca="1">IF(ISNA(INDEX('NVRAM map'!$AF$3:$AG$319,MATCH(1,('NVRAM map'!$AF$3:$AF$319=$A57)*('NVRAM map'!$AI$3:$AI$319&gt;=J$3)*('NVRAM map'!$AJ$3:$AJ$319&lt;=J$3),0),2)),"-",INDEX('NVRAM map'!$AF$3:$AG$319,MATCH(1,('NVRAM map'!$AF$3:$AF$319=$A57)*('NVRAM map'!$AI$3:$AI$319&gt;=J$3)*('NVRAM map'!$AJ$3:$AJ$319&lt;=J$3),0),2))</f>
        <v>A1_2</v>
      </c>
      <c r="K57" s="87" t="str">
        <f t="array" aca="1" ref="K57" ca="1">IF(ISNA(INDEX('NVRAM map'!$AF$3:$AG$319,MATCH(1,('NVRAM map'!$AF$3:$AF$319=$A57)*('NVRAM map'!$AI$3:$AI$319&gt;=K$3)*('NVRAM map'!$AJ$3:$AJ$319&lt;=K$3),0),2)),"-",INDEX('NVRAM map'!$AF$3:$AG$319,MATCH(1,('NVRAM map'!$AF$3:$AF$319=$A57)*('NVRAM map'!$AI$3:$AI$319&gt;=K$3)*('NVRAM map'!$AJ$3:$AJ$319&lt;=K$3),0),2))</f>
        <v>A1_2</v>
      </c>
      <c r="L57" s="87" t="str">
        <f t="array" aca="1" ref="L57" ca="1">IF(ISNA(INDEX('NVRAM map'!$AF$3:$AG$319,MATCH(1,('NVRAM map'!$AF$3:$AF$319=$A57)*('NVRAM map'!$AI$3:$AI$319&gt;=L$3)*('NVRAM map'!$AJ$3:$AJ$319&lt;=L$3),0),2)),"-",INDEX('NVRAM map'!$AF$3:$AG$319,MATCH(1,('NVRAM map'!$AF$3:$AF$319=$A57)*('NVRAM map'!$AI$3:$AI$319&gt;=L$3)*('NVRAM map'!$AJ$3:$AJ$319&lt;=L$3),0),2))</f>
        <v>A1_2</v>
      </c>
      <c r="M57" s="87" t="str">
        <f t="array" aca="1" ref="M57" ca="1">IF(ISNA(INDEX('NVRAM map'!$AF$3:$AG$319,MATCH(1,('NVRAM map'!$AF$3:$AF$319=$A57)*('NVRAM map'!$AI$3:$AI$319&gt;=M$3)*('NVRAM map'!$AJ$3:$AJ$319&lt;=M$3),0),2)),"-",INDEX('NVRAM map'!$AF$3:$AG$319,MATCH(1,('NVRAM map'!$AF$3:$AF$319=$A57)*('NVRAM map'!$AI$3:$AI$319&gt;=M$3)*('NVRAM map'!$AJ$3:$AJ$319&lt;=M$3),0),2))</f>
        <v>A1_2</v>
      </c>
      <c r="N57" s="87" t="str">
        <f t="array" aca="1" ref="N57" ca="1">IF(ISNA(INDEX('NVRAM map'!$AF$3:$AG$319,MATCH(1,('NVRAM map'!$AF$3:$AF$319=$A57)*('NVRAM map'!$AI$3:$AI$319&gt;=N$3)*('NVRAM map'!$AJ$3:$AJ$319&lt;=N$3),0),2)),"-",INDEX('NVRAM map'!$AF$3:$AG$319,MATCH(1,('NVRAM map'!$AF$3:$AF$319=$A57)*('NVRAM map'!$AI$3:$AI$319&gt;=N$3)*('NVRAM map'!$AJ$3:$AJ$319&lt;=N$3),0),2))</f>
        <v>A1_2</v>
      </c>
      <c r="O57" s="87" t="str">
        <f t="array" aca="1" ref="O57" ca="1">IF(ISNA(INDEX('NVRAM map'!$AF$3:$AG$319,MATCH(1,('NVRAM map'!$AF$3:$AF$319=$A57)*('NVRAM map'!$AI$3:$AI$319&gt;=O$3)*('NVRAM map'!$AJ$3:$AJ$319&lt;=O$3),0),2)),"-",INDEX('NVRAM map'!$AF$3:$AG$319,MATCH(1,('NVRAM map'!$AF$3:$AF$319=$A57)*('NVRAM map'!$AI$3:$AI$319&gt;=O$3)*('NVRAM map'!$AJ$3:$AJ$319&lt;=O$3),0),2))</f>
        <v>A1_2</v>
      </c>
      <c r="P57" s="87" t="str">
        <f t="array" aca="1" ref="P57" ca="1">IF(ISNA(INDEX('NVRAM map'!$AF$3:$AG$319,MATCH(1,('NVRAM map'!$AF$3:$AF$319=$A57)*('NVRAM map'!$AI$3:$AI$319&gt;=P$3)*('NVRAM map'!$AJ$3:$AJ$319&lt;=P$3),0),2)),"-",INDEX('NVRAM map'!$AF$3:$AG$319,MATCH(1,('NVRAM map'!$AF$3:$AF$319=$A57)*('NVRAM map'!$AI$3:$AI$319&gt;=P$3)*('NVRAM map'!$AJ$3:$AJ$319&lt;=P$3),0),2))</f>
        <v>A1_2</v>
      </c>
      <c r="Q57" s="87" t="str">
        <f t="array" aca="1" ref="Q57" ca="1">IF(ISNA(INDEX('NVRAM map'!$AF$3:$AG$319,MATCH(1,('NVRAM map'!$AF$3:$AF$319=$A57)*('NVRAM map'!$AI$3:$AI$319&gt;=Q$3)*('NVRAM map'!$AJ$3:$AJ$319&lt;=Q$3),0),2)),"-",INDEX('NVRAM map'!$AF$3:$AG$319,MATCH(1,('NVRAM map'!$AF$3:$AF$319=$A57)*('NVRAM map'!$AI$3:$AI$319&gt;=Q$3)*('NVRAM map'!$AJ$3:$AJ$319&lt;=Q$3),0),2))</f>
        <v>A1_2</v>
      </c>
      <c r="R57" s="87" t="str">
        <f t="array" aca="1" ref="R57" ca="1">IF(ISNA(INDEX('NVRAM map'!$AF$3:$AG$319,MATCH(1,('NVRAM map'!$AF$3:$AF$319=$A57)*('NVRAM map'!$AI$3:$AI$319&gt;=R$3)*('NVRAM map'!$AJ$3:$AJ$319&lt;=R$3),0),2)),"-",INDEX('NVRAM map'!$AF$3:$AG$319,MATCH(1,('NVRAM map'!$AF$3:$AF$319=$A57)*('NVRAM map'!$AI$3:$AI$319&gt;=R$3)*('NVRAM map'!$AJ$3:$AJ$319&lt;=R$3),0),2))</f>
        <v>A1_2</v>
      </c>
      <c r="S57" s="87" t="str">
        <f t="array" aca="1" ref="S57" ca="1">IF(ISNA(INDEX('NVRAM map'!$AF$3:$AG$319,MATCH(1,('NVRAM map'!$AF$3:$AF$319=$A57)*('NVRAM map'!$AI$3:$AI$319&gt;=S$3)*('NVRAM map'!$AJ$3:$AJ$319&lt;=S$3),0),2)),"-",INDEX('NVRAM map'!$AF$3:$AG$319,MATCH(1,('NVRAM map'!$AF$3:$AF$319=$A57)*('NVRAM map'!$AI$3:$AI$319&gt;=S$3)*('NVRAM map'!$AJ$3:$AJ$319&lt;=S$3),0),2))</f>
        <v>A1_2</v>
      </c>
      <c r="T57" s="87" t="str">
        <f t="array" aca="1" ref="T57" ca="1">IF(ISNA(INDEX('NVRAM map'!$AF$3:$AG$319,MATCH(1,('NVRAM map'!$AF$3:$AF$319=$A57)*('NVRAM map'!$AI$3:$AI$319&gt;=T$3)*('NVRAM map'!$AJ$3:$AJ$319&lt;=T$3),0),2)),"-",INDEX('NVRAM map'!$AF$3:$AG$319,MATCH(1,('NVRAM map'!$AF$3:$AF$319=$A57)*('NVRAM map'!$AI$3:$AI$319&gt;=T$3)*('NVRAM map'!$AJ$3:$AJ$319&lt;=T$3),0),2))</f>
        <v>A1_2</v>
      </c>
      <c r="U57" s="87" t="str">
        <f t="array" aca="1" ref="U57" ca="1">IF(ISNA(INDEX('NVRAM map'!$AF$3:$AG$319,MATCH(1,('NVRAM map'!$AF$3:$AF$319=$A57)*('NVRAM map'!$AI$3:$AI$319&gt;=U$3)*('NVRAM map'!$AJ$3:$AJ$319&lt;=U$3),0),2)),"-",INDEX('NVRAM map'!$AF$3:$AG$319,MATCH(1,('NVRAM map'!$AF$3:$AF$319=$A57)*('NVRAM map'!$AI$3:$AI$319&gt;=U$3)*('NVRAM map'!$AJ$3:$AJ$319&lt;=U$3),0),2))</f>
        <v>A1_2</v>
      </c>
      <c r="V57" s="87" t="str">
        <f t="array" aca="1" ref="V57" ca="1">IF(ISNA(INDEX('NVRAM map'!$AF$3:$AG$319,MATCH(1,('NVRAM map'!$AF$3:$AF$319=$A57)*('NVRAM map'!$AI$3:$AI$319&gt;=V$3)*('NVRAM map'!$AJ$3:$AJ$319&lt;=V$3),0),2)),"-",INDEX('NVRAM map'!$AF$3:$AG$319,MATCH(1,('NVRAM map'!$AF$3:$AF$319=$A57)*('NVRAM map'!$AI$3:$AI$319&gt;=V$3)*('NVRAM map'!$AJ$3:$AJ$319&lt;=V$3),0),2))</f>
        <v>A1_2</v>
      </c>
      <c r="W57" s="87" t="str">
        <f t="array" aca="1" ref="W57" ca="1">IF(ISNA(INDEX('NVRAM map'!$AF$3:$AG$319,MATCH(1,('NVRAM map'!$AF$3:$AF$319=$A57)*('NVRAM map'!$AI$3:$AI$319&gt;=W$3)*('NVRAM map'!$AJ$3:$AJ$319&lt;=W$3),0),2)),"-",INDEX('NVRAM map'!$AF$3:$AG$319,MATCH(1,('NVRAM map'!$AF$3:$AF$319=$A57)*('NVRAM map'!$AI$3:$AI$319&gt;=W$3)*('NVRAM map'!$AJ$3:$AJ$319&lt;=W$3),0),2))</f>
        <v>A1_2</v>
      </c>
      <c r="X57" s="88" t="str">
        <f ca="1">INDEX('NVRAM map'!$B$3:$B$319,MATCH(A57,'NVRAM map'!$E$3:$E$319,0))</f>
        <v>CUST</v>
      </c>
      <c r="AB57" s="44">
        <f t="shared" ca="1" si="2"/>
        <v>461</v>
      </c>
      <c r="AC57" s="12" t="b">
        <f ca="1">COUNTIF('NVRAM map'!$AD$3:$AE$319,A57)&lt;2</f>
        <v>1</v>
      </c>
      <c r="AD57" s="12">
        <f ca="1">SUMIF('NVRAM map'!$AF$3:$AF$319,A57,'NVRAM map'!$AK$3:$AK$319)</f>
        <v>65535</v>
      </c>
      <c r="AE57" s="12" t="str">
        <f t="shared" ca="1" si="3"/>
        <v>FFFF</v>
      </c>
      <c r="AF57" s="12" t="str">
        <f t="shared" ca="1" si="4"/>
        <v>11111111</v>
      </c>
      <c r="AG57" s="12" t="str">
        <f t="shared" ca="1" si="5"/>
        <v>11111111</v>
      </c>
      <c r="AH57" s="12">
        <f t="shared" ca="1" si="6"/>
        <v>16</v>
      </c>
      <c r="AI57" s="12">
        <f ca="1">SUMIF('NVRAM map'!$AF$3:$AF$319,A57,'NVRAM map'!$AH$3:$AH$319)</f>
        <v>16</v>
      </c>
      <c r="AJ57" s="12" t="b">
        <f t="shared" ca="1" si="7"/>
        <v>1</v>
      </c>
      <c r="AK57" s="12">
        <f ca="1">COUNTIF('NVRAM map'!$AF$3:$AF$319,A57)</f>
        <v>1</v>
      </c>
      <c r="AM57" s="89">
        <v>0</v>
      </c>
      <c r="AN57" s="80">
        <f t="shared" ca="1" si="15"/>
        <v>0</v>
      </c>
      <c r="AO57" s="80">
        <f t="shared" ca="1" si="15"/>
        <v>0</v>
      </c>
      <c r="AP57" s="80">
        <f t="shared" ca="1" si="15"/>
        <v>0</v>
      </c>
      <c r="AQ57" s="80">
        <f t="shared" ca="1" si="15"/>
        <v>0</v>
      </c>
      <c r="AR57" s="80">
        <f t="shared" ca="1" si="15"/>
        <v>0</v>
      </c>
      <c r="AS57" s="80">
        <f t="shared" ca="1" si="15"/>
        <v>0</v>
      </c>
      <c r="AT57" s="80">
        <f t="shared" ca="1" si="15"/>
        <v>0</v>
      </c>
      <c r="AU57" s="80">
        <f t="shared" ca="1" si="15"/>
        <v>0</v>
      </c>
      <c r="AV57" s="80">
        <f t="shared" ca="1" si="15"/>
        <v>0</v>
      </c>
      <c r="AW57" s="80">
        <f t="shared" ca="1" si="15"/>
        <v>0</v>
      </c>
      <c r="AX57" s="80">
        <f t="shared" ca="1" si="15"/>
        <v>0</v>
      </c>
      <c r="AY57" s="80">
        <f t="shared" ca="1" si="15"/>
        <v>0</v>
      </c>
      <c r="AZ57" s="80">
        <f t="shared" ca="1" si="15"/>
        <v>0</v>
      </c>
      <c r="BA57" s="80">
        <f t="shared" ca="1" si="15"/>
        <v>0</v>
      </c>
      <c r="BB57" s="81">
        <f t="shared" ca="1" si="15"/>
        <v>0</v>
      </c>
      <c r="BD57" s="12" t="str">
        <f t="shared" si="9"/>
        <v>0x106A</v>
      </c>
      <c r="BE57" s="12" t="str">
        <f t="shared" ca="1" si="10"/>
        <v>1111010111011000</v>
      </c>
      <c r="BG57" s="53" t="str">
        <f t="shared" ca="1" si="11"/>
        <v>`define EE_A1_2 26</v>
      </c>
    </row>
    <row r="58" spans="1:59">
      <c r="A58" s="82" t="s">
        <v>324</v>
      </c>
      <c r="B58" s="82">
        <v>108</v>
      </c>
      <c r="C58" s="82">
        <v>27</v>
      </c>
      <c r="D58" s="83">
        <f ca="1">SUMIF('NVRAM map'!$AF$3:$AF$319,A58,'NVRAM map'!$AN$3:$AN$319)</f>
        <v>64955</v>
      </c>
      <c r="E58" s="84" t="str">
        <f t="shared" ca="1" si="0"/>
        <v>FDBB</v>
      </c>
      <c r="F58" s="85" t="str">
        <f t="shared" ca="1" si="12"/>
        <v>FDBB</v>
      </c>
      <c r="G58" s="86" t="str">
        <f ca="1">VLOOKUP(MemoryView!A58,'NVRAM map'!$AD$3:$AE$319,2,0)</f>
        <v>EE_A2_2</v>
      </c>
      <c r="H58" s="87" t="str">
        <f t="array" aca="1" ref="H58" ca="1">IF(ISNA(INDEX('NVRAM map'!$AF$3:$AG$319,MATCH(1,('NVRAM map'!$AF$3:$AF$319=$A58)*('NVRAM map'!$AI$3:$AI$319&gt;=H$3)*('NVRAM map'!$AJ$3:$AJ$319&lt;=H$3),0),2)),"-",INDEX('NVRAM map'!$AF$3:$AG$319,MATCH(1,('NVRAM map'!$AF$3:$AF$319=$A58)*('NVRAM map'!$AI$3:$AI$319&gt;=H$3)*('NVRAM map'!$AJ$3:$AJ$319&lt;=H$3),0),2))</f>
        <v>A2_2</v>
      </c>
      <c r="I58" s="87" t="str">
        <f t="array" aca="1" ref="I58" ca="1">IF(ISNA(INDEX('NVRAM map'!$AF$3:$AG$319,MATCH(1,('NVRAM map'!$AF$3:$AF$319=$A58)*('NVRAM map'!$AI$3:$AI$319&gt;=I$3)*('NVRAM map'!$AJ$3:$AJ$319&lt;=I$3),0),2)),"-",INDEX('NVRAM map'!$AF$3:$AG$319,MATCH(1,('NVRAM map'!$AF$3:$AF$319=$A58)*('NVRAM map'!$AI$3:$AI$319&gt;=I$3)*('NVRAM map'!$AJ$3:$AJ$319&lt;=I$3),0),2))</f>
        <v>A2_2</v>
      </c>
      <c r="J58" s="87" t="str">
        <f t="array" aca="1" ref="J58" ca="1">IF(ISNA(INDEX('NVRAM map'!$AF$3:$AG$319,MATCH(1,('NVRAM map'!$AF$3:$AF$319=$A58)*('NVRAM map'!$AI$3:$AI$319&gt;=J$3)*('NVRAM map'!$AJ$3:$AJ$319&lt;=J$3),0),2)),"-",INDEX('NVRAM map'!$AF$3:$AG$319,MATCH(1,('NVRAM map'!$AF$3:$AF$319=$A58)*('NVRAM map'!$AI$3:$AI$319&gt;=J$3)*('NVRAM map'!$AJ$3:$AJ$319&lt;=J$3),0),2))</f>
        <v>A2_2</v>
      </c>
      <c r="K58" s="87" t="str">
        <f t="array" aca="1" ref="K58" ca="1">IF(ISNA(INDEX('NVRAM map'!$AF$3:$AG$319,MATCH(1,('NVRAM map'!$AF$3:$AF$319=$A58)*('NVRAM map'!$AI$3:$AI$319&gt;=K$3)*('NVRAM map'!$AJ$3:$AJ$319&lt;=K$3),0),2)),"-",INDEX('NVRAM map'!$AF$3:$AG$319,MATCH(1,('NVRAM map'!$AF$3:$AF$319=$A58)*('NVRAM map'!$AI$3:$AI$319&gt;=K$3)*('NVRAM map'!$AJ$3:$AJ$319&lt;=K$3),0),2))</f>
        <v>A2_2</v>
      </c>
      <c r="L58" s="87" t="str">
        <f t="array" aca="1" ref="L58" ca="1">IF(ISNA(INDEX('NVRAM map'!$AF$3:$AG$319,MATCH(1,('NVRAM map'!$AF$3:$AF$319=$A58)*('NVRAM map'!$AI$3:$AI$319&gt;=L$3)*('NVRAM map'!$AJ$3:$AJ$319&lt;=L$3),0),2)),"-",INDEX('NVRAM map'!$AF$3:$AG$319,MATCH(1,('NVRAM map'!$AF$3:$AF$319=$A58)*('NVRAM map'!$AI$3:$AI$319&gt;=L$3)*('NVRAM map'!$AJ$3:$AJ$319&lt;=L$3),0),2))</f>
        <v>A2_2</v>
      </c>
      <c r="M58" s="87" t="str">
        <f t="array" aca="1" ref="M58" ca="1">IF(ISNA(INDEX('NVRAM map'!$AF$3:$AG$319,MATCH(1,('NVRAM map'!$AF$3:$AF$319=$A58)*('NVRAM map'!$AI$3:$AI$319&gt;=M$3)*('NVRAM map'!$AJ$3:$AJ$319&lt;=M$3),0),2)),"-",INDEX('NVRAM map'!$AF$3:$AG$319,MATCH(1,('NVRAM map'!$AF$3:$AF$319=$A58)*('NVRAM map'!$AI$3:$AI$319&gt;=M$3)*('NVRAM map'!$AJ$3:$AJ$319&lt;=M$3),0),2))</f>
        <v>A2_2</v>
      </c>
      <c r="N58" s="87" t="str">
        <f t="array" aca="1" ref="N58" ca="1">IF(ISNA(INDEX('NVRAM map'!$AF$3:$AG$319,MATCH(1,('NVRAM map'!$AF$3:$AF$319=$A58)*('NVRAM map'!$AI$3:$AI$319&gt;=N$3)*('NVRAM map'!$AJ$3:$AJ$319&lt;=N$3),0),2)),"-",INDEX('NVRAM map'!$AF$3:$AG$319,MATCH(1,('NVRAM map'!$AF$3:$AF$319=$A58)*('NVRAM map'!$AI$3:$AI$319&gt;=N$3)*('NVRAM map'!$AJ$3:$AJ$319&lt;=N$3),0),2))</f>
        <v>A2_2</v>
      </c>
      <c r="O58" s="87" t="str">
        <f t="array" aca="1" ref="O58" ca="1">IF(ISNA(INDEX('NVRAM map'!$AF$3:$AG$319,MATCH(1,('NVRAM map'!$AF$3:$AF$319=$A58)*('NVRAM map'!$AI$3:$AI$319&gt;=O$3)*('NVRAM map'!$AJ$3:$AJ$319&lt;=O$3),0),2)),"-",INDEX('NVRAM map'!$AF$3:$AG$319,MATCH(1,('NVRAM map'!$AF$3:$AF$319=$A58)*('NVRAM map'!$AI$3:$AI$319&gt;=O$3)*('NVRAM map'!$AJ$3:$AJ$319&lt;=O$3),0),2))</f>
        <v>A2_2</v>
      </c>
      <c r="P58" s="87" t="str">
        <f t="array" aca="1" ref="P58" ca="1">IF(ISNA(INDEX('NVRAM map'!$AF$3:$AG$319,MATCH(1,('NVRAM map'!$AF$3:$AF$319=$A58)*('NVRAM map'!$AI$3:$AI$319&gt;=P$3)*('NVRAM map'!$AJ$3:$AJ$319&lt;=P$3),0),2)),"-",INDEX('NVRAM map'!$AF$3:$AG$319,MATCH(1,('NVRAM map'!$AF$3:$AF$319=$A58)*('NVRAM map'!$AI$3:$AI$319&gt;=P$3)*('NVRAM map'!$AJ$3:$AJ$319&lt;=P$3),0),2))</f>
        <v>A2_2</v>
      </c>
      <c r="Q58" s="87" t="str">
        <f t="array" aca="1" ref="Q58" ca="1">IF(ISNA(INDEX('NVRAM map'!$AF$3:$AG$319,MATCH(1,('NVRAM map'!$AF$3:$AF$319=$A58)*('NVRAM map'!$AI$3:$AI$319&gt;=Q$3)*('NVRAM map'!$AJ$3:$AJ$319&lt;=Q$3),0),2)),"-",INDEX('NVRAM map'!$AF$3:$AG$319,MATCH(1,('NVRAM map'!$AF$3:$AF$319=$A58)*('NVRAM map'!$AI$3:$AI$319&gt;=Q$3)*('NVRAM map'!$AJ$3:$AJ$319&lt;=Q$3),0),2))</f>
        <v>A2_2</v>
      </c>
      <c r="R58" s="87" t="str">
        <f t="array" aca="1" ref="R58" ca="1">IF(ISNA(INDEX('NVRAM map'!$AF$3:$AG$319,MATCH(1,('NVRAM map'!$AF$3:$AF$319=$A58)*('NVRAM map'!$AI$3:$AI$319&gt;=R$3)*('NVRAM map'!$AJ$3:$AJ$319&lt;=R$3),0),2)),"-",INDEX('NVRAM map'!$AF$3:$AG$319,MATCH(1,('NVRAM map'!$AF$3:$AF$319=$A58)*('NVRAM map'!$AI$3:$AI$319&gt;=R$3)*('NVRAM map'!$AJ$3:$AJ$319&lt;=R$3),0),2))</f>
        <v>A2_2</v>
      </c>
      <c r="S58" s="87" t="str">
        <f t="array" aca="1" ref="S58" ca="1">IF(ISNA(INDEX('NVRAM map'!$AF$3:$AG$319,MATCH(1,('NVRAM map'!$AF$3:$AF$319=$A58)*('NVRAM map'!$AI$3:$AI$319&gt;=S$3)*('NVRAM map'!$AJ$3:$AJ$319&lt;=S$3),0),2)),"-",INDEX('NVRAM map'!$AF$3:$AG$319,MATCH(1,('NVRAM map'!$AF$3:$AF$319=$A58)*('NVRAM map'!$AI$3:$AI$319&gt;=S$3)*('NVRAM map'!$AJ$3:$AJ$319&lt;=S$3),0),2))</f>
        <v>A2_2</v>
      </c>
      <c r="T58" s="87" t="str">
        <f t="array" aca="1" ref="T58" ca="1">IF(ISNA(INDEX('NVRAM map'!$AF$3:$AG$319,MATCH(1,('NVRAM map'!$AF$3:$AF$319=$A58)*('NVRAM map'!$AI$3:$AI$319&gt;=T$3)*('NVRAM map'!$AJ$3:$AJ$319&lt;=T$3),0),2)),"-",INDEX('NVRAM map'!$AF$3:$AG$319,MATCH(1,('NVRAM map'!$AF$3:$AF$319=$A58)*('NVRAM map'!$AI$3:$AI$319&gt;=T$3)*('NVRAM map'!$AJ$3:$AJ$319&lt;=T$3),0),2))</f>
        <v>A2_2</v>
      </c>
      <c r="U58" s="87" t="str">
        <f t="array" aca="1" ref="U58" ca="1">IF(ISNA(INDEX('NVRAM map'!$AF$3:$AG$319,MATCH(1,('NVRAM map'!$AF$3:$AF$319=$A58)*('NVRAM map'!$AI$3:$AI$319&gt;=U$3)*('NVRAM map'!$AJ$3:$AJ$319&lt;=U$3),0),2)),"-",INDEX('NVRAM map'!$AF$3:$AG$319,MATCH(1,('NVRAM map'!$AF$3:$AF$319=$A58)*('NVRAM map'!$AI$3:$AI$319&gt;=U$3)*('NVRAM map'!$AJ$3:$AJ$319&lt;=U$3),0),2))</f>
        <v>A2_2</v>
      </c>
      <c r="V58" s="87" t="str">
        <f t="array" aca="1" ref="V58" ca="1">IF(ISNA(INDEX('NVRAM map'!$AF$3:$AG$319,MATCH(1,('NVRAM map'!$AF$3:$AF$319=$A58)*('NVRAM map'!$AI$3:$AI$319&gt;=V$3)*('NVRAM map'!$AJ$3:$AJ$319&lt;=V$3),0),2)),"-",INDEX('NVRAM map'!$AF$3:$AG$319,MATCH(1,('NVRAM map'!$AF$3:$AF$319=$A58)*('NVRAM map'!$AI$3:$AI$319&gt;=V$3)*('NVRAM map'!$AJ$3:$AJ$319&lt;=V$3),0),2))</f>
        <v>A2_2</v>
      </c>
      <c r="W58" s="87" t="str">
        <f t="array" aca="1" ref="W58" ca="1">IF(ISNA(INDEX('NVRAM map'!$AF$3:$AG$319,MATCH(1,('NVRAM map'!$AF$3:$AF$319=$A58)*('NVRAM map'!$AI$3:$AI$319&gt;=W$3)*('NVRAM map'!$AJ$3:$AJ$319&lt;=W$3),0),2)),"-",INDEX('NVRAM map'!$AF$3:$AG$319,MATCH(1,('NVRAM map'!$AF$3:$AF$319=$A58)*('NVRAM map'!$AI$3:$AI$319&gt;=W$3)*('NVRAM map'!$AJ$3:$AJ$319&lt;=W$3),0),2))</f>
        <v>A2_2</v>
      </c>
      <c r="X58" s="88" t="str">
        <f ca="1">INDEX('NVRAM map'!$B$3:$B$319,MATCH(A58,'NVRAM map'!$E$3:$E$319,0))</f>
        <v>CUST</v>
      </c>
      <c r="AB58" s="44">
        <f t="shared" ca="1" si="2"/>
        <v>440</v>
      </c>
      <c r="AC58" s="12" t="b">
        <f ca="1">COUNTIF('NVRAM map'!$AD$3:$AE$319,A58)&lt;2</f>
        <v>1</v>
      </c>
      <c r="AD58" s="12">
        <f ca="1">SUMIF('NVRAM map'!$AF$3:$AF$319,A58,'NVRAM map'!$AK$3:$AK$319)</f>
        <v>65535</v>
      </c>
      <c r="AE58" s="12" t="str">
        <f t="shared" ca="1" si="3"/>
        <v>FFFF</v>
      </c>
      <c r="AF58" s="12" t="str">
        <f t="shared" ca="1" si="4"/>
        <v>11111111</v>
      </c>
      <c r="AG58" s="12" t="str">
        <f t="shared" ca="1" si="5"/>
        <v>11111111</v>
      </c>
      <c r="AH58" s="12">
        <f t="shared" ca="1" si="6"/>
        <v>16</v>
      </c>
      <c r="AI58" s="12">
        <f ca="1">SUMIF('NVRAM map'!$AF$3:$AF$319,A58,'NVRAM map'!$AH$3:$AH$319)</f>
        <v>16</v>
      </c>
      <c r="AJ58" s="12" t="b">
        <f t="shared" ca="1" si="7"/>
        <v>1</v>
      </c>
      <c r="AK58" s="12">
        <f ca="1">COUNTIF('NVRAM map'!$AF$3:$AF$319,A58)</f>
        <v>1</v>
      </c>
      <c r="AM58" s="89">
        <v>0</v>
      </c>
      <c r="AN58" s="80">
        <f t="shared" ca="1" si="15"/>
        <v>0</v>
      </c>
      <c r="AO58" s="80">
        <f t="shared" ca="1" si="15"/>
        <v>0</v>
      </c>
      <c r="AP58" s="80">
        <f t="shared" ca="1" si="15"/>
        <v>0</v>
      </c>
      <c r="AQ58" s="80">
        <f t="shared" ca="1" si="15"/>
        <v>0</v>
      </c>
      <c r="AR58" s="80">
        <f t="shared" ca="1" si="15"/>
        <v>0</v>
      </c>
      <c r="AS58" s="80">
        <f t="shared" ca="1" si="15"/>
        <v>0</v>
      </c>
      <c r="AT58" s="80">
        <f t="shared" ca="1" si="15"/>
        <v>0</v>
      </c>
      <c r="AU58" s="80">
        <f t="shared" ca="1" si="15"/>
        <v>0</v>
      </c>
      <c r="AV58" s="80">
        <f t="shared" ca="1" si="15"/>
        <v>0</v>
      </c>
      <c r="AW58" s="80">
        <f t="shared" ca="1" si="15"/>
        <v>0</v>
      </c>
      <c r="AX58" s="80">
        <f t="shared" ca="1" si="15"/>
        <v>0</v>
      </c>
      <c r="AY58" s="80">
        <f t="shared" ca="1" si="15"/>
        <v>0</v>
      </c>
      <c r="AZ58" s="80">
        <f t="shared" ca="1" si="15"/>
        <v>0</v>
      </c>
      <c r="BA58" s="80">
        <f t="shared" ca="1" si="15"/>
        <v>0</v>
      </c>
      <c r="BB58" s="81">
        <f t="shared" ca="1" si="15"/>
        <v>0</v>
      </c>
      <c r="BD58" s="12" t="str">
        <f t="shared" si="9"/>
        <v>0x106C</v>
      </c>
      <c r="BE58" s="12" t="str">
        <f t="shared" ca="1" si="10"/>
        <v>1111110110111011</v>
      </c>
      <c r="BG58" s="53" t="str">
        <f t="shared" ca="1" si="11"/>
        <v>`define EE_A2_2 27</v>
      </c>
    </row>
    <row r="59" spans="1:59">
      <c r="A59" s="82" t="s">
        <v>325</v>
      </c>
      <c r="B59" s="82">
        <v>110</v>
      </c>
      <c r="C59" s="82">
        <v>27</v>
      </c>
      <c r="D59" s="83">
        <f ca="1">SUMIF('NVRAM map'!$AF$3:$AF$319,A59,'NVRAM map'!$AN$3:$AN$319)</f>
        <v>1475</v>
      </c>
      <c r="E59" s="84" t="str">
        <f t="shared" ca="1" si="0"/>
        <v>05C3</v>
      </c>
      <c r="F59" s="85" t="str">
        <f t="shared" ca="1" si="12"/>
        <v>05C3</v>
      </c>
      <c r="G59" s="86" t="str">
        <f ca="1">VLOOKUP(MemoryView!A59,'NVRAM map'!$AD$3:$AE$319,2,0)</f>
        <v>EE_A3_2</v>
      </c>
      <c r="H59" s="87" t="str">
        <f t="array" aca="1" ref="H59" ca="1">IF(ISNA(INDEX('NVRAM map'!$AF$3:$AG$319,MATCH(1,('NVRAM map'!$AF$3:$AF$319=$A59)*('NVRAM map'!$AI$3:$AI$319&gt;=H$3)*('NVRAM map'!$AJ$3:$AJ$319&lt;=H$3),0),2)),"-",INDEX('NVRAM map'!$AF$3:$AG$319,MATCH(1,('NVRAM map'!$AF$3:$AF$319=$A59)*('NVRAM map'!$AI$3:$AI$319&gt;=H$3)*('NVRAM map'!$AJ$3:$AJ$319&lt;=H$3),0),2))</f>
        <v>A3_2</v>
      </c>
      <c r="I59" s="87" t="str">
        <f t="array" aca="1" ref="I59" ca="1">IF(ISNA(INDEX('NVRAM map'!$AF$3:$AG$319,MATCH(1,('NVRAM map'!$AF$3:$AF$319=$A59)*('NVRAM map'!$AI$3:$AI$319&gt;=I$3)*('NVRAM map'!$AJ$3:$AJ$319&lt;=I$3),0),2)),"-",INDEX('NVRAM map'!$AF$3:$AG$319,MATCH(1,('NVRAM map'!$AF$3:$AF$319=$A59)*('NVRAM map'!$AI$3:$AI$319&gt;=I$3)*('NVRAM map'!$AJ$3:$AJ$319&lt;=I$3),0),2))</f>
        <v>A3_2</v>
      </c>
      <c r="J59" s="87" t="str">
        <f t="array" aca="1" ref="J59" ca="1">IF(ISNA(INDEX('NVRAM map'!$AF$3:$AG$319,MATCH(1,('NVRAM map'!$AF$3:$AF$319=$A59)*('NVRAM map'!$AI$3:$AI$319&gt;=J$3)*('NVRAM map'!$AJ$3:$AJ$319&lt;=J$3),0),2)),"-",INDEX('NVRAM map'!$AF$3:$AG$319,MATCH(1,('NVRAM map'!$AF$3:$AF$319=$A59)*('NVRAM map'!$AI$3:$AI$319&gt;=J$3)*('NVRAM map'!$AJ$3:$AJ$319&lt;=J$3),0),2))</f>
        <v>A3_2</v>
      </c>
      <c r="K59" s="87" t="str">
        <f t="array" aca="1" ref="K59" ca="1">IF(ISNA(INDEX('NVRAM map'!$AF$3:$AG$319,MATCH(1,('NVRAM map'!$AF$3:$AF$319=$A59)*('NVRAM map'!$AI$3:$AI$319&gt;=K$3)*('NVRAM map'!$AJ$3:$AJ$319&lt;=K$3),0),2)),"-",INDEX('NVRAM map'!$AF$3:$AG$319,MATCH(1,('NVRAM map'!$AF$3:$AF$319=$A59)*('NVRAM map'!$AI$3:$AI$319&gt;=K$3)*('NVRAM map'!$AJ$3:$AJ$319&lt;=K$3),0),2))</f>
        <v>A3_2</v>
      </c>
      <c r="L59" s="87" t="str">
        <f t="array" aca="1" ref="L59" ca="1">IF(ISNA(INDEX('NVRAM map'!$AF$3:$AG$319,MATCH(1,('NVRAM map'!$AF$3:$AF$319=$A59)*('NVRAM map'!$AI$3:$AI$319&gt;=L$3)*('NVRAM map'!$AJ$3:$AJ$319&lt;=L$3),0),2)),"-",INDEX('NVRAM map'!$AF$3:$AG$319,MATCH(1,('NVRAM map'!$AF$3:$AF$319=$A59)*('NVRAM map'!$AI$3:$AI$319&gt;=L$3)*('NVRAM map'!$AJ$3:$AJ$319&lt;=L$3),0),2))</f>
        <v>A3_2</v>
      </c>
      <c r="M59" s="87" t="str">
        <f t="array" aca="1" ref="M59" ca="1">IF(ISNA(INDEX('NVRAM map'!$AF$3:$AG$319,MATCH(1,('NVRAM map'!$AF$3:$AF$319=$A59)*('NVRAM map'!$AI$3:$AI$319&gt;=M$3)*('NVRAM map'!$AJ$3:$AJ$319&lt;=M$3),0),2)),"-",INDEX('NVRAM map'!$AF$3:$AG$319,MATCH(1,('NVRAM map'!$AF$3:$AF$319=$A59)*('NVRAM map'!$AI$3:$AI$319&gt;=M$3)*('NVRAM map'!$AJ$3:$AJ$319&lt;=M$3),0),2))</f>
        <v>A3_2</v>
      </c>
      <c r="N59" s="87" t="str">
        <f t="array" aca="1" ref="N59" ca="1">IF(ISNA(INDEX('NVRAM map'!$AF$3:$AG$319,MATCH(1,('NVRAM map'!$AF$3:$AF$319=$A59)*('NVRAM map'!$AI$3:$AI$319&gt;=N$3)*('NVRAM map'!$AJ$3:$AJ$319&lt;=N$3),0),2)),"-",INDEX('NVRAM map'!$AF$3:$AG$319,MATCH(1,('NVRAM map'!$AF$3:$AF$319=$A59)*('NVRAM map'!$AI$3:$AI$319&gt;=N$3)*('NVRAM map'!$AJ$3:$AJ$319&lt;=N$3),0),2))</f>
        <v>A3_2</v>
      </c>
      <c r="O59" s="87" t="str">
        <f t="array" aca="1" ref="O59" ca="1">IF(ISNA(INDEX('NVRAM map'!$AF$3:$AG$319,MATCH(1,('NVRAM map'!$AF$3:$AF$319=$A59)*('NVRAM map'!$AI$3:$AI$319&gt;=O$3)*('NVRAM map'!$AJ$3:$AJ$319&lt;=O$3),0),2)),"-",INDEX('NVRAM map'!$AF$3:$AG$319,MATCH(1,('NVRAM map'!$AF$3:$AF$319=$A59)*('NVRAM map'!$AI$3:$AI$319&gt;=O$3)*('NVRAM map'!$AJ$3:$AJ$319&lt;=O$3),0),2))</f>
        <v>A3_2</v>
      </c>
      <c r="P59" s="87" t="str">
        <f t="array" aca="1" ref="P59" ca="1">IF(ISNA(INDEX('NVRAM map'!$AF$3:$AG$319,MATCH(1,('NVRAM map'!$AF$3:$AF$319=$A59)*('NVRAM map'!$AI$3:$AI$319&gt;=P$3)*('NVRAM map'!$AJ$3:$AJ$319&lt;=P$3),0),2)),"-",INDEX('NVRAM map'!$AF$3:$AG$319,MATCH(1,('NVRAM map'!$AF$3:$AF$319=$A59)*('NVRAM map'!$AI$3:$AI$319&gt;=P$3)*('NVRAM map'!$AJ$3:$AJ$319&lt;=P$3),0),2))</f>
        <v>A3_2</v>
      </c>
      <c r="Q59" s="87" t="str">
        <f t="array" aca="1" ref="Q59" ca="1">IF(ISNA(INDEX('NVRAM map'!$AF$3:$AG$319,MATCH(1,('NVRAM map'!$AF$3:$AF$319=$A59)*('NVRAM map'!$AI$3:$AI$319&gt;=Q$3)*('NVRAM map'!$AJ$3:$AJ$319&lt;=Q$3),0),2)),"-",INDEX('NVRAM map'!$AF$3:$AG$319,MATCH(1,('NVRAM map'!$AF$3:$AF$319=$A59)*('NVRAM map'!$AI$3:$AI$319&gt;=Q$3)*('NVRAM map'!$AJ$3:$AJ$319&lt;=Q$3),0),2))</f>
        <v>A3_2</v>
      </c>
      <c r="R59" s="87" t="str">
        <f t="array" aca="1" ref="R59" ca="1">IF(ISNA(INDEX('NVRAM map'!$AF$3:$AG$319,MATCH(1,('NVRAM map'!$AF$3:$AF$319=$A59)*('NVRAM map'!$AI$3:$AI$319&gt;=R$3)*('NVRAM map'!$AJ$3:$AJ$319&lt;=R$3),0),2)),"-",INDEX('NVRAM map'!$AF$3:$AG$319,MATCH(1,('NVRAM map'!$AF$3:$AF$319=$A59)*('NVRAM map'!$AI$3:$AI$319&gt;=R$3)*('NVRAM map'!$AJ$3:$AJ$319&lt;=R$3),0),2))</f>
        <v>A3_2</v>
      </c>
      <c r="S59" s="87" t="str">
        <f t="array" aca="1" ref="S59" ca="1">IF(ISNA(INDEX('NVRAM map'!$AF$3:$AG$319,MATCH(1,('NVRAM map'!$AF$3:$AF$319=$A59)*('NVRAM map'!$AI$3:$AI$319&gt;=S$3)*('NVRAM map'!$AJ$3:$AJ$319&lt;=S$3),0),2)),"-",INDEX('NVRAM map'!$AF$3:$AG$319,MATCH(1,('NVRAM map'!$AF$3:$AF$319=$A59)*('NVRAM map'!$AI$3:$AI$319&gt;=S$3)*('NVRAM map'!$AJ$3:$AJ$319&lt;=S$3),0),2))</f>
        <v>A3_2</v>
      </c>
      <c r="T59" s="87" t="str">
        <f t="array" aca="1" ref="T59" ca="1">IF(ISNA(INDEX('NVRAM map'!$AF$3:$AG$319,MATCH(1,('NVRAM map'!$AF$3:$AF$319=$A59)*('NVRAM map'!$AI$3:$AI$319&gt;=T$3)*('NVRAM map'!$AJ$3:$AJ$319&lt;=T$3),0),2)),"-",INDEX('NVRAM map'!$AF$3:$AG$319,MATCH(1,('NVRAM map'!$AF$3:$AF$319=$A59)*('NVRAM map'!$AI$3:$AI$319&gt;=T$3)*('NVRAM map'!$AJ$3:$AJ$319&lt;=T$3),0),2))</f>
        <v>A3_2</v>
      </c>
      <c r="U59" s="87" t="str">
        <f t="array" aca="1" ref="U59" ca="1">IF(ISNA(INDEX('NVRAM map'!$AF$3:$AG$319,MATCH(1,('NVRAM map'!$AF$3:$AF$319=$A59)*('NVRAM map'!$AI$3:$AI$319&gt;=U$3)*('NVRAM map'!$AJ$3:$AJ$319&lt;=U$3),0),2)),"-",INDEX('NVRAM map'!$AF$3:$AG$319,MATCH(1,('NVRAM map'!$AF$3:$AF$319=$A59)*('NVRAM map'!$AI$3:$AI$319&gt;=U$3)*('NVRAM map'!$AJ$3:$AJ$319&lt;=U$3),0),2))</f>
        <v>A3_2</v>
      </c>
      <c r="V59" s="87" t="str">
        <f t="array" aca="1" ref="V59" ca="1">IF(ISNA(INDEX('NVRAM map'!$AF$3:$AG$319,MATCH(1,('NVRAM map'!$AF$3:$AF$319=$A59)*('NVRAM map'!$AI$3:$AI$319&gt;=V$3)*('NVRAM map'!$AJ$3:$AJ$319&lt;=V$3),0),2)),"-",INDEX('NVRAM map'!$AF$3:$AG$319,MATCH(1,('NVRAM map'!$AF$3:$AF$319=$A59)*('NVRAM map'!$AI$3:$AI$319&gt;=V$3)*('NVRAM map'!$AJ$3:$AJ$319&lt;=V$3),0),2))</f>
        <v>A3_2</v>
      </c>
      <c r="W59" s="87" t="str">
        <f t="array" aca="1" ref="W59" ca="1">IF(ISNA(INDEX('NVRAM map'!$AF$3:$AG$319,MATCH(1,('NVRAM map'!$AF$3:$AF$319=$A59)*('NVRAM map'!$AI$3:$AI$319&gt;=W$3)*('NVRAM map'!$AJ$3:$AJ$319&lt;=W$3),0),2)),"-",INDEX('NVRAM map'!$AF$3:$AG$319,MATCH(1,('NVRAM map'!$AF$3:$AF$319=$A59)*('NVRAM map'!$AI$3:$AI$319&gt;=W$3)*('NVRAM map'!$AJ$3:$AJ$319&lt;=W$3),0),2))</f>
        <v>A3_2</v>
      </c>
      <c r="X59" s="88" t="str">
        <f ca="1">INDEX('NVRAM map'!$B$3:$B$319,MATCH(A59,'NVRAM map'!$E$3:$E$319,0))</f>
        <v>CUST</v>
      </c>
      <c r="AB59" s="44">
        <f t="shared" ca="1" si="2"/>
        <v>200</v>
      </c>
      <c r="AC59" s="12" t="b">
        <f ca="1">COUNTIF('NVRAM map'!$AD$3:$AE$319,A59)&lt;2</f>
        <v>1</v>
      </c>
      <c r="AD59" s="12">
        <f ca="1">SUMIF('NVRAM map'!$AF$3:$AF$319,A59,'NVRAM map'!$AK$3:$AK$319)</f>
        <v>65535</v>
      </c>
      <c r="AE59" s="12" t="str">
        <f t="shared" ca="1" si="3"/>
        <v>FFFF</v>
      </c>
      <c r="AF59" s="12" t="str">
        <f t="shared" ca="1" si="4"/>
        <v>11111111</v>
      </c>
      <c r="AG59" s="12" t="str">
        <f t="shared" ca="1" si="5"/>
        <v>11111111</v>
      </c>
      <c r="AH59" s="12">
        <f t="shared" ca="1" si="6"/>
        <v>16</v>
      </c>
      <c r="AI59" s="12">
        <f ca="1">SUMIF('NVRAM map'!$AF$3:$AF$319,A59,'NVRAM map'!$AH$3:$AH$319)</f>
        <v>16</v>
      </c>
      <c r="AJ59" s="12" t="b">
        <f t="shared" ca="1" si="7"/>
        <v>1</v>
      </c>
      <c r="AK59" s="12">
        <f ca="1">COUNTIF('NVRAM map'!$AF$3:$AF$319,A59)</f>
        <v>1</v>
      </c>
      <c r="AM59" s="89">
        <v>0</v>
      </c>
      <c r="AN59" s="80">
        <f t="shared" ca="1" si="15"/>
        <v>0</v>
      </c>
      <c r="AO59" s="80">
        <f t="shared" ca="1" si="15"/>
        <v>0</v>
      </c>
      <c r="AP59" s="80">
        <f t="shared" ca="1" si="15"/>
        <v>0</v>
      </c>
      <c r="AQ59" s="80">
        <f t="shared" ca="1" si="15"/>
        <v>0</v>
      </c>
      <c r="AR59" s="80">
        <f t="shared" ca="1" si="15"/>
        <v>0</v>
      </c>
      <c r="AS59" s="80">
        <f t="shared" ca="1" si="15"/>
        <v>0</v>
      </c>
      <c r="AT59" s="80">
        <f t="shared" ca="1" si="15"/>
        <v>0</v>
      </c>
      <c r="AU59" s="80">
        <f t="shared" ca="1" si="15"/>
        <v>0</v>
      </c>
      <c r="AV59" s="80">
        <f t="shared" ca="1" si="15"/>
        <v>0</v>
      </c>
      <c r="AW59" s="80">
        <f t="shared" ca="1" si="15"/>
        <v>0</v>
      </c>
      <c r="AX59" s="80">
        <f t="shared" ca="1" si="15"/>
        <v>0</v>
      </c>
      <c r="AY59" s="80">
        <f t="shared" ca="1" si="15"/>
        <v>0</v>
      </c>
      <c r="AZ59" s="80">
        <f t="shared" ca="1" si="15"/>
        <v>0</v>
      </c>
      <c r="BA59" s="80">
        <f t="shared" ca="1" si="15"/>
        <v>0</v>
      </c>
      <c r="BB59" s="81">
        <f t="shared" ca="1" si="15"/>
        <v>0</v>
      </c>
      <c r="BD59" s="12" t="str">
        <f t="shared" si="9"/>
        <v>0x106E</v>
      </c>
      <c r="BE59" s="12" t="str">
        <f t="shared" ca="1" si="10"/>
        <v>0000010111000011</v>
      </c>
      <c r="BG59" s="53" t="str">
        <f t="shared" ca="1" si="11"/>
        <v>`define EE_A3_2 27</v>
      </c>
    </row>
    <row r="60" spans="1:59">
      <c r="A60" s="82" t="s">
        <v>326</v>
      </c>
      <c r="B60" s="82">
        <v>112</v>
      </c>
      <c r="C60" s="82">
        <v>28</v>
      </c>
      <c r="D60" s="83">
        <f ca="1">SUMIF('NVRAM map'!$AF$3:$AF$319,A60,'NVRAM map'!$AN$3:$AN$319)</f>
        <v>15429</v>
      </c>
      <c r="E60" s="84" t="str">
        <f t="shared" ca="1" si="0"/>
        <v>3C45</v>
      </c>
      <c r="F60" s="85" t="str">
        <f t="shared" ca="1" si="12"/>
        <v>3C45</v>
      </c>
      <c r="G60" s="86" t="str">
        <f ca="1">VLOOKUP(MemoryView!A60,'NVRAM map'!$AD$3:$AE$319,2,0)</f>
        <v>EE_B0_2</v>
      </c>
      <c r="H60" s="87" t="str">
        <f t="array" aca="1" ref="H60" ca="1">IF(ISNA(INDEX('NVRAM map'!$AF$3:$AG$319,MATCH(1,('NVRAM map'!$AF$3:$AF$319=$A60)*('NVRAM map'!$AI$3:$AI$319&gt;=H$3)*('NVRAM map'!$AJ$3:$AJ$319&lt;=H$3),0),2)),"-",INDEX('NVRAM map'!$AF$3:$AG$319,MATCH(1,('NVRAM map'!$AF$3:$AF$319=$A60)*('NVRAM map'!$AI$3:$AI$319&gt;=H$3)*('NVRAM map'!$AJ$3:$AJ$319&lt;=H$3),0),2))</f>
        <v>B0_2</v>
      </c>
      <c r="I60" s="87" t="str">
        <f t="array" aca="1" ref="I60" ca="1">IF(ISNA(INDEX('NVRAM map'!$AF$3:$AG$319,MATCH(1,('NVRAM map'!$AF$3:$AF$319=$A60)*('NVRAM map'!$AI$3:$AI$319&gt;=I$3)*('NVRAM map'!$AJ$3:$AJ$319&lt;=I$3),0),2)),"-",INDEX('NVRAM map'!$AF$3:$AG$319,MATCH(1,('NVRAM map'!$AF$3:$AF$319=$A60)*('NVRAM map'!$AI$3:$AI$319&gt;=I$3)*('NVRAM map'!$AJ$3:$AJ$319&lt;=I$3),0),2))</f>
        <v>B0_2</v>
      </c>
      <c r="J60" s="87" t="str">
        <f t="array" aca="1" ref="J60" ca="1">IF(ISNA(INDEX('NVRAM map'!$AF$3:$AG$319,MATCH(1,('NVRAM map'!$AF$3:$AF$319=$A60)*('NVRAM map'!$AI$3:$AI$319&gt;=J$3)*('NVRAM map'!$AJ$3:$AJ$319&lt;=J$3),0),2)),"-",INDEX('NVRAM map'!$AF$3:$AG$319,MATCH(1,('NVRAM map'!$AF$3:$AF$319=$A60)*('NVRAM map'!$AI$3:$AI$319&gt;=J$3)*('NVRAM map'!$AJ$3:$AJ$319&lt;=J$3),0),2))</f>
        <v>B0_2</v>
      </c>
      <c r="K60" s="87" t="str">
        <f t="array" aca="1" ref="K60" ca="1">IF(ISNA(INDEX('NVRAM map'!$AF$3:$AG$319,MATCH(1,('NVRAM map'!$AF$3:$AF$319=$A60)*('NVRAM map'!$AI$3:$AI$319&gt;=K$3)*('NVRAM map'!$AJ$3:$AJ$319&lt;=K$3),0),2)),"-",INDEX('NVRAM map'!$AF$3:$AG$319,MATCH(1,('NVRAM map'!$AF$3:$AF$319=$A60)*('NVRAM map'!$AI$3:$AI$319&gt;=K$3)*('NVRAM map'!$AJ$3:$AJ$319&lt;=K$3),0),2))</f>
        <v>B0_2</v>
      </c>
      <c r="L60" s="87" t="str">
        <f t="array" aca="1" ref="L60" ca="1">IF(ISNA(INDEX('NVRAM map'!$AF$3:$AG$319,MATCH(1,('NVRAM map'!$AF$3:$AF$319=$A60)*('NVRAM map'!$AI$3:$AI$319&gt;=L$3)*('NVRAM map'!$AJ$3:$AJ$319&lt;=L$3),0),2)),"-",INDEX('NVRAM map'!$AF$3:$AG$319,MATCH(1,('NVRAM map'!$AF$3:$AF$319=$A60)*('NVRAM map'!$AI$3:$AI$319&gt;=L$3)*('NVRAM map'!$AJ$3:$AJ$319&lt;=L$3),0),2))</f>
        <v>B0_2</v>
      </c>
      <c r="M60" s="87" t="str">
        <f t="array" aca="1" ref="M60" ca="1">IF(ISNA(INDEX('NVRAM map'!$AF$3:$AG$319,MATCH(1,('NVRAM map'!$AF$3:$AF$319=$A60)*('NVRAM map'!$AI$3:$AI$319&gt;=M$3)*('NVRAM map'!$AJ$3:$AJ$319&lt;=M$3),0),2)),"-",INDEX('NVRAM map'!$AF$3:$AG$319,MATCH(1,('NVRAM map'!$AF$3:$AF$319=$A60)*('NVRAM map'!$AI$3:$AI$319&gt;=M$3)*('NVRAM map'!$AJ$3:$AJ$319&lt;=M$3),0),2))</f>
        <v>B0_2</v>
      </c>
      <c r="N60" s="87" t="str">
        <f t="array" aca="1" ref="N60" ca="1">IF(ISNA(INDEX('NVRAM map'!$AF$3:$AG$319,MATCH(1,('NVRAM map'!$AF$3:$AF$319=$A60)*('NVRAM map'!$AI$3:$AI$319&gt;=N$3)*('NVRAM map'!$AJ$3:$AJ$319&lt;=N$3),0),2)),"-",INDEX('NVRAM map'!$AF$3:$AG$319,MATCH(1,('NVRAM map'!$AF$3:$AF$319=$A60)*('NVRAM map'!$AI$3:$AI$319&gt;=N$3)*('NVRAM map'!$AJ$3:$AJ$319&lt;=N$3),0),2))</f>
        <v>B0_2</v>
      </c>
      <c r="O60" s="87" t="str">
        <f t="array" aca="1" ref="O60" ca="1">IF(ISNA(INDEX('NVRAM map'!$AF$3:$AG$319,MATCH(1,('NVRAM map'!$AF$3:$AF$319=$A60)*('NVRAM map'!$AI$3:$AI$319&gt;=O$3)*('NVRAM map'!$AJ$3:$AJ$319&lt;=O$3),0),2)),"-",INDEX('NVRAM map'!$AF$3:$AG$319,MATCH(1,('NVRAM map'!$AF$3:$AF$319=$A60)*('NVRAM map'!$AI$3:$AI$319&gt;=O$3)*('NVRAM map'!$AJ$3:$AJ$319&lt;=O$3),0),2))</f>
        <v>B0_2</v>
      </c>
      <c r="P60" s="87" t="str">
        <f t="array" aca="1" ref="P60" ca="1">IF(ISNA(INDEX('NVRAM map'!$AF$3:$AG$319,MATCH(1,('NVRAM map'!$AF$3:$AF$319=$A60)*('NVRAM map'!$AI$3:$AI$319&gt;=P$3)*('NVRAM map'!$AJ$3:$AJ$319&lt;=P$3),0),2)),"-",INDEX('NVRAM map'!$AF$3:$AG$319,MATCH(1,('NVRAM map'!$AF$3:$AF$319=$A60)*('NVRAM map'!$AI$3:$AI$319&gt;=P$3)*('NVRAM map'!$AJ$3:$AJ$319&lt;=P$3),0),2))</f>
        <v>B0_2</v>
      </c>
      <c r="Q60" s="87" t="str">
        <f t="array" aca="1" ref="Q60" ca="1">IF(ISNA(INDEX('NVRAM map'!$AF$3:$AG$319,MATCH(1,('NVRAM map'!$AF$3:$AF$319=$A60)*('NVRAM map'!$AI$3:$AI$319&gt;=Q$3)*('NVRAM map'!$AJ$3:$AJ$319&lt;=Q$3),0),2)),"-",INDEX('NVRAM map'!$AF$3:$AG$319,MATCH(1,('NVRAM map'!$AF$3:$AF$319=$A60)*('NVRAM map'!$AI$3:$AI$319&gt;=Q$3)*('NVRAM map'!$AJ$3:$AJ$319&lt;=Q$3),0),2))</f>
        <v>B0_2</v>
      </c>
      <c r="R60" s="87" t="str">
        <f t="array" aca="1" ref="R60" ca="1">IF(ISNA(INDEX('NVRAM map'!$AF$3:$AG$319,MATCH(1,('NVRAM map'!$AF$3:$AF$319=$A60)*('NVRAM map'!$AI$3:$AI$319&gt;=R$3)*('NVRAM map'!$AJ$3:$AJ$319&lt;=R$3),0),2)),"-",INDEX('NVRAM map'!$AF$3:$AG$319,MATCH(1,('NVRAM map'!$AF$3:$AF$319=$A60)*('NVRAM map'!$AI$3:$AI$319&gt;=R$3)*('NVRAM map'!$AJ$3:$AJ$319&lt;=R$3),0),2))</f>
        <v>B0_2</v>
      </c>
      <c r="S60" s="87" t="str">
        <f t="array" aca="1" ref="S60" ca="1">IF(ISNA(INDEX('NVRAM map'!$AF$3:$AG$319,MATCH(1,('NVRAM map'!$AF$3:$AF$319=$A60)*('NVRAM map'!$AI$3:$AI$319&gt;=S$3)*('NVRAM map'!$AJ$3:$AJ$319&lt;=S$3),0),2)),"-",INDEX('NVRAM map'!$AF$3:$AG$319,MATCH(1,('NVRAM map'!$AF$3:$AF$319=$A60)*('NVRAM map'!$AI$3:$AI$319&gt;=S$3)*('NVRAM map'!$AJ$3:$AJ$319&lt;=S$3),0),2))</f>
        <v>B0_2</v>
      </c>
      <c r="T60" s="87" t="str">
        <f t="array" aca="1" ref="T60" ca="1">IF(ISNA(INDEX('NVRAM map'!$AF$3:$AG$319,MATCH(1,('NVRAM map'!$AF$3:$AF$319=$A60)*('NVRAM map'!$AI$3:$AI$319&gt;=T$3)*('NVRAM map'!$AJ$3:$AJ$319&lt;=T$3),0),2)),"-",INDEX('NVRAM map'!$AF$3:$AG$319,MATCH(1,('NVRAM map'!$AF$3:$AF$319=$A60)*('NVRAM map'!$AI$3:$AI$319&gt;=T$3)*('NVRAM map'!$AJ$3:$AJ$319&lt;=T$3),0),2))</f>
        <v>B0_2</v>
      </c>
      <c r="U60" s="87" t="str">
        <f t="array" aca="1" ref="U60" ca="1">IF(ISNA(INDEX('NVRAM map'!$AF$3:$AG$319,MATCH(1,('NVRAM map'!$AF$3:$AF$319=$A60)*('NVRAM map'!$AI$3:$AI$319&gt;=U$3)*('NVRAM map'!$AJ$3:$AJ$319&lt;=U$3),0),2)),"-",INDEX('NVRAM map'!$AF$3:$AG$319,MATCH(1,('NVRAM map'!$AF$3:$AF$319=$A60)*('NVRAM map'!$AI$3:$AI$319&gt;=U$3)*('NVRAM map'!$AJ$3:$AJ$319&lt;=U$3),0),2))</f>
        <v>B0_2</v>
      </c>
      <c r="V60" s="87" t="str">
        <f t="array" aca="1" ref="V60" ca="1">IF(ISNA(INDEX('NVRAM map'!$AF$3:$AG$319,MATCH(1,('NVRAM map'!$AF$3:$AF$319=$A60)*('NVRAM map'!$AI$3:$AI$319&gt;=V$3)*('NVRAM map'!$AJ$3:$AJ$319&lt;=V$3),0),2)),"-",INDEX('NVRAM map'!$AF$3:$AG$319,MATCH(1,('NVRAM map'!$AF$3:$AF$319=$A60)*('NVRAM map'!$AI$3:$AI$319&gt;=V$3)*('NVRAM map'!$AJ$3:$AJ$319&lt;=V$3),0),2))</f>
        <v>B0_2</v>
      </c>
      <c r="W60" s="87" t="str">
        <f t="array" aca="1" ref="W60" ca="1">IF(ISNA(INDEX('NVRAM map'!$AF$3:$AG$319,MATCH(1,('NVRAM map'!$AF$3:$AF$319=$A60)*('NVRAM map'!$AI$3:$AI$319&gt;=W$3)*('NVRAM map'!$AJ$3:$AJ$319&lt;=W$3),0),2)),"-",INDEX('NVRAM map'!$AF$3:$AG$319,MATCH(1,('NVRAM map'!$AF$3:$AF$319=$A60)*('NVRAM map'!$AI$3:$AI$319&gt;=W$3)*('NVRAM map'!$AJ$3:$AJ$319&lt;=W$3),0),2))</f>
        <v>B0_2</v>
      </c>
      <c r="X60" s="88" t="str">
        <f ca="1">INDEX('NVRAM map'!$B$3:$B$319,MATCH(A60,'NVRAM map'!$E$3:$E$319,0))</f>
        <v>CUST</v>
      </c>
      <c r="AB60" s="44">
        <f t="shared" ca="1" si="2"/>
        <v>129</v>
      </c>
      <c r="AC60" s="12" t="b">
        <f ca="1">COUNTIF('NVRAM map'!$AD$3:$AE$319,A60)&lt;2</f>
        <v>1</v>
      </c>
      <c r="AD60" s="12">
        <f ca="1">SUMIF('NVRAM map'!$AF$3:$AF$319,A60,'NVRAM map'!$AK$3:$AK$319)</f>
        <v>65535</v>
      </c>
      <c r="AE60" s="12" t="str">
        <f t="shared" ca="1" si="3"/>
        <v>FFFF</v>
      </c>
      <c r="AF60" s="12" t="str">
        <f t="shared" ca="1" si="4"/>
        <v>11111111</v>
      </c>
      <c r="AG60" s="12" t="str">
        <f t="shared" ca="1" si="5"/>
        <v>11111111</v>
      </c>
      <c r="AH60" s="12">
        <f t="shared" ca="1" si="6"/>
        <v>16</v>
      </c>
      <c r="AI60" s="12">
        <f ca="1">SUMIF('NVRAM map'!$AF$3:$AF$319,A60,'NVRAM map'!$AH$3:$AH$319)</f>
        <v>16</v>
      </c>
      <c r="AJ60" s="12" t="b">
        <f t="shared" ca="1" si="7"/>
        <v>1</v>
      </c>
      <c r="AK60" s="12">
        <f ca="1">COUNTIF('NVRAM map'!$AF$3:$AF$319,A60)</f>
        <v>1</v>
      </c>
      <c r="AM60" s="89">
        <v>0</v>
      </c>
      <c r="AN60" s="80">
        <f t="shared" ca="1" si="15"/>
        <v>0</v>
      </c>
      <c r="AO60" s="80">
        <f t="shared" ca="1" si="15"/>
        <v>0</v>
      </c>
      <c r="AP60" s="80">
        <f t="shared" ca="1" si="15"/>
        <v>0</v>
      </c>
      <c r="AQ60" s="80">
        <f t="shared" ca="1" si="15"/>
        <v>0</v>
      </c>
      <c r="AR60" s="80">
        <f t="shared" ca="1" si="15"/>
        <v>0</v>
      </c>
      <c r="AS60" s="80">
        <f t="shared" ca="1" si="15"/>
        <v>0</v>
      </c>
      <c r="AT60" s="80">
        <f t="shared" ca="1" si="15"/>
        <v>0</v>
      </c>
      <c r="AU60" s="80">
        <f t="shared" ca="1" si="15"/>
        <v>0</v>
      </c>
      <c r="AV60" s="80">
        <f t="shared" ca="1" si="15"/>
        <v>0</v>
      </c>
      <c r="AW60" s="80">
        <f t="shared" ca="1" si="15"/>
        <v>0</v>
      </c>
      <c r="AX60" s="80">
        <f t="shared" ca="1" si="15"/>
        <v>0</v>
      </c>
      <c r="AY60" s="80">
        <f t="shared" ca="1" si="15"/>
        <v>0</v>
      </c>
      <c r="AZ60" s="80">
        <f t="shared" ca="1" si="15"/>
        <v>0</v>
      </c>
      <c r="BA60" s="80">
        <f t="shared" ca="1" si="15"/>
        <v>0</v>
      </c>
      <c r="BB60" s="81">
        <f t="shared" ca="1" si="15"/>
        <v>0</v>
      </c>
      <c r="BD60" s="12" t="str">
        <f t="shared" si="9"/>
        <v>0x1070</v>
      </c>
      <c r="BE60" s="12" t="str">
        <f t="shared" ca="1" si="10"/>
        <v>0011110001000101</v>
      </c>
      <c r="BG60" s="53" t="str">
        <f t="shared" ca="1" si="11"/>
        <v>`define EE_B0_2 28</v>
      </c>
    </row>
    <row r="61" spans="1:59">
      <c r="A61" s="82" t="s">
        <v>327</v>
      </c>
      <c r="B61" s="82">
        <v>114</v>
      </c>
      <c r="C61" s="82">
        <v>28</v>
      </c>
      <c r="D61" s="83">
        <f ca="1">SUMIF('NVRAM map'!$AF$3:$AF$319,A61,'NVRAM map'!$AN$3:$AN$319)</f>
        <v>61136</v>
      </c>
      <c r="E61" s="84" t="str">
        <f t="shared" ca="1" si="0"/>
        <v>EED0</v>
      </c>
      <c r="F61" s="85" t="str">
        <f t="shared" ca="1" si="12"/>
        <v>EED0</v>
      </c>
      <c r="G61" s="86" t="str">
        <f ca="1">VLOOKUP(MemoryView!A61,'NVRAM map'!$AD$3:$AE$319,2,0)</f>
        <v>EE_B1_2</v>
      </c>
      <c r="H61" s="87" t="str">
        <f t="array" aca="1" ref="H61" ca="1">IF(ISNA(INDEX('NVRAM map'!$AF$3:$AG$319,MATCH(1,('NVRAM map'!$AF$3:$AF$319=$A61)*('NVRAM map'!$AI$3:$AI$319&gt;=H$3)*('NVRAM map'!$AJ$3:$AJ$319&lt;=H$3),0),2)),"-",INDEX('NVRAM map'!$AF$3:$AG$319,MATCH(1,('NVRAM map'!$AF$3:$AF$319=$A61)*('NVRAM map'!$AI$3:$AI$319&gt;=H$3)*('NVRAM map'!$AJ$3:$AJ$319&lt;=H$3),0),2))</f>
        <v>B1_2</v>
      </c>
      <c r="I61" s="87" t="str">
        <f t="array" aca="1" ref="I61" ca="1">IF(ISNA(INDEX('NVRAM map'!$AF$3:$AG$319,MATCH(1,('NVRAM map'!$AF$3:$AF$319=$A61)*('NVRAM map'!$AI$3:$AI$319&gt;=I$3)*('NVRAM map'!$AJ$3:$AJ$319&lt;=I$3),0),2)),"-",INDEX('NVRAM map'!$AF$3:$AG$319,MATCH(1,('NVRAM map'!$AF$3:$AF$319=$A61)*('NVRAM map'!$AI$3:$AI$319&gt;=I$3)*('NVRAM map'!$AJ$3:$AJ$319&lt;=I$3),0),2))</f>
        <v>B1_2</v>
      </c>
      <c r="J61" s="87" t="str">
        <f t="array" aca="1" ref="J61" ca="1">IF(ISNA(INDEX('NVRAM map'!$AF$3:$AG$319,MATCH(1,('NVRAM map'!$AF$3:$AF$319=$A61)*('NVRAM map'!$AI$3:$AI$319&gt;=J$3)*('NVRAM map'!$AJ$3:$AJ$319&lt;=J$3),0),2)),"-",INDEX('NVRAM map'!$AF$3:$AG$319,MATCH(1,('NVRAM map'!$AF$3:$AF$319=$A61)*('NVRAM map'!$AI$3:$AI$319&gt;=J$3)*('NVRAM map'!$AJ$3:$AJ$319&lt;=J$3),0),2))</f>
        <v>B1_2</v>
      </c>
      <c r="K61" s="87" t="str">
        <f t="array" aca="1" ref="K61" ca="1">IF(ISNA(INDEX('NVRAM map'!$AF$3:$AG$319,MATCH(1,('NVRAM map'!$AF$3:$AF$319=$A61)*('NVRAM map'!$AI$3:$AI$319&gt;=K$3)*('NVRAM map'!$AJ$3:$AJ$319&lt;=K$3),0),2)),"-",INDEX('NVRAM map'!$AF$3:$AG$319,MATCH(1,('NVRAM map'!$AF$3:$AF$319=$A61)*('NVRAM map'!$AI$3:$AI$319&gt;=K$3)*('NVRAM map'!$AJ$3:$AJ$319&lt;=K$3),0),2))</f>
        <v>B1_2</v>
      </c>
      <c r="L61" s="87" t="str">
        <f t="array" aca="1" ref="L61" ca="1">IF(ISNA(INDEX('NVRAM map'!$AF$3:$AG$319,MATCH(1,('NVRAM map'!$AF$3:$AF$319=$A61)*('NVRAM map'!$AI$3:$AI$319&gt;=L$3)*('NVRAM map'!$AJ$3:$AJ$319&lt;=L$3),0),2)),"-",INDEX('NVRAM map'!$AF$3:$AG$319,MATCH(1,('NVRAM map'!$AF$3:$AF$319=$A61)*('NVRAM map'!$AI$3:$AI$319&gt;=L$3)*('NVRAM map'!$AJ$3:$AJ$319&lt;=L$3),0),2))</f>
        <v>B1_2</v>
      </c>
      <c r="M61" s="87" t="str">
        <f t="array" aca="1" ref="M61" ca="1">IF(ISNA(INDEX('NVRAM map'!$AF$3:$AG$319,MATCH(1,('NVRAM map'!$AF$3:$AF$319=$A61)*('NVRAM map'!$AI$3:$AI$319&gt;=M$3)*('NVRAM map'!$AJ$3:$AJ$319&lt;=M$3),0),2)),"-",INDEX('NVRAM map'!$AF$3:$AG$319,MATCH(1,('NVRAM map'!$AF$3:$AF$319=$A61)*('NVRAM map'!$AI$3:$AI$319&gt;=M$3)*('NVRAM map'!$AJ$3:$AJ$319&lt;=M$3),0),2))</f>
        <v>B1_2</v>
      </c>
      <c r="N61" s="87" t="str">
        <f t="array" aca="1" ref="N61" ca="1">IF(ISNA(INDEX('NVRAM map'!$AF$3:$AG$319,MATCH(1,('NVRAM map'!$AF$3:$AF$319=$A61)*('NVRAM map'!$AI$3:$AI$319&gt;=N$3)*('NVRAM map'!$AJ$3:$AJ$319&lt;=N$3),0),2)),"-",INDEX('NVRAM map'!$AF$3:$AG$319,MATCH(1,('NVRAM map'!$AF$3:$AF$319=$A61)*('NVRAM map'!$AI$3:$AI$319&gt;=N$3)*('NVRAM map'!$AJ$3:$AJ$319&lt;=N$3),0),2))</f>
        <v>B1_2</v>
      </c>
      <c r="O61" s="87" t="str">
        <f t="array" aca="1" ref="O61" ca="1">IF(ISNA(INDEX('NVRAM map'!$AF$3:$AG$319,MATCH(1,('NVRAM map'!$AF$3:$AF$319=$A61)*('NVRAM map'!$AI$3:$AI$319&gt;=O$3)*('NVRAM map'!$AJ$3:$AJ$319&lt;=O$3),0),2)),"-",INDEX('NVRAM map'!$AF$3:$AG$319,MATCH(1,('NVRAM map'!$AF$3:$AF$319=$A61)*('NVRAM map'!$AI$3:$AI$319&gt;=O$3)*('NVRAM map'!$AJ$3:$AJ$319&lt;=O$3),0),2))</f>
        <v>B1_2</v>
      </c>
      <c r="P61" s="87" t="str">
        <f t="array" aca="1" ref="P61" ca="1">IF(ISNA(INDEX('NVRAM map'!$AF$3:$AG$319,MATCH(1,('NVRAM map'!$AF$3:$AF$319=$A61)*('NVRAM map'!$AI$3:$AI$319&gt;=P$3)*('NVRAM map'!$AJ$3:$AJ$319&lt;=P$3),0),2)),"-",INDEX('NVRAM map'!$AF$3:$AG$319,MATCH(1,('NVRAM map'!$AF$3:$AF$319=$A61)*('NVRAM map'!$AI$3:$AI$319&gt;=P$3)*('NVRAM map'!$AJ$3:$AJ$319&lt;=P$3),0),2))</f>
        <v>B1_2</v>
      </c>
      <c r="Q61" s="87" t="str">
        <f t="array" aca="1" ref="Q61" ca="1">IF(ISNA(INDEX('NVRAM map'!$AF$3:$AG$319,MATCH(1,('NVRAM map'!$AF$3:$AF$319=$A61)*('NVRAM map'!$AI$3:$AI$319&gt;=Q$3)*('NVRAM map'!$AJ$3:$AJ$319&lt;=Q$3),0),2)),"-",INDEX('NVRAM map'!$AF$3:$AG$319,MATCH(1,('NVRAM map'!$AF$3:$AF$319=$A61)*('NVRAM map'!$AI$3:$AI$319&gt;=Q$3)*('NVRAM map'!$AJ$3:$AJ$319&lt;=Q$3),0),2))</f>
        <v>B1_2</v>
      </c>
      <c r="R61" s="87" t="str">
        <f t="array" aca="1" ref="R61" ca="1">IF(ISNA(INDEX('NVRAM map'!$AF$3:$AG$319,MATCH(1,('NVRAM map'!$AF$3:$AF$319=$A61)*('NVRAM map'!$AI$3:$AI$319&gt;=R$3)*('NVRAM map'!$AJ$3:$AJ$319&lt;=R$3),0),2)),"-",INDEX('NVRAM map'!$AF$3:$AG$319,MATCH(1,('NVRAM map'!$AF$3:$AF$319=$A61)*('NVRAM map'!$AI$3:$AI$319&gt;=R$3)*('NVRAM map'!$AJ$3:$AJ$319&lt;=R$3),0),2))</f>
        <v>B1_2</v>
      </c>
      <c r="S61" s="87" t="str">
        <f t="array" aca="1" ref="S61" ca="1">IF(ISNA(INDEX('NVRAM map'!$AF$3:$AG$319,MATCH(1,('NVRAM map'!$AF$3:$AF$319=$A61)*('NVRAM map'!$AI$3:$AI$319&gt;=S$3)*('NVRAM map'!$AJ$3:$AJ$319&lt;=S$3),0),2)),"-",INDEX('NVRAM map'!$AF$3:$AG$319,MATCH(1,('NVRAM map'!$AF$3:$AF$319=$A61)*('NVRAM map'!$AI$3:$AI$319&gt;=S$3)*('NVRAM map'!$AJ$3:$AJ$319&lt;=S$3),0),2))</f>
        <v>B1_2</v>
      </c>
      <c r="T61" s="87" t="str">
        <f t="array" aca="1" ref="T61" ca="1">IF(ISNA(INDEX('NVRAM map'!$AF$3:$AG$319,MATCH(1,('NVRAM map'!$AF$3:$AF$319=$A61)*('NVRAM map'!$AI$3:$AI$319&gt;=T$3)*('NVRAM map'!$AJ$3:$AJ$319&lt;=T$3),0),2)),"-",INDEX('NVRAM map'!$AF$3:$AG$319,MATCH(1,('NVRAM map'!$AF$3:$AF$319=$A61)*('NVRAM map'!$AI$3:$AI$319&gt;=T$3)*('NVRAM map'!$AJ$3:$AJ$319&lt;=T$3),0),2))</f>
        <v>B1_2</v>
      </c>
      <c r="U61" s="87" t="str">
        <f t="array" aca="1" ref="U61" ca="1">IF(ISNA(INDEX('NVRAM map'!$AF$3:$AG$319,MATCH(1,('NVRAM map'!$AF$3:$AF$319=$A61)*('NVRAM map'!$AI$3:$AI$319&gt;=U$3)*('NVRAM map'!$AJ$3:$AJ$319&lt;=U$3),0),2)),"-",INDEX('NVRAM map'!$AF$3:$AG$319,MATCH(1,('NVRAM map'!$AF$3:$AF$319=$A61)*('NVRAM map'!$AI$3:$AI$319&gt;=U$3)*('NVRAM map'!$AJ$3:$AJ$319&lt;=U$3),0),2))</f>
        <v>B1_2</v>
      </c>
      <c r="V61" s="87" t="str">
        <f t="array" aca="1" ref="V61" ca="1">IF(ISNA(INDEX('NVRAM map'!$AF$3:$AG$319,MATCH(1,('NVRAM map'!$AF$3:$AF$319=$A61)*('NVRAM map'!$AI$3:$AI$319&gt;=V$3)*('NVRAM map'!$AJ$3:$AJ$319&lt;=V$3),0),2)),"-",INDEX('NVRAM map'!$AF$3:$AG$319,MATCH(1,('NVRAM map'!$AF$3:$AF$319=$A61)*('NVRAM map'!$AI$3:$AI$319&gt;=V$3)*('NVRAM map'!$AJ$3:$AJ$319&lt;=V$3),0),2))</f>
        <v>B1_2</v>
      </c>
      <c r="W61" s="87" t="str">
        <f t="array" aca="1" ref="W61" ca="1">IF(ISNA(INDEX('NVRAM map'!$AF$3:$AG$319,MATCH(1,('NVRAM map'!$AF$3:$AF$319=$A61)*('NVRAM map'!$AI$3:$AI$319&gt;=W$3)*('NVRAM map'!$AJ$3:$AJ$319&lt;=W$3),0),2)),"-",INDEX('NVRAM map'!$AF$3:$AG$319,MATCH(1,('NVRAM map'!$AF$3:$AF$319=$A61)*('NVRAM map'!$AI$3:$AI$319&gt;=W$3)*('NVRAM map'!$AJ$3:$AJ$319&lt;=W$3),0),2))</f>
        <v>B1_2</v>
      </c>
      <c r="X61" s="88" t="str">
        <f ca="1">INDEX('NVRAM map'!$B$3:$B$319,MATCH(A61,'NVRAM map'!$E$3:$E$319,0))</f>
        <v>CUST</v>
      </c>
      <c r="AB61" s="44">
        <f t="shared" ca="1" si="2"/>
        <v>446</v>
      </c>
      <c r="AC61" s="12" t="b">
        <f ca="1">COUNTIF('NVRAM map'!$AD$3:$AE$319,A61)&lt;2</f>
        <v>1</v>
      </c>
      <c r="AD61" s="12">
        <f ca="1">SUMIF('NVRAM map'!$AF$3:$AF$319,A61,'NVRAM map'!$AK$3:$AK$319)</f>
        <v>65535</v>
      </c>
      <c r="AE61" s="12" t="str">
        <f t="shared" ca="1" si="3"/>
        <v>FFFF</v>
      </c>
      <c r="AF61" s="12" t="str">
        <f t="shared" ca="1" si="4"/>
        <v>11111111</v>
      </c>
      <c r="AG61" s="12" t="str">
        <f t="shared" ca="1" si="5"/>
        <v>11111111</v>
      </c>
      <c r="AH61" s="12">
        <f t="shared" ca="1" si="6"/>
        <v>16</v>
      </c>
      <c r="AI61" s="12">
        <f ca="1">SUMIF('NVRAM map'!$AF$3:$AF$319,A61,'NVRAM map'!$AH$3:$AH$319)</f>
        <v>16</v>
      </c>
      <c r="AJ61" s="12" t="b">
        <f t="shared" ca="1" si="7"/>
        <v>1</v>
      </c>
      <c r="AK61" s="12">
        <f ca="1">COUNTIF('NVRAM map'!$AF$3:$AF$319,A61)</f>
        <v>1</v>
      </c>
      <c r="AM61" s="89">
        <v>0</v>
      </c>
      <c r="AN61" s="80">
        <f t="shared" ca="1" si="15"/>
        <v>0</v>
      </c>
      <c r="AO61" s="80">
        <f t="shared" ca="1" si="15"/>
        <v>0</v>
      </c>
      <c r="AP61" s="80">
        <f t="shared" ca="1" si="15"/>
        <v>0</v>
      </c>
      <c r="AQ61" s="80">
        <f t="shared" ca="1" si="15"/>
        <v>0</v>
      </c>
      <c r="AR61" s="80">
        <f t="shared" ca="1" si="15"/>
        <v>0</v>
      </c>
      <c r="AS61" s="80">
        <f t="shared" ca="1" si="15"/>
        <v>0</v>
      </c>
      <c r="AT61" s="80">
        <f t="shared" ca="1" si="15"/>
        <v>0</v>
      </c>
      <c r="AU61" s="80">
        <f t="shared" ca="1" si="15"/>
        <v>0</v>
      </c>
      <c r="AV61" s="80">
        <f t="shared" ca="1" si="15"/>
        <v>0</v>
      </c>
      <c r="AW61" s="80">
        <f t="shared" ca="1" si="15"/>
        <v>0</v>
      </c>
      <c r="AX61" s="80">
        <f t="shared" ca="1" si="15"/>
        <v>0</v>
      </c>
      <c r="AY61" s="80">
        <f t="shared" ca="1" si="15"/>
        <v>0</v>
      </c>
      <c r="AZ61" s="80">
        <f t="shared" ca="1" si="15"/>
        <v>0</v>
      </c>
      <c r="BA61" s="80">
        <f t="shared" ca="1" si="15"/>
        <v>0</v>
      </c>
      <c r="BB61" s="81">
        <f t="shared" ca="1" si="15"/>
        <v>0</v>
      </c>
      <c r="BD61" s="12" t="str">
        <f t="shared" si="9"/>
        <v>0x1072</v>
      </c>
      <c r="BE61" s="12" t="str">
        <f t="shared" ca="1" si="10"/>
        <v>1110111011010000</v>
      </c>
      <c r="BG61" s="53" t="str">
        <f t="shared" ca="1" si="11"/>
        <v>`define EE_B1_2 28</v>
      </c>
    </row>
    <row r="62" spans="1:59">
      <c r="A62" s="82" t="s">
        <v>328</v>
      </c>
      <c r="B62" s="82">
        <v>116</v>
      </c>
      <c r="C62" s="82">
        <v>29</v>
      </c>
      <c r="D62" s="83">
        <f ca="1">SUMIF('NVRAM map'!$AF$3:$AF$319,A62,'NVRAM map'!$AN$3:$AN$319)</f>
        <v>63484</v>
      </c>
      <c r="E62" s="84" t="str">
        <f t="shared" ca="1" si="0"/>
        <v>F7FC</v>
      </c>
      <c r="F62" s="85" t="str">
        <f t="shared" ca="1" si="12"/>
        <v>F7FC</v>
      </c>
      <c r="G62" s="86" t="str">
        <f ca="1">VLOOKUP(MemoryView!A62,'NVRAM map'!$AD$3:$AE$319,2,0)</f>
        <v>EE_B2_2</v>
      </c>
      <c r="H62" s="87" t="str">
        <f t="array" aca="1" ref="H62" ca="1">IF(ISNA(INDEX('NVRAM map'!$AF$3:$AG$319,MATCH(1,('NVRAM map'!$AF$3:$AF$319=$A62)*('NVRAM map'!$AI$3:$AI$319&gt;=H$3)*('NVRAM map'!$AJ$3:$AJ$319&lt;=H$3),0),2)),"-",INDEX('NVRAM map'!$AF$3:$AG$319,MATCH(1,('NVRAM map'!$AF$3:$AF$319=$A62)*('NVRAM map'!$AI$3:$AI$319&gt;=H$3)*('NVRAM map'!$AJ$3:$AJ$319&lt;=H$3),0),2))</f>
        <v>B2_2</v>
      </c>
      <c r="I62" s="87" t="str">
        <f t="array" aca="1" ref="I62" ca="1">IF(ISNA(INDEX('NVRAM map'!$AF$3:$AG$319,MATCH(1,('NVRAM map'!$AF$3:$AF$319=$A62)*('NVRAM map'!$AI$3:$AI$319&gt;=I$3)*('NVRAM map'!$AJ$3:$AJ$319&lt;=I$3),0),2)),"-",INDEX('NVRAM map'!$AF$3:$AG$319,MATCH(1,('NVRAM map'!$AF$3:$AF$319=$A62)*('NVRAM map'!$AI$3:$AI$319&gt;=I$3)*('NVRAM map'!$AJ$3:$AJ$319&lt;=I$3),0),2))</f>
        <v>B2_2</v>
      </c>
      <c r="J62" s="87" t="str">
        <f t="array" aca="1" ref="J62" ca="1">IF(ISNA(INDEX('NVRAM map'!$AF$3:$AG$319,MATCH(1,('NVRAM map'!$AF$3:$AF$319=$A62)*('NVRAM map'!$AI$3:$AI$319&gt;=J$3)*('NVRAM map'!$AJ$3:$AJ$319&lt;=J$3),0),2)),"-",INDEX('NVRAM map'!$AF$3:$AG$319,MATCH(1,('NVRAM map'!$AF$3:$AF$319=$A62)*('NVRAM map'!$AI$3:$AI$319&gt;=J$3)*('NVRAM map'!$AJ$3:$AJ$319&lt;=J$3),0),2))</f>
        <v>B2_2</v>
      </c>
      <c r="K62" s="87" t="str">
        <f t="array" aca="1" ref="K62" ca="1">IF(ISNA(INDEX('NVRAM map'!$AF$3:$AG$319,MATCH(1,('NVRAM map'!$AF$3:$AF$319=$A62)*('NVRAM map'!$AI$3:$AI$319&gt;=K$3)*('NVRAM map'!$AJ$3:$AJ$319&lt;=K$3),0),2)),"-",INDEX('NVRAM map'!$AF$3:$AG$319,MATCH(1,('NVRAM map'!$AF$3:$AF$319=$A62)*('NVRAM map'!$AI$3:$AI$319&gt;=K$3)*('NVRAM map'!$AJ$3:$AJ$319&lt;=K$3),0),2))</f>
        <v>B2_2</v>
      </c>
      <c r="L62" s="87" t="str">
        <f t="array" aca="1" ref="L62" ca="1">IF(ISNA(INDEX('NVRAM map'!$AF$3:$AG$319,MATCH(1,('NVRAM map'!$AF$3:$AF$319=$A62)*('NVRAM map'!$AI$3:$AI$319&gt;=L$3)*('NVRAM map'!$AJ$3:$AJ$319&lt;=L$3),0),2)),"-",INDEX('NVRAM map'!$AF$3:$AG$319,MATCH(1,('NVRAM map'!$AF$3:$AF$319=$A62)*('NVRAM map'!$AI$3:$AI$319&gt;=L$3)*('NVRAM map'!$AJ$3:$AJ$319&lt;=L$3),0),2))</f>
        <v>B2_2</v>
      </c>
      <c r="M62" s="87" t="str">
        <f t="array" aca="1" ref="M62" ca="1">IF(ISNA(INDEX('NVRAM map'!$AF$3:$AG$319,MATCH(1,('NVRAM map'!$AF$3:$AF$319=$A62)*('NVRAM map'!$AI$3:$AI$319&gt;=M$3)*('NVRAM map'!$AJ$3:$AJ$319&lt;=M$3),0),2)),"-",INDEX('NVRAM map'!$AF$3:$AG$319,MATCH(1,('NVRAM map'!$AF$3:$AF$319=$A62)*('NVRAM map'!$AI$3:$AI$319&gt;=M$3)*('NVRAM map'!$AJ$3:$AJ$319&lt;=M$3),0),2))</f>
        <v>B2_2</v>
      </c>
      <c r="N62" s="87" t="str">
        <f t="array" aca="1" ref="N62" ca="1">IF(ISNA(INDEX('NVRAM map'!$AF$3:$AG$319,MATCH(1,('NVRAM map'!$AF$3:$AF$319=$A62)*('NVRAM map'!$AI$3:$AI$319&gt;=N$3)*('NVRAM map'!$AJ$3:$AJ$319&lt;=N$3),0),2)),"-",INDEX('NVRAM map'!$AF$3:$AG$319,MATCH(1,('NVRAM map'!$AF$3:$AF$319=$A62)*('NVRAM map'!$AI$3:$AI$319&gt;=N$3)*('NVRAM map'!$AJ$3:$AJ$319&lt;=N$3),0),2))</f>
        <v>B2_2</v>
      </c>
      <c r="O62" s="87" t="str">
        <f t="array" aca="1" ref="O62" ca="1">IF(ISNA(INDEX('NVRAM map'!$AF$3:$AG$319,MATCH(1,('NVRAM map'!$AF$3:$AF$319=$A62)*('NVRAM map'!$AI$3:$AI$319&gt;=O$3)*('NVRAM map'!$AJ$3:$AJ$319&lt;=O$3),0),2)),"-",INDEX('NVRAM map'!$AF$3:$AG$319,MATCH(1,('NVRAM map'!$AF$3:$AF$319=$A62)*('NVRAM map'!$AI$3:$AI$319&gt;=O$3)*('NVRAM map'!$AJ$3:$AJ$319&lt;=O$3),0),2))</f>
        <v>B2_2</v>
      </c>
      <c r="P62" s="87" t="str">
        <f t="array" aca="1" ref="P62" ca="1">IF(ISNA(INDEX('NVRAM map'!$AF$3:$AG$319,MATCH(1,('NVRAM map'!$AF$3:$AF$319=$A62)*('NVRAM map'!$AI$3:$AI$319&gt;=P$3)*('NVRAM map'!$AJ$3:$AJ$319&lt;=P$3),0),2)),"-",INDEX('NVRAM map'!$AF$3:$AG$319,MATCH(1,('NVRAM map'!$AF$3:$AF$319=$A62)*('NVRAM map'!$AI$3:$AI$319&gt;=P$3)*('NVRAM map'!$AJ$3:$AJ$319&lt;=P$3),0),2))</f>
        <v>B2_2</v>
      </c>
      <c r="Q62" s="87" t="str">
        <f t="array" aca="1" ref="Q62" ca="1">IF(ISNA(INDEX('NVRAM map'!$AF$3:$AG$319,MATCH(1,('NVRAM map'!$AF$3:$AF$319=$A62)*('NVRAM map'!$AI$3:$AI$319&gt;=Q$3)*('NVRAM map'!$AJ$3:$AJ$319&lt;=Q$3),0),2)),"-",INDEX('NVRAM map'!$AF$3:$AG$319,MATCH(1,('NVRAM map'!$AF$3:$AF$319=$A62)*('NVRAM map'!$AI$3:$AI$319&gt;=Q$3)*('NVRAM map'!$AJ$3:$AJ$319&lt;=Q$3),0),2))</f>
        <v>B2_2</v>
      </c>
      <c r="R62" s="87" t="str">
        <f t="array" aca="1" ref="R62" ca="1">IF(ISNA(INDEX('NVRAM map'!$AF$3:$AG$319,MATCH(1,('NVRAM map'!$AF$3:$AF$319=$A62)*('NVRAM map'!$AI$3:$AI$319&gt;=R$3)*('NVRAM map'!$AJ$3:$AJ$319&lt;=R$3),0),2)),"-",INDEX('NVRAM map'!$AF$3:$AG$319,MATCH(1,('NVRAM map'!$AF$3:$AF$319=$A62)*('NVRAM map'!$AI$3:$AI$319&gt;=R$3)*('NVRAM map'!$AJ$3:$AJ$319&lt;=R$3),0),2))</f>
        <v>B2_2</v>
      </c>
      <c r="S62" s="87" t="str">
        <f t="array" aca="1" ref="S62" ca="1">IF(ISNA(INDEX('NVRAM map'!$AF$3:$AG$319,MATCH(1,('NVRAM map'!$AF$3:$AF$319=$A62)*('NVRAM map'!$AI$3:$AI$319&gt;=S$3)*('NVRAM map'!$AJ$3:$AJ$319&lt;=S$3),0),2)),"-",INDEX('NVRAM map'!$AF$3:$AG$319,MATCH(1,('NVRAM map'!$AF$3:$AF$319=$A62)*('NVRAM map'!$AI$3:$AI$319&gt;=S$3)*('NVRAM map'!$AJ$3:$AJ$319&lt;=S$3),0),2))</f>
        <v>B2_2</v>
      </c>
      <c r="T62" s="87" t="str">
        <f t="array" aca="1" ref="T62" ca="1">IF(ISNA(INDEX('NVRAM map'!$AF$3:$AG$319,MATCH(1,('NVRAM map'!$AF$3:$AF$319=$A62)*('NVRAM map'!$AI$3:$AI$319&gt;=T$3)*('NVRAM map'!$AJ$3:$AJ$319&lt;=T$3),0),2)),"-",INDEX('NVRAM map'!$AF$3:$AG$319,MATCH(1,('NVRAM map'!$AF$3:$AF$319=$A62)*('NVRAM map'!$AI$3:$AI$319&gt;=T$3)*('NVRAM map'!$AJ$3:$AJ$319&lt;=T$3),0),2))</f>
        <v>B2_2</v>
      </c>
      <c r="U62" s="87" t="str">
        <f t="array" aca="1" ref="U62" ca="1">IF(ISNA(INDEX('NVRAM map'!$AF$3:$AG$319,MATCH(1,('NVRAM map'!$AF$3:$AF$319=$A62)*('NVRAM map'!$AI$3:$AI$319&gt;=U$3)*('NVRAM map'!$AJ$3:$AJ$319&lt;=U$3),0),2)),"-",INDEX('NVRAM map'!$AF$3:$AG$319,MATCH(1,('NVRAM map'!$AF$3:$AF$319=$A62)*('NVRAM map'!$AI$3:$AI$319&gt;=U$3)*('NVRAM map'!$AJ$3:$AJ$319&lt;=U$3),0),2))</f>
        <v>B2_2</v>
      </c>
      <c r="V62" s="87" t="str">
        <f t="array" aca="1" ref="V62" ca="1">IF(ISNA(INDEX('NVRAM map'!$AF$3:$AG$319,MATCH(1,('NVRAM map'!$AF$3:$AF$319=$A62)*('NVRAM map'!$AI$3:$AI$319&gt;=V$3)*('NVRAM map'!$AJ$3:$AJ$319&lt;=V$3),0),2)),"-",INDEX('NVRAM map'!$AF$3:$AG$319,MATCH(1,('NVRAM map'!$AF$3:$AF$319=$A62)*('NVRAM map'!$AI$3:$AI$319&gt;=V$3)*('NVRAM map'!$AJ$3:$AJ$319&lt;=V$3),0),2))</f>
        <v>B2_2</v>
      </c>
      <c r="W62" s="87" t="str">
        <f t="array" aca="1" ref="W62" ca="1">IF(ISNA(INDEX('NVRAM map'!$AF$3:$AG$319,MATCH(1,('NVRAM map'!$AF$3:$AF$319=$A62)*('NVRAM map'!$AI$3:$AI$319&gt;=W$3)*('NVRAM map'!$AJ$3:$AJ$319&lt;=W$3),0),2)),"-",INDEX('NVRAM map'!$AF$3:$AG$319,MATCH(1,('NVRAM map'!$AF$3:$AF$319=$A62)*('NVRAM map'!$AI$3:$AI$319&gt;=W$3)*('NVRAM map'!$AJ$3:$AJ$319&lt;=W$3),0),2))</f>
        <v>B2_2</v>
      </c>
      <c r="X62" s="88" t="str">
        <f ca="1">INDEX('NVRAM map'!$B$3:$B$319,MATCH(A62,'NVRAM map'!$E$3:$E$319,0))</f>
        <v>CUST</v>
      </c>
      <c r="AB62" s="44">
        <f t="shared" ca="1" si="2"/>
        <v>499</v>
      </c>
      <c r="AC62" s="12" t="b">
        <f ca="1">COUNTIF('NVRAM map'!$AD$3:$AE$319,A62)&lt;2</f>
        <v>1</v>
      </c>
      <c r="AD62" s="12">
        <f ca="1">SUMIF('NVRAM map'!$AF$3:$AF$319,A62,'NVRAM map'!$AK$3:$AK$319)</f>
        <v>65535</v>
      </c>
      <c r="AE62" s="12" t="str">
        <f t="shared" ca="1" si="3"/>
        <v>FFFF</v>
      </c>
      <c r="AF62" s="12" t="str">
        <f t="shared" ca="1" si="4"/>
        <v>11111111</v>
      </c>
      <c r="AG62" s="12" t="str">
        <f t="shared" ca="1" si="5"/>
        <v>11111111</v>
      </c>
      <c r="AH62" s="12">
        <f t="shared" ca="1" si="6"/>
        <v>16</v>
      </c>
      <c r="AI62" s="12">
        <f ca="1">SUMIF('NVRAM map'!$AF$3:$AF$319,A62,'NVRAM map'!$AH$3:$AH$319)</f>
        <v>16</v>
      </c>
      <c r="AJ62" s="12" t="b">
        <f t="shared" ca="1" si="7"/>
        <v>1</v>
      </c>
      <c r="AK62" s="12">
        <f ca="1">COUNTIF('NVRAM map'!$AF$3:$AF$319,A62)</f>
        <v>1</v>
      </c>
      <c r="AM62" s="89">
        <v>0</v>
      </c>
      <c r="AN62" s="80">
        <f t="shared" ca="1" si="15"/>
        <v>0</v>
      </c>
      <c r="AO62" s="80">
        <f t="shared" ca="1" si="15"/>
        <v>0</v>
      </c>
      <c r="AP62" s="80">
        <f t="shared" ca="1" si="15"/>
        <v>0</v>
      </c>
      <c r="AQ62" s="80">
        <f t="shared" ca="1" si="15"/>
        <v>0</v>
      </c>
      <c r="AR62" s="80">
        <f t="shared" ca="1" si="15"/>
        <v>0</v>
      </c>
      <c r="AS62" s="80">
        <f t="shared" ca="1" si="15"/>
        <v>0</v>
      </c>
      <c r="AT62" s="80">
        <f t="shared" ca="1" si="15"/>
        <v>0</v>
      </c>
      <c r="AU62" s="80">
        <f t="shared" ca="1" si="15"/>
        <v>0</v>
      </c>
      <c r="AV62" s="80">
        <f t="shared" ca="1" si="15"/>
        <v>0</v>
      </c>
      <c r="AW62" s="80">
        <f t="shared" ca="1" si="15"/>
        <v>0</v>
      </c>
      <c r="AX62" s="80">
        <f t="shared" ca="1" si="15"/>
        <v>0</v>
      </c>
      <c r="AY62" s="80">
        <f t="shared" ca="1" si="15"/>
        <v>0</v>
      </c>
      <c r="AZ62" s="80">
        <f t="shared" ca="1" si="15"/>
        <v>0</v>
      </c>
      <c r="BA62" s="80">
        <f t="shared" ca="1" si="15"/>
        <v>0</v>
      </c>
      <c r="BB62" s="81">
        <f t="shared" ca="1" si="15"/>
        <v>0</v>
      </c>
      <c r="BD62" s="12" t="str">
        <f t="shared" si="9"/>
        <v>0x1074</v>
      </c>
      <c r="BE62" s="12" t="str">
        <f t="shared" ca="1" si="10"/>
        <v>1111011111111100</v>
      </c>
      <c r="BG62" s="53" t="str">
        <f t="shared" ca="1" si="11"/>
        <v>`define EE_B2_2 29</v>
      </c>
    </row>
    <row r="63" spans="1:59">
      <c r="A63" s="82" t="s">
        <v>329</v>
      </c>
      <c r="B63" s="82">
        <v>118</v>
      </c>
      <c r="C63" s="82">
        <v>29</v>
      </c>
      <c r="D63" s="83">
        <f ca="1">SUMIF('NVRAM map'!$AF$3:$AF$319,A63,'NVRAM map'!$AN$3:$AN$319)</f>
        <v>3349</v>
      </c>
      <c r="E63" s="84" t="str">
        <f t="shared" ca="1" si="0"/>
        <v>0D15</v>
      </c>
      <c r="F63" s="85" t="str">
        <f t="shared" ca="1" si="12"/>
        <v>0D15</v>
      </c>
      <c r="G63" s="86" t="str">
        <f ca="1">VLOOKUP(MemoryView!A63,'NVRAM map'!$AD$3:$AE$319,2,0)</f>
        <v>EE_B3_2</v>
      </c>
      <c r="H63" s="87" t="str">
        <f t="array" aca="1" ref="H63" ca="1">IF(ISNA(INDEX('NVRAM map'!$AF$3:$AG$319,MATCH(1,('NVRAM map'!$AF$3:$AF$319=$A63)*('NVRAM map'!$AI$3:$AI$319&gt;=H$3)*('NVRAM map'!$AJ$3:$AJ$319&lt;=H$3),0),2)),"-",INDEX('NVRAM map'!$AF$3:$AG$319,MATCH(1,('NVRAM map'!$AF$3:$AF$319=$A63)*('NVRAM map'!$AI$3:$AI$319&gt;=H$3)*('NVRAM map'!$AJ$3:$AJ$319&lt;=H$3),0),2))</f>
        <v>B3_2</v>
      </c>
      <c r="I63" s="87" t="str">
        <f t="array" aca="1" ref="I63" ca="1">IF(ISNA(INDEX('NVRAM map'!$AF$3:$AG$319,MATCH(1,('NVRAM map'!$AF$3:$AF$319=$A63)*('NVRAM map'!$AI$3:$AI$319&gt;=I$3)*('NVRAM map'!$AJ$3:$AJ$319&lt;=I$3),0),2)),"-",INDEX('NVRAM map'!$AF$3:$AG$319,MATCH(1,('NVRAM map'!$AF$3:$AF$319=$A63)*('NVRAM map'!$AI$3:$AI$319&gt;=I$3)*('NVRAM map'!$AJ$3:$AJ$319&lt;=I$3),0),2))</f>
        <v>B3_2</v>
      </c>
      <c r="J63" s="87" t="str">
        <f t="array" aca="1" ref="J63" ca="1">IF(ISNA(INDEX('NVRAM map'!$AF$3:$AG$319,MATCH(1,('NVRAM map'!$AF$3:$AF$319=$A63)*('NVRAM map'!$AI$3:$AI$319&gt;=J$3)*('NVRAM map'!$AJ$3:$AJ$319&lt;=J$3),0),2)),"-",INDEX('NVRAM map'!$AF$3:$AG$319,MATCH(1,('NVRAM map'!$AF$3:$AF$319=$A63)*('NVRAM map'!$AI$3:$AI$319&gt;=J$3)*('NVRAM map'!$AJ$3:$AJ$319&lt;=J$3),0),2))</f>
        <v>B3_2</v>
      </c>
      <c r="K63" s="87" t="str">
        <f t="array" aca="1" ref="K63" ca="1">IF(ISNA(INDEX('NVRAM map'!$AF$3:$AG$319,MATCH(1,('NVRAM map'!$AF$3:$AF$319=$A63)*('NVRAM map'!$AI$3:$AI$319&gt;=K$3)*('NVRAM map'!$AJ$3:$AJ$319&lt;=K$3),0),2)),"-",INDEX('NVRAM map'!$AF$3:$AG$319,MATCH(1,('NVRAM map'!$AF$3:$AF$319=$A63)*('NVRAM map'!$AI$3:$AI$319&gt;=K$3)*('NVRAM map'!$AJ$3:$AJ$319&lt;=K$3),0),2))</f>
        <v>B3_2</v>
      </c>
      <c r="L63" s="87" t="str">
        <f t="array" aca="1" ref="L63" ca="1">IF(ISNA(INDEX('NVRAM map'!$AF$3:$AG$319,MATCH(1,('NVRAM map'!$AF$3:$AF$319=$A63)*('NVRAM map'!$AI$3:$AI$319&gt;=L$3)*('NVRAM map'!$AJ$3:$AJ$319&lt;=L$3),0),2)),"-",INDEX('NVRAM map'!$AF$3:$AG$319,MATCH(1,('NVRAM map'!$AF$3:$AF$319=$A63)*('NVRAM map'!$AI$3:$AI$319&gt;=L$3)*('NVRAM map'!$AJ$3:$AJ$319&lt;=L$3),0),2))</f>
        <v>B3_2</v>
      </c>
      <c r="M63" s="87" t="str">
        <f t="array" aca="1" ref="M63" ca="1">IF(ISNA(INDEX('NVRAM map'!$AF$3:$AG$319,MATCH(1,('NVRAM map'!$AF$3:$AF$319=$A63)*('NVRAM map'!$AI$3:$AI$319&gt;=M$3)*('NVRAM map'!$AJ$3:$AJ$319&lt;=M$3),0),2)),"-",INDEX('NVRAM map'!$AF$3:$AG$319,MATCH(1,('NVRAM map'!$AF$3:$AF$319=$A63)*('NVRAM map'!$AI$3:$AI$319&gt;=M$3)*('NVRAM map'!$AJ$3:$AJ$319&lt;=M$3),0),2))</f>
        <v>B3_2</v>
      </c>
      <c r="N63" s="87" t="str">
        <f t="array" aca="1" ref="N63" ca="1">IF(ISNA(INDEX('NVRAM map'!$AF$3:$AG$319,MATCH(1,('NVRAM map'!$AF$3:$AF$319=$A63)*('NVRAM map'!$AI$3:$AI$319&gt;=N$3)*('NVRAM map'!$AJ$3:$AJ$319&lt;=N$3),0),2)),"-",INDEX('NVRAM map'!$AF$3:$AG$319,MATCH(1,('NVRAM map'!$AF$3:$AF$319=$A63)*('NVRAM map'!$AI$3:$AI$319&gt;=N$3)*('NVRAM map'!$AJ$3:$AJ$319&lt;=N$3),0),2))</f>
        <v>B3_2</v>
      </c>
      <c r="O63" s="87" t="str">
        <f t="array" aca="1" ref="O63" ca="1">IF(ISNA(INDEX('NVRAM map'!$AF$3:$AG$319,MATCH(1,('NVRAM map'!$AF$3:$AF$319=$A63)*('NVRAM map'!$AI$3:$AI$319&gt;=O$3)*('NVRAM map'!$AJ$3:$AJ$319&lt;=O$3),0),2)),"-",INDEX('NVRAM map'!$AF$3:$AG$319,MATCH(1,('NVRAM map'!$AF$3:$AF$319=$A63)*('NVRAM map'!$AI$3:$AI$319&gt;=O$3)*('NVRAM map'!$AJ$3:$AJ$319&lt;=O$3),0),2))</f>
        <v>B3_2</v>
      </c>
      <c r="P63" s="87" t="str">
        <f t="array" aca="1" ref="P63" ca="1">IF(ISNA(INDEX('NVRAM map'!$AF$3:$AG$319,MATCH(1,('NVRAM map'!$AF$3:$AF$319=$A63)*('NVRAM map'!$AI$3:$AI$319&gt;=P$3)*('NVRAM map'!$AJ$3:$AJ$319&lt;=P$3),0),2)),"-",INDEX('NVRAM map'!$AF$3:$AG$319,MATCH(1,('NVRAM map'!$AF$3:$AF$319=$A63)*('NVRAM map'!$AI$3:$AI$319&gt;=P$3)*('NVRAM map'!$AJ$3:$AJ$319&lt;=P$3),0),2))</f>
        <v>B3_2</v>
      </c>
      <c r="Q63" s="87" t="str">
        <f t="array" aca="1" ref="Q63" ca="1">IF(ISNA(INDEX('NVRAM map'!$AF$3:$AG$319,MATCH(1,('NVRAM map'!$AF$3:$AF$319=$A63)*('NVRAM map'!$AI$3:$AI$319&gt;=Q$3)*('NVRAM map'!$AJ$3:$AJ$319&lt;=Q$3),0),2)),"-",INDEX('NVRAM map'!$AF$3:$AG$319,MATCH(1,('NVRAM map'!$AF$3:$AF$319=$A63)*('NVRAM map'!$AI$3:$AI$319&gt;=Q$3)*('NVRAM map'!$AJ$3:$AJ$319&lt;=Q$3),0),2))</f>
        <v>B3_2</v>
      </c>
      <c r="R63" s="87" t="str">
        <f t="array" aca="1" ref="R63" ca="1">IF(ISNA(INDEX('NVRAM map'!$AF$3:$AG$319,MATCH(1,('NVRAM map'!$AF$3:$AF$319=$A63)*('NVRAM map'!$AI$3:$AI$319&gt;=R$3)*('NVRAM map'!$AJ$3:$AJ$319&lt;=R$3),0),2)),"-",INDEX('NVRAM map'!$AF$3:$AG$319,MATCH(1,('NVRAM map'!$AF$3:$AF$319=$A63)*('NVRAM map'!$AI$3:$AI$319&gt;=R$3)*('NVRAM map'!$AJ$3:$AJ$319&lt;=R$3),0),2))</f>
        <v>B3_2</v>
      </c>
      <c r="S63" s="87" t="str">
        <f t="array" aca="1" ref="S63" ca="1">IF(ISNA(INDEX('NVRAM map'!$AF$3:$AG$319,MATCH(1,('NVRAM map'!$AF$3:$AF$319=$A63)*('NVRAM map'!$AI$3:$AI$319&gt;=S$3)*('NVRAM map'!$AJ$3:$AJ$319&lt;=S$3),0),2)),"-",INDEX('NVRAM map'!$AF$3:$AG$319,MATCH(1,('NVRAM map'!$AF$3:$AF$319=$A63)*('NVRAM map'!$AI$3:$AI$319&gt;=S$3)*('NVRAM map'!$AJ$3:$AJ$319&lt;=S$3),0),2))</f>
        <v>B3_2</v>
      </c>
      <c r="T63" s="87" t="str">
        <f t="array" aca="1" ref="T63" ca="1">IF(ISNA(INDEX('NVRAM map'!$AF$3:$AG$319,MATCH(1,('NVRAM map'!$AF$3:$AF$319=$A63)*('NVRAM map'!$AI$3:$AI$319&gt;=T$3)*('NVRAM map'!$AJ$3:$AJ$319&lt;=T$3),0),2)),"-",INDEX('NVRAM map'!$AF$3:$AG$319,MATCH(1,('NVRAM map'!$AF$3:$AF$319=$A63)*('NVRAM map'!$AI$3:$AI$319&gt;=T$3)*('NVRAM map'!$AJ$3:$AJ$319&lt;=T$3),0),2))</f>
        <v>B3_2</v>
      </c>
      <c r="U63" s="87" t="str">
        <f t="array" aca="1" ref="U63" ca="1">IF(ISNA(INDEX('NVRAM map'!$AF$3:$AG$319,MATCH(1,('NVRAM map'!$AF$3:$AF$319=$A63)*('NVRAM map'!$AI$3:$AI$319&gt;=U$3)*('NVRAM map'!$AJ$3:$AJ$319&lt;=U$3),0),2)),"-",INDEX('NVRAM map'!$AF$3:$AG$319,MATCH(1,('NVRAM map'!$AF$3:$AF$319=$A63)*('NVRAM map'!$AI$3:$AI$319&gt;=U$3)*('NVRAM map'!$AJ$3:$AJ$319&lt;=U$3),0),2))</f>
        <v>B3_2</v>
      </c>
      <c r="V63" s="87" t="str">
        <f t="array" aca="1" ref="V63" ca="1">IF(ISNA(INDEX('NVRAM map'!$AF$3:$AG$319,MATCH(1,('NVRAM map'!$AF$3:$AF$319=$A63)*('NVRAM map'!$AI$3:$AI$319&gt;=V$3)*('NVRAM map'!$AJ$3:$AJ$319&lt;=V$3),0),2)),"-",INDEX('NVRAM map'!$AF$3:$AG$319,MATCH(1,('NVRAM map'!$AF$3:$AF$319=$A63)*('NVRAM map'!$AI$3:$AI$319&gt;=V$3)*('NVRAM map'!$AJ$3:$AJ$319&lt;=V$3),0),2))</f>
        <v>B3_2</v>
      </c>
      <c r="W63" s="87" t="str">
        <f t="array" aca="1" ref="W63" ca="1">IF(ISNA(INDEX('NVRAM map'!$AF$3:$AG$319,MATCH(1,('NVRAM map'!$AF$3:$AF$319=$A63)*('NVRAM map'!$AI$3:$AI$319&gt;=W$3)*('NVRAM map'!$AJ$3:$AJ$319&lt;=W$3),0),2)),"-",INDEX('NVRAM map'!$AF$3:$AG$319,MATCH(1,('NVRAM map'!$AF$3:$AF$319=$A63)*('NVRAM map'!$AI$3:$AI$319&gt;=W$3)*('NVRAM map'!$AJ$3:$AJ$319&lt;=W$3),0),2))</f>
        <v>B3_2</v>
      </c>
      <c r="X63" s="88" t="str">
        <f ca="1">INDEX('NVRAM map'!$B$3:$B$319,MATCH(A63,'NVRAM map'!$E$3:$E$319,0))</f>
        <v>CUST</v>
      </c>
      <c r="AB63" s="44">
        <f t="shared" ca="1" si="2"/>
        <v>34</v>
      </c>
      <c r="AC63" s="12" t="b">
        <f ca="1">COUNTIF('NVRAM map'!$AD$3:$AE$319,A63)&lt;2</f>
        <v>1</v>
      </c>
      <c r="AD63" s="12">
        <f ca="1">SUMIF('NVRAM map'!$AF$3:$AF$319,A63,'NVRAM map'!$AK$3:$AK$319)</f>
        <v>65535</v>
      </c>
      <c r="AE63" s="12" t="str">
        <f t="shared" ca="1" si="3"/>
        <v>FFFF</v>
      </c>
      <c r="AF63" s="12" t="str">
        <f t="shared" ca="1" si="4"/>
        <v>11111111</v>
      </c>
      <c r="AG63" s="12" t="str">
        <f t="shared" ca="1" si="5"/>
        <v>11111111</v>
      </c>
      <c r="AH63" s="12">
        <f t="shared" ca="1" si="6"/>
        <v>16</v>
      </c>
      <c r="AI63" s="12">
        <f ca="1">SUMIF('NVRAM map'!$AF$3:$AF$319,A63,'NVRAM map'!$AH$3:$AH$319)</f>
        <v>16</v>
      </c>
      <c r="AJ63" s="12" t="b">
        <f t="shared" ca="1" si="7"/>
        <v>1</v>
      </c>
      <c r="AK63" s="12">
        <f ca="1">COUNTIF('NVRAM map'!$AF$3:$AF$319,A63)</f>
        <v>1</v>
      </c>
      <c r="AM63" s="89">
        <v>0</v>
      </c>
      <c r="AN63" s="80">
        <f t="shared" ca="1" si="15"/>
        <v>0</v>
      </c>
      <c r="AO63" s="80">
        <f t="shared" ca="1" si="15"/>
        <v>0</v>
      </c>
      <c r="AP63" s="80">
        <f t="shared" ca="1" si="15"/>
        <v>0</v>
      </c>
      <c r="AQ63" s="80">
        <f t="shared" ca="1" si="15"/>
        <v>0</v>
      </c>
      <c r="AR63" s="80">
        <f t="shared" ca="1" si="15"/>
        <v>0</v>
      </c>
      <c r="AS63" s="80">
        <f t="shared" ca="1" si="15"/>
        <v>0</v>
      </c>
      <c r="AT63" s="80">
        <f t="shared" ca="1" si="15"/>
        <v>0</v>
      </c>
      <c r="AU63" s="80">
        <f t="shared" ca="1" si="15"/>
        <v>0</v>
      </c>
      <c r="AV63" s="80">
        <f t="shared" ca="1" si="15"/>
        <v>0</v>
      </c>
      <c r="AW63" s="80">
        <f t="shared" ca="1" si="15"/>
        <v>0</v>
      </c>
      <c r="AX63" s="80">
        <f t="shared" ca="1" si="15"/>
        <v>0</v>
      </c>
      <c r="AY63" s="80">
        <f t="shared" ca="1" si="15"/>
        <v>0</v>
      </c>
      <c r="AZ63" s="80">
        <f t="shared" ca="1" si="15"/>
        <v>0</v>
      </c>
      <c r="BA63" s="80">
        <f t="shared" ca="1" si="15"/>
        <v>0</v>
      </c>
      <c r="BB63" s="81">
        <f t="shared" ca="1" si="15"/>
        <v>0</v>
      </c>
      <c r="BD63" s="12" t="str">
        <f t="shared" si="9"/>
        <v>0x1076</v>
      </c>
      <c r="BE63" s="12" t="str">
        <f t="shared" ca="1" si="10"/>
        <v>0000110100010101</v>
      </c>
      <c r="BG63" s="53" t="str">
        <f t="shared" ca="1" si="11"/>
        <v>`define EE_B3_2 29</v>
      </c>
    </row>
    <row r="64" spans="1:59">
      <c r="A64" s="82" t="s">
        <v>330</v>
      </c>
      <c r="B64" s="82">
        <v>120</v>
      </c>
      <c r="C64" s="82">
        <v>30</v>
      </c>
      <c r="D64" s="83">
        <f ca="1">SUMIF('NVRAM map'!$AF$3:$AF$319,A64,'NVRAM map'!$AN$3:$AN$319)</f>
        <v>2</v>
      </c>
      <c r="E64" s="84" t="str">
        <f t="shared" ca="1" si="0"/>
        <v>0002</v>
      </c>
      <c r="F64" s="85" t="str">
        <f t="shared" ca="1" si="12"/>
        <v>0002</v>
      </c>
      <c r="G64" s="86" t="str">
        <f ca="1">VLOOKUP(MemoryView!A64,'NVRAM map'!$AD$3:$AE$319,2,0)</f>
        <v>EE_C0_2</v>
      </c>
      <c r="H64" s="87" t="str">
        <f t="array" aca="1" ref="H64" ca="1">IF(ISNA(INDEX('NVRAM map'!$AF$3:$AG$319,MATCH(1,('NVRAM map'!$AF$3:$AF$319=$A64)*('NVRAM map'!$AI$3:$AI$319&gt;=H$3)*('NVRAM map'!$AJ$3:$AJ$319&lt;=H$3),0),2)),"-",INDEX('NVRAM map'!$AF$3:$AG$319,MATCH(1,('NVRAM map'!$AF$3:$AF$319=$A64)*('NVRAM map'!$AI$3:$AI$319&gt;=H$3)*('NVRAM map'!$AJ$3:$AJ$319&lt;=H$3),0),2))</f>
        <v>C0_2</v>
      </c>
      <c r="I64" s="87" t="str">
        <f t="array" aca="1" ref="I64" ca="1">IF(ISNA(INDEX('NVRAM map'!$AF$3:$AG$319,MATCH(1,('NVRAM map'!$AF$3:$AF$319=$A64)*('NVRAM map'!$AI$3:$AI$319&gt;=I$3)*('NVRAM map'!$AJ$3:$AJ$319&lt;=I$3),0),2)),"-",INDEX('NVRAM map'!$AF$3:$AG$319,MATCH(1,('NVRAM map'!$AF$3:$AF$319=$A64)*('NVRAM map'!$AI$3:$AI$319&gt;=I$3)*('NVRAM map'!$AJ$3:$AJ$319&lt;=I$3),0),2))</f>
        <v>C0_2</v>
      </c>
      <c r="J64" s="87" t="str">
        <f t="array" aca="1" ref="J64" ca="1">IF(ISNA(INDEX('NVRAM map'!$AF$3:$AG$319,MATCH(1,('NVRAM map'!$AF$3:$AF$319=$A64)*('NVRAM map'!$AI$3:$AI$319&gt;=J$3)*('NVRAM map'!$AJ$3:$AJ$319&lt;=J$3),0),2)),"-",INDEX('NVRAM map'!$AF$3:$AG$319,MATCH(1,('NVRAM map'!$AF$3:$AF$319=$A64)*('NVRAM map'!$AI$3:$AI$319&gt;=J$3)*('NVRAM map'!$AJ$3:$AJ$319&lt;=J$3),0),2))</f>
        <v>C0_2</v>
      </c>
      <c r="K64" s="87" t="str">
        <f t="array" aca="1" ref="K64" ca="1">IF(ISNA(INDEX('NVRAM map'!$AF$3:$AG$319,MATCH(1,('NVRAM map'!$AF$3:$AF$319=$A64)*('NVRAM map'!$AI$3:$AI$319&gt;=K$3)*('NVRAM map'!$AJ$3:$AJ$319&lt;=K$3),0),2)),"-",INDEX('NVRAM map'!$AF$3:$AG$319,MATCH(1,('NVRAM map'!$AF$3:$AF$319=$A64)*('NVRAM map'!$AI$3:$AI$319&gt;=K$3)*('NVRAM map'!$AJ$3:$AJ$319&lt;=K$3),0),2))</f>
        <v>C0_2</v>
      </c>
      <c r="L64" s="87" t="str">
        <f t="array" aca="1" ref="L64" ca="1">IF(ISNA(INDEX('NVRAM map'!$AF$3:$AG$319,MATCH(1,('NVRAM map'!$AF$3:$AF$319=$A64)*('NVRAM map'!$AI$3:$AI$319&gt;=L$3)*('NVRAM map'!$AJ$3:$AJ$319&lt;=L$3),0),2)),"-",INDEX('NVRAM map'!$AF$3:$AG$319,MATCH(1,('NVRAM map'!$AF$3:$AF$319=$A64)*('NVRAM map'!$AI$3:$AI$319&gt;=L$3)*('NVRAM map'!$AJ$3:$AJ$319&lt;=L$3),0),2))</f>
        <v>C0_2</v>
      </c>
      <c r="M64" s="87" t="str">
        <f t="array" aca="1" ref="M64" ca="1">IF(ISNA(INDEX('NVRAM map'!$AF$3:$AG$319,MATCH(1,('NVRAM map'!$AF$3:$AF$319=$A64)*('NVRAM map'!$AI$3:$AI$319&gt;=M$3)*('NVRAM map'!$AJ$3:$AJ$319&lt;=M$3),0),2)),"-",INDEX('NVRAM map'!$AF$3:$AG$319,MATCH(1,('NVRAM map'!$AF$3:$AF$319=$A64)*('NVRAM map'!$AI$3:$AI$319&gt;=M$3)*('NVRAM map'!$AJ$3:$AJ$319&lt;=M$3),0),2))</f>
        <v>C0_2</v>
      </c>
      <c r="N64" s="87" t="str">
        <f t="array" aca="1" ref="N64" ca="1">IF(ISNA(INDEX('NVRAM map'!$AF$3:$AG$319,MATCH(1,('NVRAM map'!$AF$3:$AF$319=$A64)*('NVRAM map'!$AI$3:$AI$319&gt;=N$3)*('NVRAM map'!$AJ$3:$AJ$319&lt;=N$3),0),2)),"-",INDEX('NVRAM map'!$AF$3:$AG$319,MATCH(1,('NVRAM map'!$AF$3:$AF$319=$A64)*('NVRAM map'!$AI$3:$AI$319&gt;=N$3)*('NVRAM map'!$AJ$3:$AJ$319&lt;=N$3),0),2))</f>
        <v>C0_2</v>
      </c>
      <c r="O64" s="87" t="str">
        <f t="array" aca="1" ref="O64" ca="1">IF(ISNA(INDEX('NVRAM map'!$AF$3:$AG$319,MATCH(1,('NVRAM map'!$AF$3:$AF$319=$A64)*('NVRAM map'!$AI$3:$AI$319&gt;=O$3)*('NVRAM map'!$AJ$3:$AJ$319&lt;=O$3),0),2)),"-",INDEX('NVRAM map'!$AF$3:$AG$319,MATCH(1,('NVRAM map'!$AF$3:$AF$319=$A64)*('NVRAM map'!$AI$3:$AI$319&gt;=O$3)*('NVRAM map'!$AJ$3:$AJ$319&lt;=O$3),0),2))</f>
        <v>C0_2</v>
      </c>
      <c r="P64" s="87" t="str">
        <f t="array" aca="1" ref="P64" ca="1">IF(ISNA(INDEX('NVRAM map'!$AF$3:$AG$319,MATCH(1,('NVRAM map'!$AF$3:$AF$319=$A64)*('NVRAM map'!$AI$3:$AI$319&gt;=P$3)*('NVRAM map'!$AJ$3:$AJ$319&lt;=P$3),0),2)),"-",INDEX('NVRAM map'!$AF$3:$AG$319,MATCH(1,('NVRAM map'!$AF$3:$AF$319=$A64)*('NVRAM map'!$AI$3:$AI$319&gt;=P$3)*('NVRAM map'!$AJ$3:$AJ$319&lt;=P$3),0),2))</f>
        <v>C0_2</v>
      </c>
      <c r="Q64" s="87" t="str">
        <f t="array" aca="1" ref="Q64" ca="1">IF(ISNA(INDEX('NVRAM map'!$AF$3:$AG$319,MATCH(1,('NVRAM map'!$AF$3:$AF$319=$A64)*('NVRAM map'!$AI$3:$AI$319&gt;=Q$3)*('NVRAM map'!$AJ$3:$AJ$319&lt;=Q$3),0),2)),"-",INDEX('NVRAM map'!$AF$3:$AG$319,MATCH(1,('NVRAM map'!$AF$3:$AF$319=$A64)*('NVRAM map'!$AI$3:$AI$319&gt;=Q$3)*('NVRAM map'!$AJ$3:$AJ$319&lt;=Q$3),0),2))</f>
        <v>C0_2</v>
      </c>
      <c r="R64" s="87" t="str">
        <f t="array" aca="1" ref="R64" ca="1">IF(ISNA(INDEX('NVRAM map'!$AF$3:$AG$319,MATCH(1,('NVRAM map'!$AF$3:$AF$319=$A64)*('NVRAM map'!$AI$3:$AI$319&gt;=R$3)*('NVRAM map'!$AJ$3:$AJ$319&lt;=R$3),0),2)),"-",INDEX('NVRAM map'!$AF$3:$AG$319,MATCH(1,('NVRAM map'!$AF$3:$AF$319=$A64)*('NVRAM map'!$AI$3:$AI$319&gt;=R$3)*('NVRAM map'!$AJ$3:$AJ$319&lt;=R$3),0),2))</f>
        <v>C0_2</v>
      </c>
      <c r="S64" s="87" t="str">
        <f t="array" aca="1" ref="S64" ca="1">IF(ISNA(INDEX('NVRAM map'!$AF$3:$AG$319,MATCH(1,('NVRAM map'!$AF$3:$AF$319=$A64)*('NVRAM map'!$AI$3:$AI$319&gt;=S$3)*('NVRAM map'!$AJ$3:$AJ$319&lt;=S$3),0),2)),"-",INDEX('NVRAM map'!$AF$3:$AG$319,MATCH(1,('NVRAM map'!$AF$3:$AF$319=$A64)*('NVRAM map'!$AI$3:$AI$319&gt;=S$3)*('NVRAM map'!$AJ$3:$AJ$319&lt;=S$3),0),2))</f>
        <v>C0_2</v>
      </c>
      <c r="T64" s="87" t="str">
        <f t="array" aca="1" ref="T64" ca="1">IF(ISNA(INDEX('NVRAM map'!$AF$3:$AG$319,MATCH(1,('NVRAM map'!$AF$3:$AF$319=$A64)*('NVRAM map'!$AI$3:$AI$319&gt;=T$3)*('NVRAM map'!$AJ$3:$AJ$319&lt;=T$3),0),2)),"-",INDEX('NVRAM map'!$AF$3:$AG$319,MATCH(1,('NVRAM map'!$AF$3:$AF$319=$A64)*('NVRAM map'!$AI$3:$AI$319&gt;=T$3)*('NVRAM map'!$AJ$3:$AJ$319&lt;=T$3),0),2))</f>
        <v>C0_2</v>
      </c>
      <c r="U64" s="87" t="str">
        <f t="array" aca="1" ref="U64" ca="1">IF(ISNA(INDEX('NVRAM map'!$AF$3:$AG$319,MATCH(1,('NVRAM map'!$AF$3:$AF$319=$A64)*('NVRAM map'!$AI$3:$AI$319&gt;=U$3)*('NVRAM map'!$AJ$3:$AJ$319&lt;=U$3),0),2)),"-",INDEX('NVRAM map'!$AF$3:$AG$319,MATCH(1,('NVRAM map'!$AF$3:$AF$319=$A64)*('NVRAM map'!$AI$3:$AI$319&gt;=U$3)*('NVRAM map'!$AJ$3:$AJ$319&lt;=U$3),0),2))</f>
        <v>C0_2</v>
      </c>
      <c r="V64" s="87" t="str">
        <f t="array" aca="1" ref="V64" ca="1">IF(ISNA(INDEX('NVRAM map'!$AF$3:$AG$319,MATCH(1,('NVRAM map'!$AF$3:$AF$319=$A64)*('NVRAM map'!$AI$3:$AI$319&gt;=V$3)*('NVRAM map'!$AJ$3:$AJ$319&lt;=V$3),0),2)),"-",INDEX('NVRAM map'!$AF$3:$AG$319,MATCH(1,('NVRAM map'!$AF$3:$AF$319=$A64)*('NVRAM map'!$AI$3:$AI$319&gt;=V$3)*('NVRAM map'!$AJ$3:$AJ$319&lt;=V$3),0),2))</f>
        <v>C0_2</v>
      </c>
      <c r="W64" s="87" t="str">
        <f t="array" aca="1" ref="W64" ca="1">IF(ISNA(INDEX('NVRAM map'!$AF$3:$AG$319,MATCH(1,('NVRAM map'!$AF$3:$AF$319=$A64)*('NVRAM map'!$AI$3:$AI$319&gt;=W$3)*('NVRAM map'!$AJ$3:$AJ$319&lt;=W$3),0),2)),"-",INDEX('NVRAM map'!$AF$3:$AG$319,MATCH(1,('NVRAM map'!$AF$3:$AF$319=$A64)*('NVRAM map'!$AI$3:$AI$319&gt;=W$3)*('NVRAM map'!$AJ$3:$AJ$319&lt;=W$3),0),2))</f>
        <v>C0_2</v>
      </c>
      <c r="X64" s="88" t="str">
        <f ca="1">INDEX('NVRAM map'!$B$3:$B$319,MATCH(A64,'NVRAM map'!$E$3:$E$319,0))</f>
        <v>CUST</v>
      </c>
      <c r="AB64" s="44">
        <f t="shared" ca="1" si="2"/>
        <v>2</v>
      </c>
      <c r="AC64" s="12" t="b">
        <f ca="1">COUNTIF('NVRAM map'!$AD$3:$AE$319,A64)&lt;2</f>
        <v>1</v>
      </c>
      <c r="AD64" s="12">
        <f ca="1">SUMIF('NVRAM map'!$AF$3:$AF$319,A64,'NVRAM map'!$AK$3:$AK$319)</f>
        <v>65535</v>
      </c>
      <c r="AE64" s="12" t="str">
        <f t="shared" ca="1" si="3"/>
        <v>FFFF</v>
      </c>
      <c r="AF64" s="12" t="str">
        <f t="shared" ca="1" si="4"/>
        <v>11111111</v>
      </c>
      <c r="AG64" s="12" t="str">
        <f t="shared" ca="1" si="5"/>
        <v>11111111</v>
      </c>
      <c r="AH64" s="12">
        <f t="shared" ca="1" si="6"/>
        <v>16</v>
      </c>
      <c r="AI64" s="12">
        <f ca="1">SUMIF('NVRAM map'!$AF$3:$AF$319,A64,'NVRAM map'!$AH$3:$AH$319)</f>
        <v>16</v>
      </c>
      <c r="AJ64" s="12" t="b">
        <f t="shared" ca="1" si="7"/>
        <v>1</v>
      </c>
      <c r="AK64" s="12">
        <f ca="1">COUNTIF('NVRAM map'!$AF$3:$AF$319,A64)</f>
        <v>1</v>
      </c>
      <c r="AM64" s="89">
        <v>0</v>
      </c>
      <c r="AN64" s="80">
        <f t="shared" ca="1" si="15"/>
        <v>0</v>
      </c>
      <c r="AO64" s="80">
        <f t="shared" ca="1" si="15"/>
        <v>0</v>
      </c>
      <c r="AP64" s="80">
        <f t="shared" ca="1" si="15"/>
        <v>0</v>
      </c>
      <c r="AQ64" s="80">
        <f t="shared" ca="1" si="15"/>
        <v>0</v>
      </c>
      <c r="AR64" s="80">
        <f t="shared" ca="1" si="15"/>
        <v>0</v>
      </c>
      <c r="AS64" s="80">
        <f t="shared" ca="1" si="15"/>
        <v>0</v>
      </c>
      <c r="AT64" s="80">
        <f t="shared" ca="1" si="15"/>
        <v>0</v>
      </c>
      <c r="AU64" s="80">
        <f t="shared" ca="1" si="15"/>
        <v>0</v>
      </c>
      <c r="AV64" s="80">
        <f t="shared" ca="1" si="15"/>
        <v>0</v>
      </c>
      <c r="AW64" s="80">
        <f t="shared" ca="1" si="15"/>
        <v>0</v>
      </c>
      <c r="AX64" s="80">
        <f t="shared" ca="1" si="15"/>
        <v>0</v>
      </c>
      <c r="AY64" s="80">
        <f t="shared" ca="1" si="15"/>
        <v>0</v>
      </c>
      <c r="AZ64" s="80">
        <f t="shared" ca="1" si="15"/>
        <v>0</v>
      </c>
      <c r="BA64" s="80">
        <f t="shared" ca="1" si="15"/>
        <v>0</v>
      </c>
      <c r="BB64" s="81">
        <f t="shared" ca="1" si="15"/>
        <v>0</v>
      </c>
      <c r="BD64" s="12" t="str">
        <f t="shared" si="9"/>
        <v>0x1078</v>
      </c>
      <c r="BE64" s="12" t="str">
        <f t="shared" ca="1" si="10"/>
        <v>0000000000000010</v>
      </c>
      <c r="BG64" s="53" t="str">
        <f t="shared" ca="1" si="11"/>
        <v>`define EE_C0_2 30</v>
      </c>
    </row>
    <row r="65" spans="1:59">
      <c r="A65" s="82" t="s">
        <v>331</v>
      </c>
      <c r="B65" s="82">
        <v>122</v>
      </c>
      <c r="C65" s="82">
        <v>30</v>
      </c>
      <c r="D65" s="83">
        <f ca="1">SUMIF('NVRAM map'!$AF$3:$AF$319,A65,'NVRAM map'!$AN$3:$AN$319)</f>
        <v>0</v>
      </c>
      <c r="E65" s="84" t="str">
        <f t="shared" ca="1" si="0"/>
        <v>0000</v>
      </c>
      <c r="F65" s="85" t="str">
        <f t="shared" ca="1" si="12"/>
        <v>0000</v>
      </c>
      <c r="G65" s="86" t="str">
        <f ca="1">VLOOKUP(MemoryView!A65,'NVRAM map'!$AD$3:$AE$319,2,0)</f>
        <v>EE_C1_2</v>
      </c>
      <c r="H65" s="87" t="str">
        <f t="array" aca="1" ref="H65" ca="1">IF(ISNA(INDEX('NVRAM map'!$AF$3:$AG$319,MATCH(1,('NVRAM map'!$AF$3:$AF$319=$A65)*('NVRAM map'!$AI$3:$AI$319&gt;=H$3)*('NVRAM map'!$AJ$3:$AJ$319&lt;=H$3),0),2)),"-",INDEX('NVRAM map'!$AF$3:$AG$319,MATCH(1,('NVRAM map'!$AF$3:$AF$319=$A65)*('NVRAM map'!$AI$3:$AI$319&gt;=H$3)*('NVRAM map'!$AJ$3:$AJ$319&lt;=H$3),0),2))</f>
        <v>C1_2</v>
      </c>
      <c r="I65" s="87" t="str">
        <f t="array" aca="1" ref="I65" ca="1">IF(ISNA(INDEX('NVRAM map'!$AF$3:$AG$319,MATCH(1,('NVRAM map'!$AF$3:$AF$319=$A65)*('NVRAM map'!$AI$3:$AI$319&gt;=I$3)*('NVRAM map'!$AJ$3:$AJ$319&lt;=I$3),0),2)),"-",INDEX('NVRAM map'!$AF$3:$AG$319,MATCH(1,('NVRAM map'!$AF$3:$AF$319=$A65)*('NVRAM map'!$AI$3:$AI$319&gt;=I$3)*('NVRAM map'!$AJ$3:$AJ$319&lt;=I$3),0),2))</f>
        <v>C1_2</v>
      </c>
      <c r="J65" s="87" t="str">
        <f t="array" aca="1" ref="J65" ca="1">IF(ISNA(INDEX('NVRAM map'!$AF$3:$AG$319,MATCH(1,('NVRAM map'!$AF$3:$AF$319=$A65)*('NVRAM map'!$AI$3:$AI$319&gt;=J$3)*('NVRAM map'!$AJ$3:$AJ$319&lt;=J$3),0),2)),"-",INDEX('NVRAM map'!$AF$3:$AG$319,MATCH(1,('NVRAM map'!$AF$3:$AF$319=$A65)*('NVRAM map'!$AI$3:$AI$319&gt;=J$3)*('NVRAM map'!$AJ$3:$AJ$319&lt;=J$3),0),2))</f>
        <v>C1_2</v>
      </c>
      <c r="K65" s="87" t="str">
        <f t="array" aca="1" ref="K65" ca="1">IF(ISNA(INDEX('NVRAM map'!$AF$3:$AG$319,MATCH(1,('NVRAM map'!$AF$3:$AF$319=$A65)*('NVRAM map'!$AI$3:$AI$319&gt;=K$3)*('NVRAM map'!$AJ$3:$AJ$319&lt;=K$3),0),2)),"-",INDEX('NVRAM map'!$AF$3:$AG$319,MATCH(1,('NVRAM map'!$AF$3:$AF$319=$A65)*('NVRAM map'!$AI$3:$AI$319&gt;=K$3)*('NVRAM map'!$AJ$3:$AJ$319&lt;=K$3),0),2))</f>
        <v>C1_2</v>
      </c>
      <c r="L65" s="87" t="str">
        <f t="array" aca="1" ref="L65" ca="1">IF(ISNA(INDEX('NVRAM map'!$AF$3:$AG$319,MATCH(1,('NVRAM map'!$AF$3:$AF$319=$A65)*('NVRAM map'!$AI$3:$AI$319&gt;=L$3)*('NVRAM map'!$AJ$3:$AJ$319&lt;=L$3),0),2)),"-",INDEX('NVRAM map'!$AF$3:$AG$319,MATCH(1,('NVRAM map'!$AF$3:$AF$319=$A65)*('NVRAM map'!$AI$3:$AI$319&gt;=L$3)*('NVRAM map'!$AJ$3:$AJ$319&lt;=L$3),0),2))</f>
        <v>C1_2</v>
      </c>
      <c r="M65" s="87" t="str">
        <f t="array" aca="1" ref="M65" ca="1">IF(ISNA(INDEX('NVRAM map'!$AF$3:$AG$319,MATCH(1,('NVRAM map'!$AF$3:$AF$319=$A65)*('NVRAM map'!$AI$3:$AI$319&gt;=M$3)*('NVRAM map'!$AJ$3:$AJ$319&lt;=M$3),0),2)),"-",INDEX('NVRAM map'!$AF$3:$AG$319,MATCH(1,('NVRAM map'!$AF$3:$AF$319=$A65)*('NVRAM map'!$AI$3:$AI$319&gt;=M$3)*('NVRAM map'!$AJ$3:$AJ$319&lt;=M$3),0),2))</f>
        <v>C1_2</v>
      </c>
      <c r="N65" s="87" t="str">
        <f t="array" aca="1" ref="N65" ca="1">IF(ISNA(INDEX('NVRAM map'!$AF$3:$AG$319,MATCH(1,('NVRAM map'!$AF$3:$AF$319=$A65)*('NVRAM map'!$AI$3:$AI$319&gt;=N$3)*('NVRAM map'!$AJ$3:$AJ$319&lt;=N$3),0),2)),"-",INDEX('NVRAM map'!$AF$3:$AG$319,MATCH(1,('NVRAM map'!$AF$3:$AF$319=$A65)*('NVRAM map'!$AI$3:$AI$319&gt;=N$3)*('NVRAM map'!$AJ$3:$AJ$319&lt;=N$3),0),2))</f>
        <v>C1_2</v>
      </c>
      <c r="O65" s="87" t="str">
        <f t="array" aca="1" ref="O65" ca="1">IF(ISNA(INDEX('NVRAM map'!$AF$3:$AG$319,MATCH(1,('NVRAM map'!$AF$3:$AF$319=$A65)*('NVRAM map'!$AI$3:$AI$319&gt;=O$3)*('NVRAM map'!$AJ$3:$AJ$319&lt;=O$3),0),2)),"-",INDEX('NVRAM map'!$AF$3:$AG$319,MATCH(1,('NVRAM map'!$AF$3:$AF$319=$A65)*('NVRAM map'!$AI$3:$AI$319&gt;=O$3)*('NVRAM map'!$AJ$3:$AJ$319&lt;=O$3),0),2))</f>
        <v>C1_2</v>
      </c>
      <c r="P65" s="87" t="str">
        <f t="array" aca="1" ref="P65" ca="1">IF(ISNA(INDEX('NVRAM map'!$AF$3:$AG$319,MATCH(1,('NVRAM map'!$AF$3:$AF$319=$A65)*('NVRAM map'!$AI$3:$AI$319&gt;=P$3)*('NVRAM map'!$AJ$3:$AJ$319&lt;=P$3),0),2)),"-",INDEX('NVRAM map'!$AF$3:$AG$319,MATCH(1,('NVRAM map'!$AF$3:$AF$319=$A65)*('NVRAM map'!$AI$3:$AI$319&gt;=P$3)*('NVRAM map'!$AJ$3:$AJ$319&lt;=P$3),0),2))</f>
        <v>C1_2</v>
      </c>
      <c r="Q65" s="87" t="str">
        <f t="array" aca="1" ref="Q65" ca="1">IF(ISNA(INDEX('NVRAM map'!$AF$3:$AG$319,MATCH(1,('NVRAM map'!$AF$3:$AF$319=$A65)*('NVRAM map'!$AI$3:$AI$319&gt;=Q$3)*('NVRAM map'!$AJ$3:$AJ$319&lt;=Q$3),0),2)),"-",INDEX('NVRAM map'!$AF$3:$AG$319,MATCH(1,('NVRAM map'!$AF$3:$AF$319=$A65)*('NVRAM map'!$AI$3:$AI$319&gt;=Q$3)*('NVRAM map'!$AJ$3:$AJ$319&lt;=Q$3),0),2))</f>
        <v>C1_2</v>
      </c>
      <c r="R65" s="87" t="str">
        <f t="array" aca="1" ref="R65" ca="1">IF(ISNA(INDEX('NVRAM map'!$AF$3:$AG$319,MATCH(1,('NVRAM map'!$AF$3:$AF$319=$A65)*('NVRAM map'!$AI$3:$AI$319&gt;=R$3)*('NVRAM map'!$AJ$3:$AJ$319&lt;=R$3),0),2)),"-",INDEX('NVRAM map'!$AF$3:$AG$319,MATCH(1,('NVRAM map'!$AF$3:$AF$319=$A65)*('NVRAM map'!$AI$3:$AI$319&gt;=R$3)*('NVRAM map'!$AJ$3:$AJ$319&lt;=R$3),0),2))</f>
        <v>C1_2</v>
      </c>
      <c r="S65" s="87" t="str">
        <f t="array" aca="1" ref="S65" ca="1">IF(ISNA(INDEX('NVRAM map'!$AF$3:$AG$319,MATCH(1,('NVRAM map'!$AF$3:$AF$319=$A65)*('NVRAM map'!$AI$3:$AI$319&gt;=S$3)*('NVRAM map'!$AJ$3:$AJ$319&lt;=S$3),0),2)),"-",INDEX('NVRAM map'!$AF$3:$AG$319,MATCH(1,('NVRAM map'!$AF$3:$AF$319=$A65)*('NVRAM map'!$AI$3:$AI$319&gt;=S$3)*('NVRAM map'!$AJ$3:$AJ$319&lt;=S$3),0),2))</f>
        <v>C1_2</v>
      </c>
      <c r="T65" s="87" t="str">
        <f t="array" aca="1" ref="T65" ca="1">IF(ISNA(INDEX('NVRAM map'!$AF$3:$AG$319,MATCH(1,('NVRAM map'!$AF$3:$AF$319=$A65)*('NVRAM map'!$AI$3:$AI$319&gt;=T$3)*('NVRAM map'!$AJ$3:$AJ$319&lt;=T$3),0),2)),"-",INDEX('NVRAM map'!$AF$3:$AG$319,MATCH(1,('NVRAM map'!$AF$3:$AF$319=$A65)*('NVRAM map'!$AI$3:$AI$319&gt;=T$3)*('NVRAM map'!$AJ$3:$AJ$319&lt;=T$3),0),2))</f>
        <v>C1_2</v>
      </c>
      <c r="U65" s="87" t="str">
        <f t="array" aca="1" ref="U65" ca="1">IF(ISNA(INDEX('NVRAM map'!$AF$3:$AG$319,MATCH(1,('NVRAM map'!$AF$3:$AF$319=$A65)*('NVRAM map'!$AI$3:$AI$319&gt;=U$3)*('NVRAM map'!$AJ$3:$AJ$319&lt;=U$3),0),2)),"-",INDEX('NVRAM map'!$AF$3:$AG$319,MATCH(1,('NVRAM map'!$AF$3:$AF$319=$A65)*('NVRAM map'!$AI$3:$AI$319&gt;=U$3)*('NVRAM map'!$AJ$3:$AJ$319&lt;=U$3),0),2))</f>
        <v>C1_2</v>
      </c>
      <c r="V65" s="87" t="str">
        <f t="array" aca="1" ref="V65" ca="1">IF(ISNA(INDEX('NVRAM map'!$AF$3:$AG$319,MATCH(1,('NVRAM map'!$AF$3:$AF$319=$A65)*('NVRAM map'!$AI$3:$AI$319&gt;=V$3)*('NVRAM map'!$AJ$3:$AJ$319&lt;=V$3),0),2)),"-",INDEX('NVRAM map'!$AF$3:$AG$319,MATCH(1,('NVRAM map'!$AF$3:$AF$319=$A65)*('NVRAM map'!$AI$3:$AI$319&gt;=V$3)*('NVRAM map'!$AJ$3:$AJ$319&lt;=V$3),0),2))</f>
        <v>C1_2</v>
      </c>
      <c r="W65" s="87" t="str">
        <f t="array" aca="1" ref="W65" ca="1">IF(ISNA(INDEX('NVRAM map'!$AF$3:$AG$319,MATCH(1,('NVRAM map'!$AF$3:$AF$319=$A65)*('NVRAM map'!$AI$3:$AI$319&gt;=W$3)*('NVRAM map'!$AJ$3:$AJ$319&lt;=W$3),0),2)),"-",INDEX('NVRAM map'!$AF$3:$AG$319,MATCH(1,('NVRAM map'!$AF$3:$AF$319=$A65)*('NVRAM map'!$AI$3:$AI$319&gt;=W$3)*('NVRAM map'!$AJ$3:$AJ$319&lt;=W$3),0),2))</f>
        <v>C1_2</v>
      </c>
      <c r="X65" s="88" t="str">
        <f ca="1">INDEX('NVRAM map'!$B$3:$B$319,MATCH(A65,'NVRAM map'!$E$3:$E$319,0))</f>
        <v>CUST</v>
      </c>
      <c r="AB65" s="44">
        <f t="shared" ca="1" si="2"/>
        <v>0</v>
      </c>
      <c r="AC65" s="12" t="b">
        <f ca="1">COUNTIF('NVRAM map'!$AD$3:$AE$319,A65)&lt;2</f>
        <v>1</v>
      </c>
      <c r="AD65" s="12">
        <f ca="1">SUMIF('NVRAM map'!$AF$3:$AF$319,A65,'NVRAM map'!$AK$3:$AK$319)</f>
        <v>65535</v>
      </c>
      <c r="AE65" s="12" t="str">
        <f t="shared" ca="1" si="3"/>
        <v>FFFF</v>
      </c>
      <c r="AF65" s="12" t="str">
        <f t="shared" ca="1" si="4"/>
        <v>11111111</v>
      </c>
      <c r="AG65" s="12" t="str">
        <f t="shared" ca="1" si="5"/>
        <v>11111111</v>
      </c>
      <c r="AH65" s="12">
        <f t="shared" ca="1" si="6"/>
        <v>16</v>
      </c>
      <c r="AI65" s="12">
        <f ca="1">SUMIF('NVRAM map'!$AF$3:$AF$319,A65,'NVRAM map'!$AH$3:$AH$319)</f>
        <v>16</v>
      </c>
      <c r="AJ65" s="12" t="b">
        <f t="shared" ca="1" si="7"/>
        <v>1</v>
      </c>
      <c r="AK65" s="12">
        <f ca="1">COUNTIF('NVRAM map'!$AF$3:$AF$319,A65)</f>
        <v>1</v>
      </c>
      <c r="AM65" s="89">
        <v>0</v>
      </c>
      <c r="AN65" s="80">
        <f t="shared" ca="1" si="15"/>
        <v>0</v>
      </c>
      <c r="AO65" s="80">
        <f t="shared" ca="1" si="15"/>
        <v>0</v>
      </c>
      <c r="AP65" s="80">
        <f t="shared" ca="1" si="15"/>
        <v>0</v>
      </c>
      <c r="AQ65" s="80">
        <f t="shared" ca="1" si="15"/>
        <v>0</v>
      </c>
      <c r="AR65" s="80">
        <f t="shared" ca="1" si="15"/>
        <v>0</v>
      </c>
      <c r="AS65" s="80">
        <f t="shared" ca="1" si="15"/>
        <v>0</v>
      </c>
      <c r="AT65" s="80">
        <f t="shared" ca="1" si="15"/>
        <v>0</v>
      </c>
      <c r="AU65" s="80">
        <f t="shared" ca="1" si="15"/>
        <v>0</v>
      </c>
      <c r="AV65" s="80">
        <f t="shared" ca="1" si="15"/>
        <v>0</v>
      </c>
      <c r="AW65" s="80">
        <f t="shared" ca="1" si="15"/>
        <v>0</v>
      </c>
      <c r="AX65" s="80">
        <f t="shared" ca="1" si="15"/>
        <v>0</v>
      </c>
      <c r="AY65" s="80">
        <f t="shared" ca="1" si="15"/>
        <v>0</v>
      </c>
      <c r="AZ65" s="80">
        <f t="shared" ca="1" si="15"/>
        <v>0</v>
      </c>
      <c r="BA65" s="80">
        <f t="shared" ca="1" si="15"/>
        <v>0</v>
      </c>
      <c r="BB65" s="81">
        <f t="shared" ca="1" si="15"/>
        <v>0</v>
      </c>
      <c r="BD65" s="12" t="str">
        <f t="shared" si="9"/>
        <v>0x107A</v>
      </c>
      <c r="BE65" s="12" t="str">
        <f t="shared" ca="1" si="10"/>
        <v>0000000000000000</v>
      </c>
      <c r="BG65" s="53" t="str">
        <f t="shared" ca="1" si="11"/>
        <v>`define EE_C1_2 30</v>
      </c>
    </row>
    <row r="66" spans="1:59">
      <c r="A66" s="82" t="s">
        <v>332</v>
      </c>
      <c r="B66" s="82">
        <v>124</v>
      </c>
      <c r="C66" s="82">
        <v>31</v>
      </c>
      <c r="D66" s="83">
        <f ca="1">SUMIF('NVRAM map'!$AF$3:$AF$319,A66,'NVRAM map'!$AN$3:$AN$319)</f>
        <v>585</v>
      </c>
      <c r="E66" s="84" t="str">
        <f t="shared" ca="1" si="0"/>
        <v>0249</v>
      </c>
      <c r="F66" s="85" t="str">
        <f t="shared" ca="1" si="12"/>
        <v>0249</v>
      </c>
      <c r="G66" s="86" t="str">
        <f ca="1">VLOOKUP(MemoryView!A66,'NVRAM map'!$AD$3:$AE$319,2,0)</f>
        <v>EE_N0</v>
      </c>
      <c r="H66" s="87" t="str">
        <f t="array" aca="1" ref="H66" ca="1">IF(ISNA(INDEX('NVRAM map'!$AF$3:$AG$319,MATCH(1,('NVRAM map'!$AF$3:$AF$319=$A66)*('NVRAM map'!$AI$3:$AI$319&gt;=H$3)*('NVRAM map'!$AJ$3:$AJ$319&lt;=H$3),0),2)),"-",INDEX('NVRAM map'!$AF$3:$AG$319,MATCH(1,('NVRAM map'!$AF$3:$AF$319=$A66)*('NVRAM map'!$AI$3:$AI$319&gt;=H$3)*('NVRAM map'!$AJ$3:$AJ$319&lt;=H$3),0),2))</f>
        <v>N0</v>
      </c>
      <c r="I66" s="87" t="str">
        <f t="array" aca="1" ref="I66" ca="1">IF(ISNA(INDEX('NVRAM map'!$AF$3:$AG$319,MATCH(1,('NVRAM map'!$AF$3:$AF$319=$A66)*('NVRAM map'!$AI$3:$AI$319&gt;=I$3)*('NVRAM map'!$AJ$3:$AJ$319&lt;=I$3),0),2)),"-",INDEX('NVRAM map'!$AF$3:$AG$319,MATCH(1,('NVRAM map'!$AF$3:$AF$319=$A66)*('NVRAM map'!$AI$3:$AI$319&gt;=I$3)*('NVRAM map'!$AJ$3:$AJ$319&lt;=I$3),0),2))</f>
        <v>N0</v>
      </c>
      <c r="J66" s="87" t="str">
        <f t="array" aca="1" ref="J66" ca="1">IF(ISNA(INDEX('NVRAM map'!$AF$3:$AG$319,MATCH(1,('NVRAM map'!$AF$3:$AF$319=$A66)*('NVRAM map'!$AI$3:$AI$319&gt;=J$3)*('NVRAM map'!$AJ$3:$AJ$319&lt;=J$3),0),2)),"-",INDEX('NVRAM map'!$AF$3:$AG$319,MATCH(1,('NVRAM map'!$AF$3:$AF$319=$A66)*('NVRAM map'!$AI$3:$AI$319&gt;=J$3)*('NVRAM map'!$AJ$3:$AJ$319&lt;=J$3),0),2))</f>
        <v>N0</v>
      </c>
      <c r="K66" s="87" t="str">
        <f t="array" aca="1" ref="K66" ca="1">IF(ISNA(INDEX('NVRAM map'!$AF$3:$AG$319,MATCH(1,('NVRAM map'!$AF$3:$AF$319=$A66)*('NVRAM map'!$AI$3:$AI$319&gt;=K$3)*('NVRAM map'!$AJ$3:$AJ$319&lt;=K$3),0),2)),"-",INDEX('NVRAM map'!$AF$3:$AG$319,MATCH(1,('NVRAM map'!$AF$3:$AF$319=$A66)*('NVRAM map'!$AI$3:$AI$319&gt;=K$3)*('NVRAM map'!$AJ$3:$AJ$319&lt;=K$3),0),2))</f>
        <v>N0</v>
      </c>
      <c r="L66" s="87" t="str">
        <f t="array" aca="1" ref="L66" ca="1">IF(ISNA(INDEX('NVRAM map'!$AF$3:$AG$319,MATCH(1,('NVRAM map'!$AF$3:$AF$319=$A66)*('NVRAM map'!$AI$3:$AI$319&gt;=L$3)*('NVRAM map'!$AJ$3:$AJ$319&lt;=L$3),0),2)),"-",INDEX('NVRAM map'!$AF$3:$AG$319,MATCH(1,('NVRAM map'!$AF$3:$AF$319=$A66)*('NVRAM map'!$AI$3:$AI$319&gt;=L$3)*('NVRAM map'!$AJ$3:$AJ$319&lt;=L$3),0),2))</f>
        <v>N0</v>
      </c>
      <c r="M66" s="87" t="str">
        <f t="array" aca="1" ref="M66" ca="1">IF(ISNA(INDEX('NVRAM map'!$AF$3:$AG$319,MATCH(1,('NVRAM map'!$AF$3:$AF$319=$A66)*('NVRAM map'!$AI$3:$AI$319&gt;=M$3)*('NVRAM map'!$AJ$3:$AJ$319&lt;=M$3),0),2)),"-",INDEX('NVRAM map'!$AF$3:$AG$319,MATCH(1,('NVRAM map'!$AF$3:$AF$319=$A66)*('NVRAM map'!$AI$3:$AI$319&gt;=M$3)*('NVRAM map'!$AJ$3:$AJ$319&lt;=M$3),0),2))</f>
        <v>N0</v>
      </c>
      <c r="N66" s="87" t="str">
        <f t="array" aca="1" ref="N66" ca="1">IF(ISNA(INDEX('NVRAM map'!$AF$3:$AG$319,MATCH(1,('NVRAM map'!$AF$3:$AF$319=$A66)*('NVRAM map'!$AI$3:$AI$319&gt;=N$3)*('NVRAM map'!$AJ$3:$AJ$319&lt;=N$3),0),2)),"-",INDEX('NVRAM map'!$AF$3:$AG$319,MATCH(1,('NVRAM map'!$AF$3:$AF$319=$A66)*('NVRAM map'!$AI$3:$AI$319&gt;=N$3)*('NVRAM map'!$AJ$3:$AJ$319&lt;=N$3),0),2))</f>
        <v>N0</v>
      </c>
      <c r="O66" s="87" t="str">
        <f t="array" aca="1" ref="O66" ca="1">IF(ISNA(INDEX('NVRAM map'!$AF$3:$AG$319,MATCH(1,('NVRAM map'!$AF$3:$AF$319=$A66)*('NVRAM map'!$AI$3:$AI$319&gt;=O$3)*('NVRAM map'!$AJ$3:$AJ$319&lt;=O$3),0),2)),"-",INDEX('NVRAM map'!$AF$3:$AG$319,MATCH(1,('NVRAM map'!$AF$3:$AF$319=$A66)*('NVRAM map'!$AI$3:$AI$319&gt;=O$3)*('NVRAM map'!$AJ$3:$AJ$319&lt;=O$3),0),2))</f>
        <v>N0</v>
      </c>
      <c r="P66" s="87" t="str">
        <f t="array" aca="1" ref="P66" ca="1">IF(ISNA(INDEX('NVRAM map'!$AF$3:$AG$319,MATCH(1,('NVRAM map'!$AF$3:$AF$319=$A66)*('NVRAM map'!$AI$3:$AI$319&gt;=P$3)*('NVRAM map'!$AJ$3:$AJ$319&lt;=P$3),0),2)),"-",INDEX('NVRAM map'!$AF$3:$AG$319,MATCH(1,('NVRAM map'!$AF$3:$AF$319=$A66)*('NVRAM map'!$AI$3:$AI$319&gt;=P$3)*('NVRAM map'!$AJ$3:$AJ$319&lt;=P$3),0),2))</f>
        <v>N0</v>
      </c>
      <c r="Q66" s="87" t="str">
        <f t="array" aca="1" ref="Q66" ca="1">IF(ISNA(INDEX('NVRAM map'!$AF$3:$AG$319,MATCH(1,('NVRAM map'!$AF$3:$AF$319=$A66)*('NVRAM map'!$AI$3:$AI$319&gt;=Q$3)*('NVRAM map'!$AJ$3:$AJ$319&lt;=Q$3),0),2)),"-",INDEX('NVRAM map'!$AF$3:$AG$319,MATCH(1,('NVRAM map'!$AF$3:$AF$319=$A66)*('NVRAM map'!$AI$3:$AI$319&gt;=Q$3)*('NVRAM map'!$AJ$3:$AJ$319&lt;=Q$3),0),2))</f>
        <v>N0</v>
      </c>
      <c r="R66" s="87" t="str">
        <f t="array" aca="1" ref="R66" ca="1">IF(ISNA(INDEX('NVRAM map'!$AF$3:$AG$319,MATCH(1,('NVRAM map'!$AF$3:$AF$319=$A66)*('NVRAM map'!$AI$3:$AI$319&gt;=R$3)*('NVRAM map'!$AJ$3:$AJ$319&lt;=R$3),0),2)),"-",INDEX('NVRAM map'!$AF$3:$AG$319,MATCH(1,('NVRAM map'!$AF$3:$AF$319=$A66)*('NVRAM map'!$AI$3:$AI$319&gt;=R$3)*('NVRAM map'!$AJ$3:$AJ$319&lt;=R$3),0),2))</f>
        <v>N0</v>
      </c>
      <c r="S66" s="87" t="str">
        <f t="array" aca="1" ref="S66" ca="1">IF(ISNA(INDEX('NVRAM map'!$AF$3:$AG$319,MATCH(1,('NVRAM map'!$AF$3:$AF$319=$A66)*('NVRAM map'!$AI$3:$AI$319&gt;=S$3)*('NVRAM map'!$AJ$3:$AJ$319&lt;=S$3),0),2)),"-",INDEX('NVRAM map'!$AF$3:$AG$319,MATCH(1,('NVRAM map'!$AF$3:$AF$319=$A66)*('NVRAM map'!$AI$3:$AI$319&gt;=S$3)*('NVRAM map'!$AJ$3:$AJ$319&lt;=S$3),0),2))</f>
        <v>N0</v>
      </c>
      <c r="T66" s="87" t="str">
        <f t="array" aca="1" ref="T66" ca="1">IF(ISNA(INDEX('NVRAM map'!$AF$3:$AG$319,MATCH(1,('NVRAM map'!$AF$3:$AF$319=$A66)*('NVRAM map'!$AI$3:$AI$319&gt;=T$3)*('NVRAM map'!$AJ$3:$AJ$319&lt;=T$3),0),2)),"-",INDEX('NVRAM map'!$AF$3:$AG$319,MATCH(1,('NVRAM map'!$AF$3:$AF$319=$A66)*('NVRAM map'!$AI$3:$AI$319&gt;=T$3)*('NVRAM map'!$AJ$3:$AJ$319&lt;=T$3),0),2))</f>
        <v>N0</v>
      </c>
      <c r="U66" s="87" t="str">
        <f t="array" aca="1" ref="U66" ca="1">IF(ISNA(INDEX('NVRAM map'!$AF$3:$AG$319,MATCH(1,('NVRAM map'!$AF$3:$AF$319=$A66)*('NVRAM map'!$AI$3:$AI$319&gt;=U$3)*('NVRAM map'!$AJ$3:$AJ$319&lt;=U$3),0),2)),"-",INDEX('NVRAM map'!$AF$3:$AG$319,MATCH(1,('NVRAM map'!$AF$3:$AF$319=$A66)*('NVRAM map'!$AI$3:$AI$319&gt;=U$3)*('NVRAM map'!$AJ$3:$AJ$319&lt;=U$3),0),2))</f>
        <v>N0</v>
      </c>
      <c r="V66" s="87" t="str">
        <f t="array" aca="1" ref="V66" ca="1">IF(ISNA(INDEX('NVRAM map'!$AF$3:$AG$319,MATCH(1,('NVRAM map'!$AF$3:$AF$319=$A66)*('NVRAM map'!$AI$3:$AI$319&gt;=V$3)*('NVRAM map'!$AJ$3:$AJ$319&lt;=V$3),0),2)),"-",INDEX('NVRAM map'!$AF$3:$AG$319,MATCH(1,('NVRAM map'!$AF$3:$AF$319=$A66)*('NVRAM map'!$AI$3:$AI$319&gt;=V$3)*('NVRAM map'!$AJ$3:$AJ$319&lt;=V$3),0),2))</f>
        <v>N0</v>
      </c>
      <c r="W66" s="87" t="str">
        <f t="array" aca="1" ref="W66" ca="1">IF(ISNA(INDEX('NVRAM map'!$AF$3:$AG$319,MATCH(1,('NVRAM map'!$AF$3:$AF$319=$A66)*('NVRAM map'!$AI$3:$AI$319&gt;=W$3)*('NVRAM map'!$AJ$3:$AJ$319&lt;=W$3),0),2)),"-",INDEX('NVRAM map'!$AF$3:$AG$319,MATCH(1,('NVRAM map'!$AF$3:$AF$319=$A66)*('NVRAM map'!$AI$3:$AI$319&gt;=W$3)*('NVRAM map'!$AJ$3:$AJ$319&lt;=W$3),0),2))</f>
        <v>N0</v>
      </c>
      <c r="X66" s="88" t="str">
        <f ca="1">INDEX('NVRAM map'!$B$3:$B$319,MATCH(A66,'NVRAM map'!$E$3:$E$319,0))</f>
        <v>CUST</v>
      </c>
      <c r="AB66" s="44">
        <f t="shared" ca="1" si="2"/>
        <v>75</v>
      </c>
      <c r="AC66" s="12" t="b">
        <f ca="1">COUNTIF('NVRAM map'!$AD$3:$AE$319,A66)&lt;2</f>
        <v>1</v>
      </c>
      <c r="AD66" s="12">
        <f ca="1">SUMIF('NVRAM map'!$AF$3:$AF$319,A66,'NVRAM map'!$AK$3:$AK$319)</f>
        <v>65535</v>
      </c>
      <c r="AE66" s="12" t="str">
        <f t="shared" ca="1" si="3"/>
        <v>FFFF</v>
      </c>
      <c r="AF66" s="12" t="str">
        <f t="shared" ca="1" si="4"/>
        <v>11111111</v>
      </c>
      <c r="AG66" s="12" t="str">
        <f t="shared" ca="1" si="5"/>
        <v>11111111</v>
      </c>
      <c r="AH66" s="12">
        <f t="shared" ca="1" si="6"/>
        <v>16</v>
      </c>
      <c r="AI66" s="12">
        <f ca="1">SUMIF('NVRAM map'!$AF$3:$AF$319,A66,'NVRAM map'!$AH$3:$AH$319)</f>
        <v>16</v>
      </c>
      <c r="AJ66" s="12" t="b">
        <f t="shared" ca="1" si="7"/>
        <v>1</v>
      </c>
      <c r="AK66" s="12">
        <f ca="1">COUNTIF('NVRAM map'!$AF$3:$AF$319,A66)</f>
        <v>1</v>
      </c>
      <c r="AM66" s="89">
        <v>0</v>
      </c>
      <c r="AN66" s="80">
        <f t="shared" ca="1" si="15"/>
        <v>0</v>
      </c>
      <c r="AO66" s="80">
        <f t="shared" ca="1" si="15"/>
        <v>0</v>
      </c>
      <c r="AP66" s="80">
        <f t="shared" ca="1" si="15"/>
        <v>0</v>
      </c>
      <c r="AQ66" s="80">
        <f t="shared" ca="1" si="15"/>
        <v>0</v>
      </c>
      <c r="AR66" s="80">
        <f t="shared" ca="1" si="15"/>
        <v>0</v>
      </c>
      <c r="AS66" s="80">
        <f t="shared" ca="1" si="15"/>
        <v>0</v>
      </c>
      <c r="AT66" s="80">
        <f t="shared" ca="1" si="15"/>
        <v>0</v>
      </c>
      <c r="AU66" s="80">
        <f t="shared" ca="1" si="15"/>
        <v>0</v>
      </c>
      <c r="AV66" s="80">
        <f t="shared" ca="1" si="15"/>
        <v>0</v>
      </c>
      <c r="AW66" s="80">
        <f t="shared" ca="1" si="15"/>
        <v>0</v>
      </c>
      <c r="AX66" s="80">
        <f t="shared" ca="1" si="15"/>
        <v>0</v>
      </c>
      <c r="AY66" s="80">
        <f t="shared" ca="1" si="15"/>
        <v>0</v>
      </c>
      <c r="AZ66" s="80">
        <f t="shared" ca="1" si="15"/>
        <v>0</v>
      </c>
      <c r="BA66" s="80">
        <f t="shared" ca="1" si="15"/>
        <v>0</v>
      </c>
      <c r="BB66" s="81">
        <f t="shared" ca="1" si="15"/>
        <v>0</v>
      </c>
      <c r="BD66" s="12" t="str">
        <f t="shared" si="9"/>
        <v>0x107C</v>
      </c>
      <c r="BE66" s="12" t="str">
        <f t="shared" ca="1" si="10"/>
        <v>0000001001001001</v>
      </c>
      <c r="BG66" s="53" t="str">
        <f t="shared" ca="1" si="11"/>
        <v>`define EE_N0 31</v>
      </c>
    </row>
    <row r="67" spans="1:59">
      <c r="A67" s="82" t="s">
        <v>333</v>
      </c>
      <c r="B67" s="82">
        <v>126</v>
      </c>
      <c r="C67" s="82">
        <v>31</v>
      </c>
      <c r="D67" s="83">
        <f ca="1">SUMIF('NVRAM map'!$AF$3:$AF$319,A67,'NVRAM map'!$AN$3:$AN$319)</f>
        <v>2048</v>
      </c>
      <c r="E67" s="84" t="str">
        <f t="shared" ca="1" si="0"/>
        <v>0800</v>
      </c>
      <c r="F67" s="85" t="str">
        <f t="shared" ca="1" si="12"/>
        <v>0800</v>
      </c>
      <c r="G67" s="86" t="str">
        <f ca="1">VLOOKUP(MemoryView!A67,'NVRAM map'!$AD$3:$AE$319,2,0)</f>
        <v>EE_N1</v>
      </c>
      <c r="H67" s="87" t="str">
        <f t="array" aca="1" ref="H67" ca="1">IF(ISNA(INDEX('NVRAM map'!$AF$3:$AG$319,MATCH(1,('NVRAM map'!$AF$3:$AF$319=$A67)*('NVRAM map'!$AI$3:$AI$319&gt;=H$3)*('NVRAM map'!$AJ$3:$AJ$319&lt;=H$3),0),2)),"-",INDEX('NVRAM map'!$AF$3:$AG$319,MATCH(1,('NVRAM map'!$AF$3:$AF$319=$A67)*('NVRAM map'!$AI$3:$AI$319&gt;=H$3)*('NVRAM map'!$AJ$3:$AJ$319&lt;=H$3),0),2))</f>
        <v>N1</v>
      </c>
      <c r="I67" s="87" t="str">
        <f t="array" aca="1" ref="I67" ca="1">IF(ISNA(INDEX('NVRAM map'!$AF$3:$AG$319,MATCH(1,('NVRAM map'!$AF$3:$AF$319=$A67)*('NVRAM map'!$AI$3:$AI$319&gt;=I$3)*('NVRAM map'!$AJ$3:$AJ$319&lt;=I$3),0),2)),"-",INDEX('NVRAM map'!$AF$3:$AG$319,MATCH(1,('NVRAM map'!$AF$3:$AF$319=$A67)*('NVRAM map'!$AI$3:$AI$319&gt;=I$3)*('NVRAM map'!$AJ$3:$AJ$319&lt;=I$3),0),2))</f>
        <v>N1</v>
      </c>
      <c r="J67" s="87" t="str">
        <f t="array" aca="1" ref="J67" ca="1">IF(ISNA(INDEX('NVRAM map'!$AF$3:$AG$319,MATCH(1,('NVRAM map'!$AF$3:$AF$319=$A67)*('NVRAM map'!$AI$3:$AI$319&gt;=J$3)*('NVRAM map'!$AJ$3:$AJ$319&lt;=J$3),0),2)),"-",INDEX('NVRAM map'!$AF$3:$AG$319,MATCH(1,('NVRAM map'!$AF$3:$AF$319=$A67)*('NVRAM map'!$AI$3:$AI$319&gt;=J$3)*('NVRAM map'!$AJ$3:$AJ$319&lt;=J$3),0),2))</f>
        <v>N1</v>
      </c>
      <c r="K67" s="87" t="str">
        <f t="array" aca="1" ref="K67" ca="1">IF(ISNA(INDEX('NVRAM map'!$AF$3:$AG$319,MATCH(1,('NVRAM map'!$AF$3:$AF$319=$A67)*('NVRAM map'!$AI$3:$AI$319&gt;=K$3)*('NVRAM map'!$AJ$3:$AJ$319&lt;=K$3),0),2)),"-",INDEX('NVRAM map'!$AF$3:$AG$319,MATCH(1,('NVRAM map'!$AF$3:$AF$319=$A67)*('NVRAM map'!$AI$3:$AI$319&gt;=K$3)*('NVRAM map'!$AJ$3:$AJ$319&lt;=K$3),0),2))</f>
        <v>N1</v>
      </c>
      <c r="L67" s="87" t="str">
        <f t="array" aca="1" ref="L67" ca="1">IF(ISNA(INDEX('NVRAM map'!$AF$3:$AG$319,MATCH(1,('NVRAM map'!$AF$3:$AF$319=$A67)*('NVRAM map'!$AI$3:$AI$319&gt;=L$3)*('NVRAM map'!$AJ$3:$AJ$319&lt;=L$3),0),2)),"-",INDEX('NVRAM map'!$AF$3:$AG$319,MATCH(1,('NVRAM map'!$AF$3:$AF$319=$A67)*('NVRAM map'!$AI$3:$AI$319&gt;=L$3)*('NVRAM map'!$AJ$3:$AJ$319&lt;=L$3),0),2))</f>
        <v>N1</v>
      </c>
      <c r="M67" s="87" t="str">
        <f t="array" aca="1" ref="M67" ca="1">IF(ISNA(INDEX('NVRAM map'!$AF$3:$AG$319,MATCH(1,('NVRAM map'!$AF$3:$AF$319=$A67)*('NVRAM map'!$AI$3:$AI$319&gt;=M$3)*('NVRAM map'!$AJ$3:$AJ$319&lt;=M$3),0),2)),"-",INDEX('NVRAM map'!$AF$3:$AG$319,MATCH(1,('NVRAM map'!$AF$3:$AF$319=$A67)*('NVRAM map'!$AI$3:$AI$319&gt;=M$3)*('NVRAM map'!$AJ$3:$AJ$319&lt;=M$3),0),2))</f>
        <v>N1</v>
      </c>
      <c r="N67" s="87" t="str">
        <f t="array" aca="1" ref="N67" ca="1">IF(ISNA(INDEX('NVRAM map'!$AF$3:$AG$319,MATCH(1,('NVRAM map'!$AF$3:$AF$319=$A67)*('NVRAM map'!$AI$3:$AI$319&gt;=N$3)*('NVRAM map'!$AJ$3:$AJ$319&lt;=N$3),0),2)),"-",INDEX('NVRAM map'!$AF$3:$AG$319,MATCH(1,('NVRAM map'!$AF$3:$AF$319=$A67)*('NVRAM map'!$AI$3:$AI$319&gt;=N$3)*('NVRAM map'!$AJ$3:$AJ$319&lt;=N$3),0),2))</f>
        <v>N1</v>
      </c>
      <c r="O67" s="87" t="str">
        <f t="array" aca="1" ref="O67" ca="1">IF(ISNA(INDEX('NVRAM map'!$AF$3:$AG$319,MATCH(1,('NVRAM map'!$AF$3:$AF$319=$A67)*('NVRAM map'!$AI$3:$AI$319&gt;=O$3)*('NVRAM map'!$AJ$3:$AJ$319&lt;=O$3),0),2)),"-",INDEX('NVRAM map'!$AF$3:$AG$319,MATCH(1,('NVRAM map'!$AF$3:$AF$319=$A67)*('NVRAM map'!$AI$3:$AI$319&gt;=O$3)*('NVRAM map'!$AJ$3:$AJ$319&lt;=O$3),0),2))</f>
        <v>N1</v>
      </c>
      <c r="P67" s="87" t="str">
        <f t="array" aca="1" ref="P67" ca="1">IF(ISNA(INDEX('NVRAM map'!$AF$3:$AG$319,MATCH(1,('NVRAM map'!$AF$3:$AF$319=$A67)*('NVRAM map'!$AI$3:$AI$319&gt;=P$3)*('NVRAM map'!$AJ$3:$AJ$319&lt;=P$3),0),2)),"-",INDEX('NVRAM map'!$AF$3:$AG$319,MATCH(1,('NVRAM map'!$AF$3:$AF$319=$A67)*('NVRAM map'!$AI$3:$AI$319&gt;=P$3)*('NVRAM map'!$AJ$3:$AJ$319&lt;=P$3),0),2))</f>
        <v>N1</v>
      </c>
      <c r="Q67" s="87" t="str">
        <f t="array" aca="1" ref="Q67" ca="1">IF(ISNA(INDEX('NVRAM map'!$AF$3:$AG$319,MATCH(1,('NVRAM map'!$AF$3:$AF$319=$A67)*('NVRAM map'!$AI$3:$AI$319&gt;=Q$3)*('NVRAM map'!$AJ$3:$AJ$319&lt;=Q$3),0),2)),"-",INDEX('NVRAM map'!$AF$3:$AG$319,MATCH(1,('NVRAM map'!$AF$3:$AF$319=$A67)*('NVRAM map'!$AI$3:$AI$319&gt;=Q$3)*('NVRAM map'!$AJ$3:$AJ$319&lt;=Q$3),0),2))</f>
        <v>N1</v>
      </c>
      <c r="R67" s="87" t="str">
        <f t="array" aca="1" ref="R67" ca="1">IF(ISNA(INDEX('NVRAM map'!$AF$3:$AG$319,MATCH(1,('NVRAM map'!$AF$3:$AF$319=$A67)*('NVRAM map'!$AI$3:$AI$319&gt;=R$3)*('NVRAM map'!$AJ$3:$AJ$319&lt;=R$3),0),2)),"-",INDEX('NVRAM map'!$AF$3:$AG$319,MATCH(1,('NVRAM map'!$AF$3:$AF$319=$A67)*('NVRAM map'!$AI$3:$AI$319&gt;=R$3)*('NVRAM map'!$AJ$3:$AJ$319&lt;=R$3),0),2))</f>
        <v>N1</v>
      </c>
      <c r="S67" s="87" t="str">
        <f t="array" aca="1" ref="S67" ca="1">IF(ISNA(INDEX('NVRAM map'!$AF$3:$AG$319,MATCH(1,('NVRAM map'!$AF$3:$AF$319=$A67)*('NVRAM map'!$AI$3:$AI$319&gt;=S$3)*('NVRAM map'!$AJ$3:$AJ$319&lt;=S$3),0),2)),"-",INDEX('NVRAM map'!$AF$3:$AG$319,MATCH(1,('NVRAM map'!$AF$3:$AF$319=$A67)*('NVRAM map'!$AI$3:$AI$319&gt;=S$3)*('NVRAM map'!$AJ$3:$AJ$319&lt;=S$3),0),2))</f>
        <v>N1</v>
      </c>
      <c r="T67" s="87" t="str">
        <f t="array" aca="1" ref="T67" ca="1">IF(ISNA(INDEX('NVRAM map'!$AF$3:$AG$319,MATCH(1,('NVRAM map'!$AF$3:$AF$319=$A67)*('NVRAM map'!$AI$3:$AI$319&gt;=T$3)*('NVRAM map'!$AJ$3:$AJ$319&lt;=T$3),0),2)),"-",INDEX('NVRAM map'!$AF$3:$AG$319,MATCH(1,('NVRAM map'!$AF$3:$AF$319=$A67)*('NVRAM map'!$AI$3:$AI$319&gt;=T$3)*('NVRAM map'!$AJ$3:$AJ$319&lt;=T$3),0),2))</f>
        <v>N1</v>
      </c>
      <c r="U67" s="87" t="str">
        <f t="array" aca="1" ref="U67" ca="1">IF(ISNA(INDEX('NVRAM map'!$AF$3:$AG$319,MATCH(1,('NVRAM map'!$AF$3:$AF$319=$A67)*('NVRAM map'!$AI$3:$AI$319&gt;=U$3)*('NVRAM map'!$AJ$3:$AJ$319&lt;=U$3),0),2)),"-",INDEX('NVRAM map'!$AF$3:$AG$319,MATCH(1,('NVRAM map'!$AF$3:$AF$319=$A67)*('NVRAM map'!$AI$3:$AI$319&gt;=U$3)*('NVRAM map'!$AJ$3:$AJ$319&lt;=U$3),0),2))</f>
        <v>N1</v>
      </c>
      <c r="V67" s="87" t="str">
        <f t="array" aca="1" ref="V67" ca="1">IF(ISNA(INDEX('NVRAM map'!$AF$3:$AG$319,MATCH(1,('NVRAM map'!$AF$3:$AF$319=$A67)*('NVRAM map'!$AI$3:$AI$319&gt;=V$3)*('NVRAM map'!$AJ$3:$AJ$319&lt;=V$3),0),2)),"-",INDEX('NVRAM map'!$AF$3:$AG$319,MATCH(1,('NVRAM map'!$AF$3:$AF$319=$A67)*('NVRAM map'!$AI$3:$AI$319&gt;=V$3)*('NVRAM map'!$AJ$3:$AJ$319&lt;=V$3),0),2))</f>
        <v>N1</v>
      </c>
      <c r="W67" s="87" t="str">
        <f t="array" aca="1" ref="W67" ca="1">IF(ISNA(INDEX('NVRAM map'!$AF$3:$AG$319,MATCH(1,('NVRAM map'!$AF$3:$AF$319=$A67)*('NVRAM map'!$AI$3:$AI$319&gt;=W$3)*('NVRAM map'!$AJ$3:$AJ$319&lt;=W$3),0),2)),"-",INDEX('NVRAM map'!$AF$3:$AG$319,MATCH(1,('NVRAM map'!$AF$3:$AF$319=$A67)*('NVRAM map'!$AI$3:$AI$319&gt;=W$3)*('NVRAM map'!$AJ$3:$AJ$319&lt;=W$3),0),2))</f>
        <v>N1</v>
      </c>
      <c r="X67" s="88" t="str">
        <f ca="1">INDEX('NVRAM map'!$B$3:$B$319,MATCH(A67,'NVRAM map'!$E$3:$E$319,0))</f>
        <v>CUST</v>
      </c>
      <c r="AB67" s="44">
        <f t="shared" ca="1" si="2"/>
        <v>8</v>
      </c>
      <c r="AC67" s="12" t="b">
        <f ca="1">COUNTIF('NVRAM map'!$AD$3:$AE$319,A67)&lt;2</f>
        <v>1</v>
      </c>
      <c r="AD67" s="12">
        <f ca="1">SUMIF('NVRAM map'!$AF$3:$AF$319,A67,'NVRAM map'!$AK$3:$AK$319)</f>
        <v>65535</v>
      </c>
      <c r="AE67" s="12" t="str">
        <f t="shared" ca="1" si="3"/>
        <v>FFFF</v>
      </c>
      <c r="AF67" s="12" t="str">
        <f t="shared" ca="1" si="4"/>
        <v>11111111</v>
      </c>
      <c r="AG67" s="12" t="str">
        <f t="shared" ca="1" si="5"/>
        <v>11111111</v>
      </c>
      <c r="AH67" s="12">
        <f t="shared" ca="1" si="6"/>
        <v>16</v>
      </c>
      <c r="AI67" s="12">
        <f ca="1">SUMIF('NVRAM map'!$AF$3:$AF$319,A67,'NVRAM map'!$AH$3:$AH$319)</f>
        <v>16</v>
      </c>
      <c r="AJ67" s="12" t="b">
        <f t="shared" ca="1" si="7"/>
        <v>1</v>
      </c>
      <c r="AK67" s="12">
        <f ca="1">COUNTIF('NVRAM map'!$AF$3:$AF$319,A67)</f>
        <v>1</v>
      </c>
      <c r="AM67" s="89">
        <v>0</v>
      </c>
      <c r="AN67" s="80">
        <f t="shared" ca="1" si="15"/>
        <v>0</v>
      </c>
      <c r="AO67" s="80">
        <f t="shared" ca="1" si="15"/>
        <v>0</v>
      </c>
      <c r="AP67" s="80">
        <f t="shared" ca="1" si="15"/>
        <v>0</v>
      </c>
      <c r="AQ67" s="80">
        <f t="shared" ca="1" si="15"/>
        <v>0</v>
      </c>
      <c r="AR67" s="80">
        <f t="shared" ca="1" si="15"/>
        <v>0</v>
      </c>
      <c r="AS67" s="80">
        <f t="shared" ca="1" si="15"/>
        <v>0</v>
      </c>
      <c r="AT67" s="80">
        <f t="shared" ca="1" si="15"/>
        <v>0</v>
      </c>
      <c r="AU67" s="80">
        <f t="shared" ca="1" si="15"/>
        <v>0</v>
      </c>
      <c r="AV67" s="80">
        <f t="shared" ca="1" si="15"/>
        <v>0</v>
      </c>
      <c r="AW67" s="80">
        <f t="shared" ca="1" si="15"/>
        <v>0</v>
      </c>
      <c r="AX67" s="80">
        <f t="shared" ca="1" si="15"/>
        <v>0</v>
      </c>
      <c r="AY67" s="80">
        <f t="shared" ca="1" si="15"/>
        <v>0</v>
      </c>
      <c r="AZ67" s="80">
        <f t="shared" ca="1" si="15"/>
        <v>0</v>
      </c>
      <c r="BA67" s="80">
        <f t="shared" ca="1" si="15"/>
        <v>0</v>
      </c>
      <c r="BB67" s="81">
        <f t="shared" ca="1" si="15"/>
        <v>0</v>
      </c>
      <c r="BD67" s="12" t="str">
        <f t="shared" si="9"/>
        <v>0x107E</v>
      </c>
      <c r="BE67" s="12" t="str">
        <f t="shared" ca="1" si="10"/>
        <v>0000100000000000</v>
      </c>
      <c r="BG67" s="53" t="str">
        <f t="shared" ca="1" si="11"/>
        <v>`define EE_N1 31</v>
      </c>
    </row>
    <row r="68" spans="1:59">
      <c r="A68" s="82" t="s">
        <v>334</v>
      </c>
      <c r="B68" s="82">
        <v>128</v>
      </c>
      <c r="C68" s="82">
        <v>32</v>
      </c>
      <c r="D68" s="83">
        <f ca="1">SUMIF('NVRAM map'!$AF$3:$AF$319,A68,'NVRAM map'!$AN$3:$AN$319)</f>
        <v>0</v>
      </c>
      <c r="E68" s="84" t="str">
        <f t="shared" ref="E68:E103" ca="1" si="16">DEC2HEX(D68,4)</f>
        <v>0000</v>
      </c>
      <c r="F68" s="85" t="str">
        <f t="shared" ca="1" si="12"/>
        <v>0000</v>
      </c>
      <c r="G68" s="86" t="str">
        <f ca="1">VLOOKUP(MemoryView!A68,'NVRAM map'!$AD$3:$AE$319,2,0)</f>
        <v>EE_N2</v>
      </c>
      <c r="H68" s="87" t="str">
        <f t="array" aca="1" ref="H68" ca="1">IF(ISNA(INDEX('NVRAM map'!$AF$3:$AG$319,MATCH(1,('NVRAM map'!$AF$3:$AF$319=$A68)*('NVRAM map'!$AI$3:$AI$319&gt;=H$3)*('NVRAM map'!$AJ$3:$AJ$319&lt;=H$3),0),2)),"-",INDEX('NVRAM map'!$AF$3:$AG$319,MATCH(1,('NVRAM map'!$AF$3:$AF$319=$A68)*('NVRAM map'!$AI$3:$AI$319&gt;=H$3)*('NVRAM map'!$AJ$3:$AJ$319&lt;=H$3),0),2))</f>
        <v>N2</v>
      </c>
      <c r="I68" s="87" t="str">
        <f t="array" aca="1" ref="I68" ca="1">IF(ISNA(INDEX('NVRAM map'!$AF$3:$AG$319,MATCH(1,('NVRAM map'!$AF$3:$AF$319=$A68)*('NVRAM map'!$AI$3:$AI$319&gt;=I$3)*('NVRAM map'!$AJ$3:$AJ$319&lt;=I$3),0),2)),"-",INDEX('NVRAM map'!$AF$3:$AG$319,MATCH(1,('NVRAM map'!$AF$3:$AF$319=$A68)*('NVRAM map'!$AI$3:$AI$319&gt;=I$3)*('NVRAM map'!$AJ$3:$AJ$319&lt;=I$3),0),2))</f>
        <v>N2</v>
      </c>
      <c r="J68" s="87" t="str">
        <f t="array" aca="1" ref="J68" ca="1">IF(ISNA(INDEX('NVRAM map'!$AF$3:$AG$319,MATCH(1,('NVRAM map'!$AF$3:$AF$319=$A68)*('NVRAM map'!$AI$3:$AI$319&gt;=J$3)*('NVRAM map'!$AJ$3:$AJ$319&lt;=J$3),0),2)),"-",INDEX('NVRAM map'!$AF$3:$AG$319,MATCH(1,('NVRAM map'!$AF$3:$AF$319=$A68)*('NVRAM map'!$AI$3:$AI$319&gt;=J$3)*('NVRAM map'!$AJ$3:$AJ$319&lt;=J$3),0),2))</f>
        <v>N2</v>
      </c>
      <c r="K68" s="87" t="str">
        <f t="array" aca="1" ref="K68" ca="1">IF(ISNA(INDEX('NVRAM map'!$AF$3:$AG$319,MATCH(1,('NVRAM map'!$AF$3:$AF$319=$A68)*('NVRAM map'!$AI$3:$AI$319&gt;=K$3)*('NVRAM map'!$AJ$3:$AJ$319&lt;=K$3),0),2)),"-",INDEX('NVRAM map'!$AF$3:$AG$319,MATCH(1,('NVRAM map'!$AF$3:$AF$319=$A68)*('NVRAM map'!$AI$3:$AI$319&gt;=K$3)*('NVRAM map'!$AJ$3:$AJ$319&lt;=K$3),0),2))</f>
        <v>N2</v>
      </c>
      <c r="L68" s="87" t="str">
        <f t="array" aca="1" ref="L68" ca="1">IF(ISNA(INDEX('NVRAM map'!$AF$3:$AG$319,MATCH(1,('NVRAM map'!$AF$3:$AF$319=$A68)*('NVRAM map'!$AI$3:$AI$319&gt;=L$3)*('NVRAM map'!$AJ$3:$AJ$319&lt;=L$3),0),2)),"-",INDEX('NVRAM map'!$AF$3:$AG$319,MATCH(1,('NVRAM map'!$AF$3:$AF$319=$A68)*('NVRAM map'!$AI$3:$AI$319&gt;=L$3)*('NVRAM map'!$AJ$3:$AJ$319&lt;=L$3),0),2))</f>
        <v>N2</v>
      </c>
      <c r="M68" s="87" t="str">
        <f t="array" aca="1" ref="M68" ca="1">IF(ISNA(INDEX('NVRAM map'!$AF$3:$AG$319,MATCH(1,('NVRAM map'!$AF$3:$AF$319=$A68)*('NVRAM map'!$AI$3:$AI$319&gt;=M$3)*('NVRAM map'!$AJ$3:$AJ$319&lt;=M$3),0),2)),"-",INDEX('NVRAM map'!$AF$3:$AG$319,MATCH(1,('NVRAM map'!$AF$3:$AF$319=$A68)*('NVRAM map'!$AI$3:$AI$319&gt;=M$3)*('NVRAM map'!$AJ$3:$AJ$319&lt;=M$3),0),2))</f>
        <v>N2</v>
      </c>
      <c r="N68" s="87" t="str">
        <f t="array" aca="1" ref="N68" ca="1">IF(ISNA(INDEX('NVRAM map'!$AF$3:$AG$319,MATCH(1,('NVRAM map'!$AF$3:$AF$319=$A68)*('NVRAM map'!$AI$3:$AI$319&gt;=N$3)*('NVRAM map'!$AJ$3:$AJ$319&lt;=N$3),0),2)),"-",INDEX('NVRAM map'!$AF$3:$AG$319,MATCH(1,('NVRAM map'!$AF$3:$AF$319=$A68)*('NVRAM map'!$AI$3:$AI$319&gt;=N$3)*('NVRAM map'!$AJ$3:$AJ$319&lt;=N$3),0),2))</f>
        <v>N2</v>
      </c>
      <c r="O68" s="87" t="str">
        <f t="array" aca="1" ref="O68" ca="1">IF(ISNA(INDEX('NVRAM map'!$AF$3:$AG$319,MATCH(1,('NVRAM map'!$AF$3:$AF$319=$A68)*('NVRAM map'!$AI$3:$AI$319&gt;=O$3)*('NVRAM map'!$AJ$3:$AJ$319&lt;=O$3),0),2)),"-",INDEX('NVRAM map'!$AF$3:$AG$319,MATCH(1,('NVRAM map'!$AF$3:$AF$319=$A68)*('NVRAM map'!$AI$3:$AI$319&gt;=O$3)*('NVRAM map'!$AJ$3:$AJ$319&lt;=O$3),0),2))</f>
        <v>N2</v>
      </c>
      <c r="P68" s="87" t="str">
        <f t="array" aca="1" ref="P68" ca="1">IF(ISNA(INDEX('NVRAM map'!$AF$3:$AG$319,MATCH(1,('NVRAM map'!$AF$3:$AF$319=$A68)*('NVRAM map'!$AI$3:$AI$319&gt;=P$3)*('NVRAM map'!$AJ$3:$AJ$319&lt;=P$3),0),2)),"-",INDEX('NVRAM map'!$AF$3:$AG$319,MATCH(1,('NVRAM map'!$AF$3:$AF$319=$A68)*('NVRAM map'!$AI$3:$AI$319&gt;=P$3)*('NVRAM map'!$AJ$3:$AJ$319&lt;=P$3),0),2))</f>
        <v>N2</v>
      </c>
      <c r="Q68" s="87" t="str">
        <f t="array" aca="1" ref="Q68" ca="1">IF(ISNA(INDEX('NVRAM map'!$AF$3:$AG$319,MATCH(1,('NVRAM map'!$AF$3:$AF$319=$A68)*('NVRAM map'!$AI$3:$AI$319&gt;=Q$3)*('NVRAM map'!$AJ$3:$AJ$319&lt;=Q$3),0),2)),"-",INDEX('NVRAM map'!$AF$3:$AG$319,MATCH(1,('NVRAM map'!$AF$3:$AF$319=$A68)*('NVRAM map'!$AI$3:$AI$319&gt;=Q$3)*('NVRAM map'!$AJ$3:$AJ$319&lt;=Q$3),0),2))</f>
        <v>N2</v>
      </c>
      <c r="R68" s="87" t="str">
        <f t="array" aca="1" ref="R68" ca="1">IF(ISNA(INDEX('NVRAM map'!$AF$3:$AG$319,MATCH(1,('NVRAM map'!$AF$3:$AF$319=$A68)*('NVRAM map'!$AI$3:$AI$319&gt;=R$3)*('NVRAM map'!$AJ$3:$AJ$319&lt;=R$3),0),2)),"-",INDEX('NVRAM map'!$AF$3:$AG$319,MATCH(1,('NVRAM map'!$AF$3:$AF$319=$A68)*('NVRAM map'!$AI$3:$AI$319&gt;=R$3)*('NVRAM map'!$AJ$3:$AJ$319&lt;=R$3),0),2))</f>
        <v>N2</v>
      </c>
      <c r="S68" s="87" t="str">
        <f t="array" aca="1" ref="S68" ca="1">IF(ISNA(INDEX('NVRAM map'!$AF$3:$AG$319,MATCH(1,('NVRAM map'!$AF$3:$AF$319=$A68)*('NVRAM map'!$AI$3:$AI$319&gt;=S$3)*('NVRAM map'!$AJ$3:$AJ$319&lt;=S$3),0),2)),"-",INDEX('NVRAM map'!$AF$3:$AG$319,MATCH(1,('NVRAM map'!$AF$3:$AF$319=$A68)*('NVRAM map'!$AI$3:$AI$319&gt;=S$3)*('NVRAM map'!$AJ$3:$AJ$319&lt;=S$3),0),2))</f>
        <v>N2</v>
      </c>
      <c r="T68" s="87" t="str">
        <f t="array" aca="1" ref="T68" ca="1">IF(ISNA(INDEX('NVRAM map'!$AF$3:$AG$319,MATCH(1,('NVRAM map'!$AF$3:$AF$319=$A68)*('NVRAM map'!$AI$3:$AI$319&gt;=T$3)*('NVRAM map'!$AJ$3:$AJ$319&lt;=T$3),0),2)),"-",INDEX('NVRAM map'!$AF$3:$AG$319,MATCH(1,('NVRAM map'!$AF$3:$AF$319=$A68)*('NVRAM map'!$AI$3:$AI$319&gt;=T$3)*('NVRAM map'!$AJ$3:$AJ$319&lt;=T$3),0),2))</f>
        <v>N2</v>
      </c>
      <c r="U68" s="87" t="str">
        <f t="array" aca="1" ref="U68" ca="1">IF(ISNA(INDEX('NVRAM map'!$AF$3:$AG$319,MATCH(1,('NVRAM map'!$AF$3:$AF$319=$A68)*('NVRAM map'!$AI$3:$AI$319&gt;=U$3)*('NVRAM map'!$AJ$3:$AJ$319&lt;=U$3),0),2)),"-",INDEX('NVRAM map'!$AF$3:$AG$319,MATCH(1,('NVRAM map'!$AF$3:$AF$319=$A68)*('NVRAM map'!$AI$3:$AI$319&gt;=U$3)*('NVRAM map'!$AJ$3:$AJ$319&lt;=U$3),0),2))</f>
        <v>N2</v>
      </c>
      <c r="V68" s="87" t="str">
        <f t="array" aca="1" ref="V68" ca="1">IF(ISNA(INDEX('NVRAM map'!$AF$3:$AG$319,MATCH(1,('NVRAM map'!$AF$3:$AF$319=$A68)*('NVRAM map'!$AI$3:$AI$319&gt;=V$3)*('NVRAM map'!$AJ$3:$AJ$319&lt;=V$3),0),2)),"-",INDEX('NVRAM map'!$AF$3:$AG$319,MATCH(1,('NVRAM map'!$AF$3:$AF$319=$A68)*('NVRAM map'!$AI$3:$AI$319&gt;=V$3)*('NVRAM map'!$AJ$3:$AJ$319&lt;=V$3),0),2))</f>
        <v>N2</v>
      </c>
      <c r="W68" s="87" t="str">
        <f t="array" aca="1" ref="W68" ca="1">IF(ISNA(INDEX('NVRAM map'!$AF$3:$AG$319,MATCH(1,('NVRAM map'!$AF$3:$AF$319=$A68)*('NVRAM map'!$AI$3:$AI$319&gt;=W$3)*('NVRAM map'!$AJ$3:$AJ$319&lt;=W$3),0),2)),"-",INDEX('NVRAM map'!$AF$3:$AG$319,MATCH(1,('NVRAM map'!$AF$3:$AF$319=$A68)*('NVRAM map'!$AI$3:$AI$319&gt;=W$3)*('NVRAM map'!$AJ$3:$AJ$319&lt;=W$3),0),2))</f>
        <v>N2</v>
      </c>
      <c r="X68" s="88" t="str">
        <f ca="1">INDEX('NVRAM map'!$B$3:$B$319,MATCH(A68,'NVRAM map'!$E$3:$E$319,0))</f>
        <v>CUST</v>
      </c>
      <c r="AB68" s="44">
        <f t="shared" ref="AB68:AB103" ca="1" si="17">BIN2DEC(LEFT(BE68,8))+BIN2DEC(RIGHT(BE68,8))</f>
        <v>0</v>
      </c>
      <c r="AC68" s="12" t="b">
        <f ca="1">COUNTIF('NVRAM map'!$AD$3:$AE$319,A68)&lt;2</f>
        <v>1</v>
      </c>
      <c r="AD68" s="12">
        <f ca="1">SUMIF('NVRAM map'!$AF$3:$AF$319,A68,'NVRAM map'!$AK$3:$AK$319)</f>
        <v>65535</v>
      </c>
      <c r="AE68" s="12" t="str">
        <f t="shared" ref="AE68:AE103" ca="1" si="18">DEC2HEX(AD68,4)</f>
        <v>FFFF</v>
      </c>
      <c r="AF68" s="12" t="str">
        <f t="shared" ref="AF68:AF103" ca="1" si="19">HEX2BIN(LEFT(AE68,2),8)</f>
        <v>11111111</v>
      </c>
      <c r="AG68" s="12" t="str">
        <f t="shared" ref="AG68:AG103" ca="1" si="20">HEX2BIN(RIGHT(AE68,2),8)</f>
        <v>11111111</v>
      </c>
      <c r="AH68" s="12">
        <f t="shared" ref="AH68:AH103" ca="1" si="21">LEN(SUBSTITUTE(AF68,0,""))+LEN(SUBSTITUTE(AG68,0,""))</f>
        <v>16</v>
      </c>
      <c r="AI68" s="12">
        <f ca="1">SUMIF('NVRAM map'!$AF$3:$AF$319,A68,'NVRAM map'!$AH$3:$AH$319)</f>
        <v>16</v>
      </c>
      <c r="AJ68" s="12" t="b">
        <f t="shared" ref="AJ68:AJ103" ca="1" si="22">IF(ISNUMBER(AH68),AI68=AH68,0)</f>
        <v>1</v>
      </c>
      <c r="AK68" s="12">
        <f ca="1">COUNTIF('NVRAM map'!$AF$3:$AF$319,A68)</f>
        <v>1</v>
      </c>
      <c r="AM68" s="89">
        <v>0</v>
      </c>
      <c r="AN68" s="80">
        <f t="shared" ca="1" si="15"/>
        <v>0</v>
      </c>
      <c r="AO68" s="80">
        <f t="shared" ca="1" si="15"/>
        <v>0</v>
      </c>
      <c r="AP68" s="80">
        <f t="shared" ca="1" si="15"/>
        <v>0</v>
      </c>
      <c r="AQ68" s="80">
        <f t="shared" ca="1" si="15"/>
        <v>0</v>
      </c>
      <c r="AR68" s="80">
        <f t="shared" ca="1" si="15"/>
        <v>0</v>
      </c>
      <c r="AS68" s="80">
        <f t="shared" ca="1" si="15"/>
        <v>0</v>
      </c>
      <c r="AT68" s="80">
        <f t="shared" ca="1" si="15"/>
        <v>0</v>
      </c>
      <c r="AU68" s="80">
        <f t="shared" ca="1" si="15"/>
        <v>0</v>
      </c>
      <c r="AV68" s="80">
        <f t="shared" ca="1" si="15"/>
        <v>0</v>
      </c>
      <c r="AW68" s="80">
        <f t="shared" ca="1" si="15"/>
        <v>0</v>
      </c>
      <c r="AX68" s="80">
        <f t="shared" ca="1" si="15"/>
        <v>0</v>
      </c>
      <c r="AY68" s="80">
        <f t="shared" ca="1" si="15"/>
        <v>0</v>
      </c>
      <c r="AZ68" s="80">
        <f t="shared" ca="1" si="15"/>
        <v>0</v>
      </c>
      <c r="BA68" s="80">
        <f t="shared" ca="1" si="15"/>
        <v>0</v>
      </c>
      <c r="BB68" s="81">
        <f t="shared" ca="1" si="15"/>
        <v>0</v>
      </c>
      <c r="BD68" s="12" t="str">
        <f t="shared" ref="BD68:BD103" si="23">A68</f>
        <v>0x1080</v>
      </c>
      <c r="BE68" s="12" t="str">
        <f t="shared" ref="BE68:BE103" ca="1" si="24">HEX2BIN(LEFT(F68,2),8)&amp;HEX2BIN(RIGHT(F68,2),8)</f>
        <v>0000000000000000</v>
      </c>
      <c r="BG68" s="53" t="str">
        <f t="shared" ref="BG68:BG103" ca="1" si="25">IF(ISNA(G68),"-",CONCATENATE("`define ",G68," ",C68))</f>
        <v>`define EE_N2 32</v>
      </c>
    </row>
    <row r="69" spans="1:59">
      <c r="A69" s="82" t="s">
        <v>335</v>
      </c>
      <c r="B69" s="82">
        <v>130</v>
      </c>
      <c r="C69" s="82">
        <v>32</v>
      </c>
      <c r="D69" s="83">
        <f ca="1">SUMIF('NVRAM map'!$AF$3:$AF$319,A69,'NVRAM map'!$AN$3:$AN$319)</f>
        <v>0</v>
      </c>
      <c r="E69" s="84" t="str">
        <f t="shared" ca="1" si="16"/>
        <v>0000</v>
      </c>
      <c r="F69" s="85" t="str">
        <f t="shared" ca="1" si="12"/>
        <v>0000</v>
      </c>
      <c r="G69" s="86" t="str">
        <f ca="1">VLOOKUP(MemoryView!A69,'NVRAM map'!$AD$3:$AE$319,2,0)</f>
        <v>EE_N3</v>
      </c>
      <c r="H69" s="87" t="str">
        <f t="array" aca="1" ref="H69" ca="1">IF(ISNA(INDEX('NVRAM map'!$AF$3:$AG$319,MATCH(1,('NVRAM map'!$AF$3:$AF$319=$A69)*('NVRAM map'!$AI$3:$AI$319&gt;=H$3)*('NVRAM map'!$AJ$3:$AJ$319&lt;=H$3),0),2)),"-",INDEX('NVRAM map'!$AF$3:$AG$319,MATCH(1,('NVRAM map'!$AF$3:$AF$319=$A69)*('NVRAM map'!$AI$3:$AI$319&gt;=H$3)*('NVRAM map'!$AJ$3:$AJ$319&lt;=H$3),0),2))</f>
        <v>N3</v>
      </c>
      <c r="I69" s="87" t="str">
        <f t="array" aca="1" ref="I69" ca="1">IF(ISNA(INDEX('NVRAM map'!$AF$3:$AG$319,MATCH(1,('NVRAM map'!$AF$3:$AF$319=$A69)*('NVRAM map'!$AI$3:$AI$319&gt;=I$3)*('NVRAM map'!$AJ$3:$AJ$319&lt;=I$3),0),2)),"-",INDEX('NVRAM map'!$AF$3:$AG$319,MATCH(1,('NVRAM map'!$AF$3:$AF$319=$A69)*('NVRAM map'!$AI$3:$AI$319&gt;=I$3)*('NVRAM map'!$AJ$3:$AJ$319&lt;=I$3),0),2))</f>
        <v>N3</v>
      </c>
      <c r="J69" s="87" t="str">
        <f t="array" aca="1" ref="J69" ca="1">IF(ISNA(INDEX('NVRAM map'!$AF$3:$AG$319,MATCH(1,('NVRAM map'!$AF$3:$AF$319=$A69)*('NVRAM map'!$AI$3:$AI$319&gt;=J$3)*('NVRAM map'!$AJ$3:$AJ$319&lt;=J$3),0),2)),"-",INDEX('NVRAM map'!$AF$3:$AG$319,MATCH(1,('NVRAM map'!$AF$3:$AF$319=$A69)*('NVRAM map'!$AI$3:$AI$319&gt;=J$3)*('NVRAM map'!$AJ$3:$AJ$319&lt;=J$3),0),2))</f>
        <v>N3</v>
      </c>
      <c r="K69" s="87" t="str">
        <f t="array" aca="1" ref="K69" ca="1">IF(ISNA(INDEX('NVRAM map'!$AF$3:$AG$319,MATCH(1,('NVRAM map'!$AF$3:$AF$319=$A69)*('NVRAM map'!$AI$3:$AI$319&gt;=K$3)*('NVRAM map'!$AJ$3:$AJ$319&lt;=K$3),0),2)),"-",INDEX('NVRAM map'!$AF$3:$AG$319,MATCH(1,('NVRAM map'!$AF$3:$AF$319=$A69)*('NVRAM map'!$AI$3:$AI$319&gt;=K$3)*('NVRAM map'!$AJ$3:$AJ$319&lt;=K$3),0),2))</f>
        <v>N3</v>
      </c>
      <c r="L69" s="87" t="str">
        <f t="array" aca="1" ref="L69" ca="1">IF(ISNA(INDEX('NVRAM map'!$AF$3:$AG$319,MATCH(1,('NVRAM map'!$AF$3:$AF$319=$A69)*('NVRAM map'!$AI$3:$AI$319&gt;=L$3)*('NVRAM map'!$AJ$3:$AJ$319&lt;=L$3),0),2)),"-",INDEX('NVRAM map'!$AF$3:$AG$319,MATCH(1,('NVRAM map'!$AF$3:$AF$319=$A69)*('NVRAM map'!$AI$3:$AI$319&gt;=L$3)*('NVRAM map'!$AJ$3:$AJ$319&lt;=L$3),0),2))</f>
        <v>N3</v>
      </c>
      <c r="M69" s="87" t="str">
        <f t="array" aca="1" ref="M69" ca="1">IF(ISNA(INDEX('NVRAM map'!$AF$3:$AG$319,MATCH(1,('NVRAM map'!$AF$3:$AF$319=$A69)*('NVRAM map'!$AI$3:$AI$319&gt;=M$3)*('NVRAM map'!$AJ$3:$AJ$319&lt;=M$3),0),2)),"-",INDEX('NVRAM map'!$AF$3:$AG$319,MATCH(1,('NVRAM map'!$AF$3:$AF$319=$A69)*('NVRAM map'!$AI$3:$AI$319&gt;=M$3)*('NVRAM map'!$AJ$3:$AJ$319&lt;=M$3),0),2))</f>
        <v>N3</v>
      </c>
      <c r="N69" s="87" t="str">
        <f t="array" aca="1" ref="N69" ca="1">IF(ISNA(INDEX('NVRAM map'!$AF$3:$AG$319,MATCH(1,('NVRAM map'!$AF$3:$AF$319=$A69)*('NVRAM map'!$AI$3:$AI$319&gt;=N$3)*('NVRAM map'!$AJ$3:$AJ$319&lt;=N$3),0),2)),"-",INDEX('NVRAM map'!$AF$3:$AG$319,MATCH(1,('NVRAM map'!$AF$3:$AF$319=$A69)*('NVRAM map'!$AI$3:$AI$319&gt;=N$3)*('NVRAM map'!$AJ$3:$AJ$319&lt;=N$3),0),2))</f>
        <v>N3</v>
      </c>
      <c r="O69" s="87" t="str">
        <f t="array" aca="1" ref="O69" ca="1">IF(ISNA(INDEX('NVRAM map'!$AF$3:$AG$319,MATCH(1,('NVRAM map'!$AF$3:$AF$319=$A69)*('NVRAM map'!$AI$3:$AI$319&gt;=O$3)*('NVRAM map'!$AJ$3:$AJ$319&lt;=O$3),0),2)),"-",INDEX('NVRAM map'!$AF$3:$AG$319,MATCH(1,('NVRAM map'!$AF$3:$AF$319=$A69)*('NVRAM map'!$AI$3:$AI$319&gt;=O$3)*('NVRAM map'!$AJ$3:$AJ$319&lt;=O$3),0),2))</f>
        <v>N3</v>
      </c>
      <c r="P69" s="87" t="str">
        <f t="array" aca="1" ref="P69" ca="1">IF(ISNA(INDEX('NVRAM map'!$AF$3:$AG$319,MATCH(1,('NVRAM map'!$AF$3:$AF$319=$A69)*('NVRAM map'!$AI$3:$AI$319&gt;=P$3)*('NVRAM map'!$AJ$3:$AJ$319&lt;=P$3),0),2)),"-",INDEX('NVRAM map'!$AF$3:$AG$319,MATCH(1,('NVRAM map'!$AF$3:$AF$319=$A69)*('NVRAM map'!$AI$3:$AI$319&gt;=P$3)*('NVRAM map'!$AJ$3:$AJ$319&lt;=P$3),0),2))</f>
        <v>N3</v>
      </c>
      <c r="Q69" s="87" t="str">
        <f t="array" aca="1" ref="Q69" ca="1">IF(ISNA(INDEX('NVRAM map'!$AF$3:$AG$319,MATCH(1,('NVRAM map'!$AF$3:$AF$319=$A69)*('NVRAM map'!$AI$3:$AI$319&gt;=Q$3)*('NVRAM map'!$AJ$3:$AJ$319&lt;=Q$3),0),2)),"-",INDEX('NVRAM map'!$AF$3:$AG$319,MATCH(1,('NVRAM map'!$AF$3:$AF$319=$A69)*('NVRAM map'!$AI$3:$AI$319&gt;=Q$3)*('NVRAM map'!$AJ$3:$AJ$319&lt;=Q$3),0),2))</f>
        <v>N3</v>
      </c>
      <c r="R69" s="87" t="str">
        <f t="array" aca="1" ref="R69" ca="1">IF(ISNA(INDEX('NVRAM map'!$AF$3:$AG$319,MATCH(1,('NVRAM map'!$AF$3:$AF$319=$A69)*('NVRAM map'!$AI$3:$AI$319&gt;=R$3)*('NVRAM map'!$AJ$3:$AJ$319&lt;=R$3),0),2)),"-",INDEX('NVRAM map'!$AF$3:$AG$319,MATCH(1,('NVRAM map'!$AF$3:$AF$319=$A69)*('NVRAM map'!$AI$3:$AI$319&gt;=R$3)*('NVRAM map'!$AJ$3:$AJ$319&lt;=R$3),0),2))</f>
        <v>N3</v>
      </c>
      <c r="S69" s="87" t="str">
        <f t="array" aca="1" ref="S69" ca="1">IF(ISNA(INDEX('NVRAM map'!$AF$3:$AG$319,MATCH(1,('NVRAM map'!$AF$3:$AF$319=$A69)*('NVRAM map'!$AI$3:$AI$319&gt;=S$3)*('NVRAM map'!$AJ$3:$AJ$319&lt;=S$3),0),2)),"-",INDEX('NVRAM map'!$AF$3:$AG$319,MATCH(1,('NVRAM map'!$AF$3:$AF$319=$A69)*('NVRAM map'!$AI$3:$AI$319&gt;=S$3)*('NVRAM map'!$AJ$3:$AJ$319&lt;=S$3),0),2))</f>
        <v>N3</v>
      </c>
      <c r="T69" s="87" t="str">
        <f t="array" aca="1" ref="T69" ca="1">IF(ISNA(INDEX('NVRAM map'!$AF$3:$AG$319,MATCH(1,('NVRAM map'!$AF$3:$AF$319=$A69)*('NVRAM map'!$AI$3:$AI$319&gt;=T$3)*('NVRAM map'!$AJ$3:$AJ$319&lt;=T$3),0),2)),"-",INDEX('NVRAM map'!$AF$3:$AG$319,MATCH(1,('NVRAM map'!$AF$3:$AF$319=$A69)*('NVRAM map'!$AI$3:$AI$319&gt;=T$3)*('NVRAM map'!$AJ$3:$AJ$319&lt;=T$3),0),2))</f>
        <v>N3</v>
      </c>
      <c r="U69" s="87" t="str">
        <f t="array" aca="1" ref="U69" ca="1">IF(ISNA(INDEX('NVRAM map'!$AF$3:$AG$319,MATCH(1,('NVRAM map'!$AF$3:$AF$319=$A69)*('NVRAM map'!$AI$3:$AI$319&gt;=U$3)*('NVRAM map'!$AJ$3:$AJ$319&lt;=U$3),0),2)),"-",INDEX('NVRAM map'!$AF$3:$AG$319,MATCH(1,('NVRAM map'!$AF$3:$AF$319=$A69)*('NVRAM map'!$AI$3:$AI$319&gt;=U$3)*('NVRAM map'!$AJ$3:$AJ$319&lt;=U$3),0),2))</f>
        <v>N3</v>
      </c>
      <c r="V69" s="87" t="str">
        <f t="array" aca="1" ref="V69" ca="1">IF(ISNA(INDEX('NVRAM map'!$AF$3:$AG$319,MATCH(1,('NVRAM map'!$AF$3:$AF$319=$A69)*('NVRAM map'!$AI$3:$AI$319&gt;=V$3)*('NVRAM map'!$AJ$3:$AJ$319&lt;=V$3),0),2)),"-",INDEX('NVRAM map'!$AF$3:$AG$319,MATCH(1,('NVRAM map'!$AF$3:$AF$319=$A69)*('NVRAM map'!$AI$3:$AI$319&gt;=V$3)*('NVRAM map'!$AJ$3:$AJ$319&lt;=V$3),0),2))</f>
        <v>N3</v>
      </c>
      <c r="W69" s="87" t="str">
        <f t="array" aca="1" ref="W69" ca="1">IF(ISNA(INDEX('NVRAM map'!$AF$3:$AG$319,MATCH(1,('NVRAM map'!$AF$3:$AF$319=$A69)*('NVRAM map'!$AI$3:$AI$319&gt;=W$3)*('NVRAM map'!$AJ$3:$AJ$319&lt;=W$3),0),2)),"-",INDEX('NVRAM map'!$AF$3:$AG$319,MATCH(1,('NVRAM map'!$AF$3:$AF$319=$A69)*('NVRAM map'!$AI$3:$AI$319&gt;=W$3)*('NVRAM map'!$AJ$3:$AJ$319&lt;=W$3),0),2))</f>
        <v>N3</v>
      </c>
      <c r="X69" s="88" t="str">
        <f ca="1">INDEX('NVRAM map'!$B$3:$B$319,MATCH(A69,'NVRAM map'!$E$3:$E$319,0))</f>
        <v>CUST</v>
      </c>
      <c r="AB69" s="44">
        <f t="shared" ca="1" si="17"/>
        <v>0</v>
      </c>
      <c r="AC69" s="12" t="b">
        <f ca="1">COUNTIF('NVRAM map'!$AD$3:$AE$319,A69)&lt;2</f>
        <v>1</v>
      </c>
      <c r="AD69" s="12">
        <f ca="1">SUMIF('NVRAM map'!$AF$3:$AF$319,A69,'NVRAM map'!$AK$3:$AK$319)</f>
        <v>65535</v>
      </c>
      <c r="AE69" s="12" t="str">
        <f t="shared" ca="1" si="18"/>
        <v>FFFF</v>
      </c>
      <c r="AF69" s="12" t="str">
        <f t="shared" ca="1" si="19"/>
        <v>11111111</v>
      </c>
      <c r="AG69" s="12" t="str">
        <f t="shared" ca="1" si="20"/>
        <v>11111111</v>
      </c>
      <c r="AH69" s="12">
        <f t="shared" ca="1" si="21"/>
        <v>16</v>
      </c>
      <c r="AI69" s="12">
        <f ca="1">SUMIF('NVRAM map'!$AF$3:$AF$319,A69,'NVRAM map'!$AH$3:$AH$319)</f>
        <v>16</v>
      </c>
      <c r="AJ69" s="12" t="b">
        <f t="shared" ca="1" si="22"/>
        <v>1</v>
      </c>
      <c r="AK69" s="12">
        <f ca="1">COUNTIF('NVRAM map'!$AF$3:$AF$319,A69)</f>
        <v>1</v>
      </c>
      <c r="AM69" s="89">
        <v>0</v>
      </c>
      <c r="AN69" s="80">
        <f t="shared" ca="1" si="15"/>
        <v>0</v>
      </c>
      <c r="AO69" s="80">
        <f t="shared" ca="1" si="15"/>
        <v>0</v>
      </c>
      <c r="AP69" s="80">
        <f t="shared" ca="1" si="15"/>
        <v>0</v>
      </c>
      <c r="AQ69" s="80">
        <f t="shared" ca="1" si="15"/>
        <v>0</v>
      </c>
      <c r="AR69" s="80">
        <f t="shared" ca="1" si="15"/>
        <v>0</v>
      </c>
      <c r="AS69" s="80">
        <f t="shared" ca="1" si="15"/>
        <v>0</v>
      </c>
      <c r="AT69" s="80">
        <f t="shared" ca="1" si="15"/>
        <v>0</v>
      </c>
      <c r="AU69" s="80">
        <f t="shared" ca="1" si="15"/>
        <v>0</v>
      </c>
      <c r="AV69" s="80">
        <f t="shared" ca="1" si="15"/>
        <v>0</v>
      </c>
      <c r="AW69" s="80">
        <f t="shared" ca="1" si="15"/>
        <v>0</v>
      </c>
      <c r="AX69" s="80">
        <f t="shared" ca="1" si="15"/>
        <v>0</v>
      </c>
      <c r="AY69" s="80">
        <f t="shared" ca="1" si="15"/>
        <v>0</v>
      </c>
      <c r="AZ69" s="80">
        <f t="shared" ca="1" si="15"/>
        <v>0</v>
      </c>
      <c r="BA69" s="80">
        <f t="shared" ca="1" si="15"/>
        <v>0</v>
      </c>
      <c r="BB69" s="81">
        <f t="shared" ca="1" si="15"/>
        <v>0</v>
      </c>
      <c r="BD69" s="12" t="str">
        <f t="shared" si="23"/>
        <v>0x1082</v>
      </c>
      <c r="BE69" s="12" t="str">
        <f t="shared" ca="1" si="24"/>
        <v>0000000000000000</v>
      </c>
      <c r="BG69" s="53" t="str">
        <f t="shared" ca="1" si="25"/>
        <v>`define EE_N3 32</v>
      </c>
    </row>
    <row r="70" spans="1:59">
      <c r="A70" s="82" t="s">
        <v>336</v>
      </c>
      <c r="B70" s="82">
        <v>132</v>
      </c>
      <c r="C70" s="82">
        <v>33</v>
      </c>
      <c r="D70" s="83">
        <f ca="1">SUMIF('NVRAM map'!$AF$3:$AF$319,A70,'NVRAM map'!$AN$3:$AN$319)</f>
        <v>3563</v>
      </c>
      <c r="E70" s="84" t="str">
        <f t="shared" ca="1" si="16"/>
        <v>0DEB</v>
      </c>
      <c r="F70" s="85" t="str">
        <f t="shared" ca="1" si="12"/>
        <v>0DEB</v>
      </c>
      <c r="G70" s="86" t="str">
        <f ca="1">VLOOKUP(MemoryView!A70,'NVRAM map'!$AD$3:$AE$319,2,0)</f>
        <v>EE_SHA</v>
      </c>
      <c r="H70" s="87" t="str">
        <f t="array" aca="1" ref="H70" ca="1">IF(ISNA(INDEX('NVRAM map'!$AF$3:$AG$319,MATCH(1,('NVRAM map'!$AF$3:$AF$319=$A70)*('NVRAM map'!$AI$3:$AI$319&gt;=H$3)*('NVRAM map'!$AJ$3:$AJ$319&lt;=H$3),0),2)),"-",INDEX('NVRAM map'!$AF$3:$AG$319,MATCH(1,('NVRAM map'!$AF$3:$AF$319=$A70)*('NVRAM map'!$AI$3:$AI$319&gt;=H$3)*('NVRAM map'!$AJ$3:$AJ$319&lt;=H$3),0),2))</f>
        <v>SHA</v>
      </c>
      <c r="I70" s="87" t="str">
        <f t="array" aca="1" ref="I70" ca="1">IF(ISNA(INDEX('NVRAM map'!$AF$3:$AG$319,MATCH(1,('NVRAM map'!$AF$3:$AF$319=$A70)*('NVRAM map'!$AI$3:$AI$319&gt;=I$3)*('NVRAM map'!$AJ$3:$AJ$319&lt;=I$3),0),2)),"-",INDEX('NVRAM map'!$AF$3:$AG$319,MATCH(1,('NVRAM map'!$AF$3:$AF$319=$A70)*('NVRAM map'!$AI$3:$AI$319&gt;=I$3)*('NVRAM map'!$AJ$3:$AJ$319&lt;=I$3),0),2))</f>
        <v>SHA</v>
      </c>
      <c r="J70" s="87" t="str">
        <f t="array" aca="1" ref="J70" ca="1">IF(ISNA(INDEX('NVRAM map'!$AF$3:$AG$319,MATCH(1,('NVRAM map'!$AF$3:$AF$319=$A70)*('NVRAM map'!$AI$3:$AI$319&gt;=J$3)*('NVRAM map'!$AJ$3:$AJ$319&lt;=J$3),0),2)),"-",INDEX('NVRAM map'!$AF$3:$AG$319,MATCH(1,('NVRAM map'!$AF$3:$AF$319=$A70)*('NVRAM map'!$AI$3:$AI$319&gt;=J$3)*('NVRAM map'!$AJ$3:$AJ$319&lt;=J$3),0),2))</f>
        <v>SHA</v>
      </c>
      <c r="K70" s="87" t="str">
        <f t="array" aca="1" ref="K70" ca="1">IF(ISNA(INDEX('NVRAM map'!$AF$3:$AG$319,MATCH(1,('NVRAM map'!$AF$3:$AF$319=$A70)*('NVRAM map'!$AI$3:$AI$319&gt;=K$3)*('NVRAM map'!$AJ$3:$AJ$319&lt;=K$3),0),2)),"-",INDEX('NVRAM map'!$AF$3:$AG$319,MATCH(1,('NVRAM map'!$AF$3:$AF$319=$A70)*('NVRAM map'!$AI$3:$AI$319&gt;=K$3)*('NVRAM map'!$AJ$3:$AJ$319&lt;=K$3),0),2))</f>
        <v>SHA</v>
      </c>
      <c r="L70" s="87" t="str">
        <f t="array" aca="1" ref="L70" ca="1">IF(ISNA(INDEX('NVRAM map'!$AF$3:$AG$319,MATCH(1,('NVRAM map'!$AF$3:$AF$319=$A70)*('NVRAM map'!$AI$3:$AI$319&gt;=L$3)*('NVRAM map'!$AJ$3:$AJ$319&lt;=L$3),0),2)),"-",INDEX('NVRAM map'!$AF$3:$AG$319,MATCH(1,('NVRAM map'!$AF$3:$AF$319=$A70)*('NVRAM map'!$AI$3:$AI$319&gt;=L$3)*('NVRAM map'!$AJ$3:$AJ$319&lt;=L$3),0),2))</f>
        <v>SHA</v>
      </c>
      <c r="M70" s="87" t="str">
        <f t="array" aca="1" ref="M70" ca="1">IF(ISNA(INDEX('NVRAM map'!$AF$3:$AG$319,MATCH(1,('NVRAM map'!$AF$3:$AF$319=$A70)*('NVRAM map'!$AI$3:$AI$319&gt;=M$3)*('NVRAM map'!$AJ$3:$AJ$319&lt;=M$3),0),2)),"-",INDEX('NVRAM map'!$AF$3:$AG$319,MATCH(1,('NVRAM map'!$AF$3:$AF$319=$A70)*('NVRAM map'!$AI$3:$AI$319&gt;=M$3)*('NVRAM map'!$AJ$3:$AJ$319&lt;=M$3),0),2))</f>
        <v>SHA</v>
      </c>
      <c r="N70" s="87" t="str">
        <f t="array" aca="1" ref="N70" ca="1">IF(ISNA(INDEX('NVRAM map'!$AF$3:$AG$319,MATCH(1,('NVRAM map'!$AF$3:$AF$319=$A70)*('NVRAM map'!$AI$3:$AI$319&gt;=N$3)*('NVRAM map'!$AJ$3:$AJ$319&lt;=N$3),0),2)),"-",INDEX('NVRAM map'!$AF$3:$AG$319,MATCH(1,('NVRAM map'!$AF$3:$AF$319=$A70)*('NVRAM map'!$AI$3:$AI$319&gt;=N$3)*('NVRAM map'!$AJ$3:$AJ$319&lt;=N$3),0),2))</f>
        <v>SHA</v>
      </c>
      <c r="O70" s="87" t="str">
        <f t="array" aca="1" ref="O70" ca="1">IF(ISNA(INDEX('NVRAM map'!$AF$3:$AG$319,MATCH(1,('NVRAM map'!$AF$3:$AF$319=$A70)*('NVRAM map'!$AI$3:$AI$319&gt;=O$3)*('NVRAM map'!$AJ$3:$AJ$319&lt;=O$3),0),2)),"-",INDEX('NVRAM map'!$AF$3:$AG$319,MATCH(1,('NVRAM map'!$AF$3:$AF$319=$A70)*('NVRAM map'!$AI$3:$AI$319&gt;=O$3)*('NVRAM map'!$AJ$3:$AJ$319&lt;=O$3),0),2))</f>
        <v>SHA</v>
      </c>
      <c r="P70" s="87" t="str">
        <f t="array" aca="1" ref="P70" ca="1">IF(ISNA(INDEX('NVRAM map'!$AF$3:$AG$319,MATCH(1,('NVRAM map'!$AF$3:$AF$319=$A70)*('NVRAM map'!$AI$3:$AI$319&gt;=P$3)*('NVRAM map'!$AJ$3:$AJ$319&lt;=P$3),0),2)),"-",INDEX('NVRAM map'!$AF$3:$AG$319,MATCH(1,('NVRAM map'!$AF$3:$AF$319=$A70)*('NVRAM map'!$AI$3:$AI$319&gt;=P$3)*('NVRAM map'!$AJ$3:$AJ$319&lt;=P$3),0),2))</f>
        <v>SHA</v>
      </c>
      <c r="Q70" s="87" t="str">
        <f t="array" aca="1" ref="Q70" ca="1">IF(ISNA(INDEX('NVRAM map'!$AF$3:$AG$319,MATCH(1,('NVRAM map'!$AF$3:$AF$319=$A70)*('NVRAM map'!$AI$3:$AI$319&gt;=Q$3)*('NVRAM map'!$AJ$3:$AJ$319&lt;=Q$3),0),2)),"-",INDEX('NVRAM map'!$AF$3:$AG$319,MATCH(1,('NVRAM map'!$AF$3:$AF$319=$A70)*('NVRAM map'!$AI$3:$AI$319&gt;=Q$3)*('NVRAM map'!$AJ$3:$AJ$319&lt;=Q$3),0),2))</f>
        <v>SHA</v>
      </c>
      <c r="R70" s="87" t="str">
        <f t="array" aca="1" ref="R70" ca="1">IF(ISNA(INDEX('NVRAM map'!$AF$3:$AG$319,MATCH(1,('NVRAM map'!$AF$3:$AF$319=$A70)*('NVRAM map'!$AI$3:$AI$319&gt;=R$3)*('NVRAM map'!$AJ$3:$AJ$319&lt;=R$3),0),2)),"-",INDEX('NVRAM map'!$AF$3:$AG$319,MATCH(1,('NVRAM map'!$AF$3:$AF$319=$A70)*('NVRAM map'!$AI$3:$AI$319&gt;=R$3)*('NVRAM map'!$AJ$3:$AJ$319&lt;=R$3),0),2))</f>
        <v>SHA</v>
      </c>
      <c r="S70" s="87" t="str">
        <f t="array" aca="1" ref="S70" ca="1">IF(ISNA(INDEX('NVRAM map'!$AF$3:$AG$319,MATCH(1,('NVRAM map'!$AF$3:$AF$319=$A70)*('NVRAM map'!$AI$3:$AI$319&gt;=S$3)*('NVRAM map'!$AJ$3:$AJ$319&lt;=S$3),0),2)),"-",INDEX('NVRAM map'!$AF$3:$AG$319,MATCH(1,('NVRAM map'!$AF$3:$AF$319=$A70)*('NVRAM map'!$AI$3:$AI$319&gt;=S$3)*('NVRAM map'!$AJ$3:$AJ$319&lt;=S$3),0),2))</f>
        <v>SHA</v>
      </c>
      <c r="T70" s="87" t="str">
        <f t="array" aca="1" ref="T70" ca="1">IF(ISNA(INDEX('NVRAM map'!$AF$3:$AG$319,MATCH(1,('NVRAM map'!$AF$3:$AF$319=$A70)*('NVRAM map'!$AI$3:$AI$319&gt;=T$3)*('NVRAM map'!$AJ$3:$AJ$319&lt;=T$3),0),2)),"-",INDEX('NVRAM map'!$AF$3:$AG$319,MATCH(1,('NVRAM map'!$AF$3:$AF$319=$A70)*('NVRAM map'!$AI$3:$AI$319&gt;=T$3)*('NVRAM map'!$AJ$3:$AJ$319&lt;=T$3),0),2))</f>
        <v>SHA</v>
      </c>
      <c r="U70" s="87" t="str">
        <f t="array" aca="1" ref="U70" ca="1">IF(ISNA(INDEX('NVRAM map'!$AF$3:$AG$319,MATCH(1,('NVRAM map'!$AF$3:$AF$319=$A70)*('NVRAM map'!$AI$3:$AI$319&gt;=U$3)*('NVRAM map'!$AJ$3:$AJ$319&lt;=U$3),0),2)),"-",INDEX('NVRAM map'!$AF$3:$AG$319,MATCH(1,('NVRAM map'!$AF$3:$AF$319=$A70)*('NVRAM map'!$AI$3:$AI$319&gt;=U$3)*('NVRAM map'!$AJ$3:$AJ$319&lt;=U$3),0),2))</f>
        <v>SHA</v>
      </c>
      <c r="V70" s="87" t="str">
        <f t="array" aca="1" ref="V70" ca="1">IF(ISNA(INDEX('NVRAM map'!$AF$3:$AG$319,MATCH(1,('NVRAM map'!$AF$3:$AF$319=$A70)*('NVRAM map'!$AI$3:$AI$319&gt;=V$3)*('NVRAM map'!$AJ$3:$AJ$319&lt;=V$3),0),2)),"-",INDEX('NVRAM map'!$AF$3:$AG$319,MATCH(1,('NVRAM map'!$AF$3:$AF$319=$A70)*('NVRAM map'!$AI$3:$AI$319&gt;=V$3)*('NVRAM map'!$AJ$3:$AJ$319&lt;=V$3),0),2))</f>
        <v>SHA</v>
      </c>
      <c r="W70" s="87" t="str">
        <f t="array" aca="1" ref="W70" ca="1">IF(ISNA(INDEX('NVRAM map'!$AF$3:$AG$319,MATCH(1,('NVRAM map'!$AF$3:$AF$319=$A70)*('NVRAM map'!$AI$3:$AI$319&gt;=W$3)*('NVRAM map'!$AJ$3:$AJ$319&lt;=W$3),0),2)),"-",INDEX('NVRAM map'!$AF$3:$AG$319,MATCH(1,('NVRAM map'!$AF$3:$AF$319=$A70)*('NVRAM map'!$AI$3:$AI$319&gt;=W$3)*('NVRAM map'!$AJ$3:$AJ$319&lt;=W$3),0),2))</f>
        <v>SHA</v>
      </c>
      <c r="X70" s="88" t="str">
        <f ca="1">INDEX('NVRAM map'!$B$3:$B$319,MATCH(A70,'NVRAM map'!$E$3:$E$319,0))</f>
        <v>CUST</v>
      </c>
      <c r="AB70" s="44">
        <f t="shared" ca="1" si="17"/>
        <v>248</v>
      </c>
      <c r="AC70" s="12" t="b">
        <f ca="1">COUNTIF('NVRAM map'!$AD$3:$AE$319,A70)&lt;2</f>
        <v>1</v>
      </c>
      <c r="AD70" s="12">
        <f ca="1">SUMIF('NVRAM map'!$AF$3:$AF$319,A70,'NVRAM map'!$AK$3:$AK$319)</f>
        <v>65535</v>
      </c>
      <c r="AE70" s="12" t="str">
        <f t="shared" ca="1" si="18"/>
        <v>FFFF</v>
      </c>
      <c r="AF70" s="12" t="str">
        <f t="shared" ca="1" si="19"/>
        <v>11111111</v>
      </c>
      <c r="AG70" s="12" t="str">
        <f t="shared" ca="1" si="20"/>
        <v>11111111</v>
      </c>
      <c r="AH70" s="12">
        <f t="shared" ca="1" si="21"/>
        <v>16</v>
      </c>
      <c r="AI70" s="12">
        <f ca="1">SUMIF('NVRAM map'!$AF$3:$AF$319,A70,'NVRAM map'!$AH$3:$AH$319)</f>
        <v>16</v>
      </c>
      <c r="AJ70" s="12" t="b">
        <f t="shared" ca="1" si="22"/>
        <v>1</v>
      </c>
      <c r="AK70" s="12">
        <f ca="1">COUNTIF('NVRAM map'!$AF$3:$AF$319,A70)</f>
        <v>1</v>
      </c>
      <c r="AM70" s="89">
        <v>0</v>
      </c>
      <c r="AN70" s="80">
        <f t="shared" ca="1" si="15"/>
        <v>0</v>
      </c>
      <c r="AO70" s="80">
        <f t="shared" ca="1" si="15"/>
        <v>0</v>
      </c>
      <c r="AP70" s="80">
        <f t="shared" ca="1" si="15"/>
        <v>0</v>
      </c>
      <c r="AQ70" s="80">
        <f t="shared" ca="1" si="15"/>
        <v>0</v>
      </c>
      <c r="AR70" s="80">
        <f t="shared" ca="1" si="15"/>
        <v>0</v>
      </c>
      <c r="AS70" s="80">
        <f t="shared" ca="1" si="15"/>
        <v>0</v>
      </c>
      <c r="AT70" s="80">
        <f t="shared" ca="1" si="15"/>
        <v>0</v>
      </c>
      <c r="AU70" s="80">
        <f t="shared" ca="1" si="15"/>
        <v>0</v>
      </c>
      <c r="AV70" s="80">
        <f t="shared" ca="1" si="15"/>
        <v>0</v>
      </c>
      <c r="AW70" s="80">
        <f t="shared" ca="1" si="15"/>
        <v>0</v>
      </c>
      <c r="AX70" s="80">
        <f t="shared" ca="1" si="15"/>
        <v>0</v>
      </c>
      <c r="AY70" s="80">
        <f t="shared" ca="1" si="15"/>
        <v>0</v>
      </c>
      <c r="AZ70" s="80">
        <f t="shared" ca="1" si="15"/>
        <v>0</v>
      </c>
      <c r="BA70" s="80">
        <f t="shared" ca="1" si="15"/>
        <v>0</v>
      </c>
      <c r="BB70" s="81">
        <f t="shared" ca="1" si="15"/>
        <v>0</v>
      </c>
      <c r="BD70" s="12" t="str">
        <f t="shared" si="23"/>
        <v>0x1084</v>
      </c>
      <c r="BE70" s="12" t="str">
        <f t="shared" ca="1" si="24"/>
        <v>0000110111101011</v>
      </c>
      <c r="BG70" s="53" t="str">
        <f t="shared" ca="1" si="25"/>
        <v>`define EE_SHA 33</v>
      </c>
    </row>
    <row r="71" spans="1:59">
      <c r="A71" s="82" t="s">
        <v>337</v>
      </c>
      <c r="B71" s="82">
        <v>134</v>
      </c>
      <c r="C71" s="82">
        <v>33</v>
      </c>
      <c r="D71" s="83">
        <f ca="1">SUMIF('NVRAM map'!$AF$3:$AF$319,A71,'NVRAM map'!$AN$3:$AN$319)</f>
        <v>17507</v>
      </c>
      <c r="E71" s="84" t="str">
        <f t="shared" ca="1" si="16"/>
        <v>4463</v>
      </c>
      <c r="F71" s="85" t="str">
        <f t="shared" ca="1" si="12"/>
        <v>4463</v>
      </c>
      <c r="G71" s="86" t="str">
        <f ca="1">VLOOKUP(MemoryView!A71,'NVRAM map'!$AD$3:$AE$319,2,0)</f>
        <v>EE_SHB</v>
      </c>
      <c r="H71" s="87" t="str">
        <f t="array" aca="1" ref="H71" ca="1">IF(ISNA(INDEX('NVRAM map'!$AF$3:$AG$319,MATCH(1,('NVRAM map'!$AF$3:$AF$319=$A71)*('NVRAM map'!$AI$3:$AI$319&gt;=H$3)*('NVRAM map'!$AJ$3:$AJ$319&lt;=H$3),0),2)),"-",INDEX('NVRAM map'!$AF$3:$AG$319,MATCH(1,('NVRAM map'!$AF$3:$AF$319=$A71)*('NVRAM map'!$AI$3:$AI$319&gt;=H$3)*('NVRAM map'!$AJ$3:$AJ$319&lt;=H$3),0),2))</f>
        <v>SHB</v>
      </c>
      <c r="I71" s="87" t="str">
        <f t="array" aca="1" ref="I71" ca="1">IF(ISNA(INDEX('NVRAM map'!$AF$3:$AG$319,MATCH(1,('NVRAM map'!$AF$3:$AF$319=$A71)*('NVRAM map'!$AI$3:$AI$319&gt;=I$3)*('NVRAM map'!$AJ$3:$AJ$319&lt;=I$3),0),2)),"-",INDEX('NVRAM map'!$AF$3:$AG$319,MATCH(1,('NVRAM map'!$AF$3:$AF$319=$A71)*('NVRAM map'!$AI$3:$AI$319&gt;=I$3)*('NVRAM map'!$AJ$3:$AJ$319&lt;=I$3),0),2))</f>
        <v>SHB</v>
      </c>
      <c r="J71" s="87" t="str">
        <f t="array" aca="1" ref="J71" ca="1">IF(ISNA(INDEX('NVRAM map'!$AF$3:$AG$319,MATCH(1,('NVRAM map'!$AF$3:$AF$319=$A71)*('NVRAM map'!$AI$3:$AI$319&gt;=J$3)*('NVRAM map'!$AJ$3:$AJ$319&lt;=J$3),0),2)),"-",INDEX('NVRAM map'!$AF$3:$AG$319,MATCH(1,('NVRAM map'!$AF$3:$AF$319=$A71)*('NVRAM map'!$AI$3:$AI$319&gt;=J$3)*('NVRAM map'!$AJ$3:$AJ$319&lt;=J$3),0),2))</f>
        <v>SHB</v>
      </c>
      <c r="K71" s="87" t="str">
        <f t="array" aca="1" ref="K71" ca="1">IF(ISNA(INDEX('NVRAM map'!$AF$3:$AG$319,MATCH(1,('NVRAM map'!$AF$3:$AF$319=$A71)*('NVRAM map'!$AI$3:$AI$319&gt;=K$3)*('NVRAM map'!$AJ$3:$AJ$319&lt;=K$3),0),2)),"-",INDEX('NVRAM map'!$AF$3:$AG$319,MATCH(1,('NVRAM map'!$AF$3:$AF$319=$A71)*('NVRAM map'!$AI$3:$AI$319&gt;=K$3)*('NVRAM map'!$AJ$3:$AJ$319&lt;=K$3),0),2))</f>
        <v>SHB</v>
      </c>
      <c r="L71" s="87" t="str">
        <f t="array" aca="1" ref="L71" ca="1">IF(ISNA(INDEX('NVRAM map'!$AF$3:$AG$319,MATCH(1,('NVRAM map'!$AF$3:$AF$319=$A71)*('NVRAM map'!$AI$3:$AI$319&gt;=L$3)*('NVRAM map'!$AJ$3:$AJ$319&lt;=L$3),0),2)),"-",INDEX('NVRAM map'!$AF$3:$AG$319,MATCH(1,('NVRAM map'!$AF$3:$AF$319=$A71)*('NVRAM map'!$AI$3:$AI$319&gt;=L$3)*('NVRAM map'!$AJ$3:$AJ$319&lt;=L$3),0),2))</f>
        <v>SHB</v>
      </c>
      <c r="M71" s="87" t="str">
        <f t="array" aca="1" ref="M71" ca="1">IF(ISNA(INDEX('NVRAM map'!$AF$3:$AG$319,MATCH(1,('NVRAM map'!$AF$3:$AF$319=$A71)*('NVRAM map'!$AI$3:$AI$319&gt;=M$3)*('NVRAM map'!$AJ$3:$AJ$319&lt;=M$3),0),2)),"-",INDEX('NVRAM map'!$AF$3:$AG$319,MATCH(1,('NVRAM map'!$AF$3:$AF$319=$A71)*('NVRAM map'!$AI$3:$AI$319&gt;=M$3)*('NVRAM map'!$AJ$3:$AJ$319&lt;=M$3),0),2))</f>
        <v>SHB</v>
      </c>
      <c r="N71" s="87" t="str">
        <f t="array" aca="1" ref="N71" ca="1">IF(ISNA(INDEX('NVRAM map'!$AF$3:$AG$319,MATCH(1,('NVRAM map'!$AF$3:$AF$319=$A71)*('NVRAM map'!$AI$3:$AI$319&gt;=N$3)*('NVRAM map'!$AJ$3:$AJ$319&lt;=N$3),0),2)),"-",INDEX('NVRAM map'!$AF$3:$AG$319,MATCH(1,('NVRAM map'!$AF$3:$AF$319=$A71)*('NVRAM map'!$AI$3:$AI$319&gt;=N$3)*('NVRAM map'!$AJ$3:$AJ$319&lt;=N$3),0),2))</f>
        <v>SHB</v>
      </c>
      <c r="O71" s="87" t="str">
        <f t="array" aca="1" ref="O71" ca="1">IF(ISNA(INDEX('NVRAM map'!$AF$3:$AG$319,MATCH(1,('NVRAM map'!$AF$3:$AF$319=$A71)*('NVRAM map'!$AI$3:$AI$319&gt;=O$3)*('NVRAM map'!$AJ$3:$AJ$319&lt;=O$3),0),2)),"-",INDEX('NVRAM map'!$AF$3:$AG$319,MATCH(1,('NVRAM map'!$AF$3:$AF$319=$A71)*('NVRAM map'!$AI$3:$AI$319&gt;=O$3)*('NVRAM map'!$AJ$3:$AJ$319&lt;=O$3),0),2))</f>
        <v>SHB</v>
      </c>
      <c r="P71" s="87" t="str">
        <f t="array" aca="1" ref="P71" ca="1">IF(ISNA(INDEX('NVRAM map'!$AF$3:$AG$319,MATCH(1,('NVRAM map'!$AF$3:$AF$319=$A71)*('NVRAM map'!$AI$3:$AI$319&gt;=P$3)*('NVRAM map'!$AJ$3:$AJ$319&lt;=P$3),0),2)),"-",INDEX('NVRAM map'!$AF$3:$AG$319,MATCH(1,('NVRAM map'!$AF$3:$AF$319=$A71)*('NVRAM map'!$AI$3:$AI$319&gt;=P$3)*('NVRAM map'!$AJ$3:$AJ$319&lt;=P$3),0),2))</f>
        <v>SHB</v>
      </c>
      <c r="Q71" s="87" t="str">
        <f t="array" aca="1" ref="Q71" ca="1">IF(ISNA(INDEX('NVRAM map'!$AF$3:$AG$319,MATCH(1,('NVRAM map'!$AF$3:$AF$319=$A71)*('NVRAM map'!$AI$3:$AI$319&gt;=Q$3)*('NVRAM map'!$AJ$3:$AJ$319&lt;=Q$3),0),2)),"-",INDEX('NVRAM map'!$AF$3:$AG$319,MATCH(1,('NVRAM map'!$AF$3:$AF$319=$A71)*('NVRAM map'!$AI$3:$AI$319&gt;=Q$3)*('NVRAM map'!$AJ$3:$AJ$319&lt;=Q$3),0),2))</f>
        <v>SHB</v>
      </c>
      <c r="R71" s="87" t="str">
        <f t="array" aca="1" ref="R71" ca="1">IF(ISNA(INDEX('NVRAM map'!$AF$3:$AG$319,MATCH(1,('NVRAM map'!$AF$3:$AF$319=$A71)*('NVRAM map'!$AI$3:$AI$319&gt;=R$3)*('NVRAM map'!$AJ$3:$AJ$319&lt;=R$3),0),2)),"-",INDEX('NVRAM map'!$AF$3:$AG$319,MATCH(1,('NVRAM map'!$AF$3:$AF$319=$A71)*('NVRAM map'!$AI$3:$AI$319&gt;=R$3)*('NVRAM map'!$AJ$3:$AJ$319&lt;=R$3),0),2))</f>
        <v>SHB</v>
      </c>
      <c r="S71" s="87" t="str">
        <f t="array" aca="1" ref="S71" ca="1">IF(ISNA(INDEX('NVRAM map'!$AF$3:$AG$319,MATCH(1,('NVRAM map'!$AF$3:$AF$319=$A71)*('NVRAM map'!$AI$3:$AI$319&gt;=S$3)*('NVRAM map'!$AJ$3:$AJ$319&lt;=S$3),0),2)),"-",INDEX('NVRAM map'!$AF$3:$AG$319,MATCH(1,('NVRAM map'!$AF$3:$AF$319=$A71)*('NVRAM map'!$AI$3:$AI$319&gt;=S$3)*('NVRAM map'!$AJ$3:$AJ$319&lt;=S$3),0),2))</f>
        <v>SHB</v>
      </c>
      <c r="T71" s="87" t="str">
        <f t="array" aca="1" ref="T71" ca="1">IF(ISNA(INDEX('NVRAM map'!$AF$3:$AG$319,MATCH(1,('NVRAM map'!$AF$3:$AF$319=$A71)*('NVRAM map'!$AI$3:$AI$319&gt;=T$3)*('NVRAM map'!$AJ$3:$AJ$319&lt;=T$3),0),2)),"-",INDEX('NVRAM map'!$AF$3:$AG$319,MATCH(1,('NVRAM map'!$AF$3:$AF$319=$A71)*('NVRAM map'!$AI$3:$AI$319&gt;=T$3)*('NVRAM map'!$AJ$3:$AJ$319&lt;=T$3),0),2))</f>
        <v>SHB</v>
      </c>
      <c r="U71" s="87" t="str">
        <f t="array" aca="1" ref="U71" ca="1">IF(ISNA(INDEX('NVRAM map'!$AF$3:$AG$319,MATCH(1,('NVRAM map'!$AF$3:$AF$319=$A71)*('NVRAM map'!$AI$3:$AI$319&gt;=U$3)*('NVRAM map'!$AJ$3:$AJ$319&lt;=U$3),0),2)),"-",INDEX('NVRAM map'!$AF$3:$AG$319,MATCH(1,('NVRAM map'!$AF$3:$AF$319=$A71)*('NVRAM map'!$AI$3:$AI$319&gt;=U$3)*('NVRAM map'!$AJ$3:$AJ$319&lt;=U$3),0),2))</f>
        <v>SHB</v>
      </c>
      <c r="V71" s="87" t="str">
        <f t="array" aca="1" ref="V71" ca="1">IF(ISNA(INDEX('NVRAM map'!$AF$3:$AG$319,MATCH(1,('NVRAM map'!$AF$3:$AF$319=$A71)*('NVRAM map'!$AI$3:$AI$319&gt;=V$3)*('NVRAM map'!$AJ$3:$AJ$319&lt;=V$3),0),2)),"-",INDEX('NVRAM map'!$AF$3:$AG$319,MATCH(1,('NVRAM map'!$AF$3:$AF$319=$A71)*('NVRAM map'!$AI$3:$AI$319&gt;=V$3)*('NVRAM map'!$AJ$3:$AJ$319&lt;=V$3),0),2))</f>
        <v>SHB</v>
      </c>
      <c r="W71" s="87" t="str">
        <f t="array" aca="1" ref="W71" ca="1">IF(ISNA(INDEX('NVRAM map'!$AF$3:$AG$319,MATCH(1,('NVRAM map'!$AF$3:$AF$319=$A71)*('NVRAM map'!$AI$3:$AI$319&gt;=W$3)*('NVRAM map'!$AJ$3:$AJ$319&lt;=W$3),0),2)),"-",INDEX('NVRAM map'!$AF$3:$AG$319,MATCH(1,('NVRAM map'!$AF$3:$AF$319=$A71)*('NVRAM map'!$AI$3:$AI$319&gt;=W$3)*('NVRAM map'!$AJ$3:$AJ$319&lt;=W$3),0),2))</f>
        <v>SHB</v>
      </c>
      <c r="X71" s="88" t="str">
        <f ca="1">INDEX('NVRAM map'!$B$3:$B$319,MATCH(A71,'NVRAM map'!$E$3:$E$319,0))</f>
        <v>CUST</v>
      </c>
      <c r="AB71" s="44">
        <f t="shared" ca="1" si="17"/>
        <v>167</v>
      </c>
      <c r="AC71" s="12" t="b">
        <f ca="1">COUNTIF('NVRAM map'!$AD$3:$AE$319,A71)&lt;2</f>
        <v>1</v>
      </c>
      <c r="AD71" s="12">
        <f ca="1">SUMIF('NVRAM map'!$AF$3:$AF$319,A71,'NVRAM map'!$AK$3:$AK$319)</f>
        <v>65535</v>
      </c>
      <c r="AE71" s="12" t="str">
        <f t="shared" ca="1" si="18"/>
        <v>FFFF</v>
      </c>
      <c r="AF71" s="12" t="str">
        <f t="shared" ca="1" si="19"/>
        <v>11111111</v>
      </c>
      <c r="AG71" s="12" t="str">
        <f t="shared" ca="1" si="20"/>
        <v>11111111</v>
      </c>
      <c r="AH71" s="12">
        <f t="shared" ca="1" si="21"/>
        <v>16</v>
      </c>
      <c r="AI71" s="12">
        <f ca="1">SUMIF('NVRAM map'!$AF$3:$AF$319,A71,'NVRAM map'!$AH$3:$AH$319)</f>
        <v>16</v>
      </c>
      <c r="AJ71" s="12" t="b">
        <f t="shared" ca="1" si="22"/>
        <v>1</v>
      </c>
      <c r="AK71" s="12">
        <f ca="1">COUNTIF('NVRAM map'!$AF$3:$AF$319,A71)</f>
        <v>1</v>
      </c>
      <c r="AM71" s="89">
        <v>0</v>
      </c>
      <c r="AN71" s="80">
        <f t="shared" ca="1" si="15"/>
        <v>0</v>
      </c>
      <c r="AO71" s="80">
        <f t="shared" ca="1" si="15"/>
        <v>0</v>
      </c>
      <c r="AP71" s="80">
        <f t="shared" ca="1" si="15"/>
        <v>0</v>
      </c>
      <c r="AQ71" s="80">
        <f t="shared" ca="1" si="15"/>
        <v>0</v>
      </c>
      <c r="AR71" s="80">
        <f t="shared" ca="1" si="15"/>
        <v>0</v>
      </c>
      <c r="AS71" s="80">
        <f t="shared" ca="1" si="15"/>
        <v>0</v>
      </c>
      <c r="AT71" s="80">
        <f t="shared" ca="1" si="15"/>
        <v>0</v>
      </c>
      <c r="AU71" s="80">
        <f t="shared" ca="1" si="15"/>
        <v>0</v>
      </c>
      <c r="AV71" s="80">
        <f t="shared" ca="1" si="15"/>
        <v>0</v>
      </c>
      <c r="AW71" s="80">
        <f t="shared" ca="1" si="15"/>
        <v>0</v>
      </c>
      <c r="AX71" s="80">
        <f t="shared" ca="1" si="15"/>
        <v>0</v>
      </c>
      <c r="AY71" s="80">
        <f t="shared" ca="1" si="15"/>
        <v>0</v>
      </c>
      <c r="AZ71" s="80">
        <f t="shared" ca="1" si="15"/>
        <v>0</v>
      </c>
      <c r="BA71" s="80">
        <f t="shared" ca="1" si="15"/>
        <v>0</v>
      </c>
      <c r="BB71" s="81">
        <f t="shared" ca="1" si="15"/>
        <v>0</v>
      </c>
      <c r="BD71" s="12" t="str">
        <f t="shared" si="23"/>
        <v>0x1086</v>
      </c>
      <c r="BE71" s="12" t="str">
        <f t="shared" ca="1" si="24"/>
        <v>0100010001100011</v>
      </c>
      <c r="BG71" s="53" t="str">
        <f t="shared" ca="1" si="25"/>
        <v>`define EE_SHB 33</v>
      </c>
    </row>
    <row r="72" spans="1:59">
      <c r="A72" s="82" t="s">
        <v>338</v>
      </c>
      <c r="B72" s="82">
        <v>136</v>
      </c>
      <c r="C72" s="82">
        <v>34</v>
      </c>
      <c r="D72" s="83">
        <f ca="1">SUMIF('NVRAM map'!$AF$3:$AF$319,A72,'NVRAM map'!$AN$3:$AN$319)</f>
        <v>2236</v>
      </c>
      <c r="E72" s="84" t="str">
        <f t="shared" ca="1" si="16"/>
        <v>08BC</v>
      </c>
      <c r="F72" s="85" t="str">
        <f t="shared" ref="F72:F103" ca="1" si="26">E72</f>
        <v>08BC</v>
      </c>
      <c r="G72" s="86" t="str">
        <f ca="1">VLOOKUP(MemoryView!A72,'NVRAM map'!$AD$3:$AE$319,2,0)</f>
        <v>EE_SHC</v>
      </c>
      <c r="H72" s="87" t="str">
        <f t="array" aca="1" ref="H72" ca="1">IF(ISNA(INDEX('NVRAM map'!$AF$3:$AG$319,MATCH(1,('NVRAM map'!$AF$3:$AF$319=$A72)*('NVRAM map'!$AI$3:$AI$319&gt;=H$3)*('NVRAM map'!$AJ$3:$AJ$319&lt;=H$3),0),2)),"-",INDEX('NVRAM map'!$AF$3:$AG$319,MATCH(1,('NVRAM map'!$AF$3:$AF$319=$A72)*('NVRAM map'!$AI$3:$AI$319&gt;=H$3)*('NVRAM map'!$AJ$3:$AJ$319&lt;=H$3),0),2))</f>
        <v>SHC</v>
      </c>
      <c r="I72" s="87" t="str">
        <f t="array" aca="1" ref="I72" ca="1">IF(ISNA(INDEX('NVRAM map'!$AF$3:$AG$319,MATCH(1,('NVRAM map'!$AF$3:$AF$319=$A72)*('NVRAM map'!$AI$3:$AI$319&gt;=I$3)*('NVRAM map'!$AJ$3:$AJ$319&lt;=I$3),0),2)),"-",INDEX('NVRAM map'!$AF$3:$AG$319,MATCH(1,('NVRAM map'!$AF$3:$AF$319=$A72)*('NVRAM map'!$AI$3:$AI$319&gt;=I$3)*('NVRAM map'!$AJ$3:$AJ$319&lt;=I$3),0),2))</f>
        <v>SHC</v>
      </c>
      <c r="J72" s="87" t="str">
        <f t="array" aca="1" ref="J72" ca="1">IF(ISNA(INDEX('NVRAM map'!$AF$3:$AG$319,MATCH(1,('NVRAM map'!$AF$3:$AF$319=$A72)*('NVRAM map'!$AI$3:$AI$319&gt;=J$3)*('NVRAM map'!$AJ$3:$AJ$319&lt;=J$3),0),2)),"-",INDEX('NVRAM map'!$AF$3:$AG$319,MATCH(1,('NVRAM map'!$AF$3:$AF$319=$A72)*('NVRAM map'!$AI$3:$AI$319&gt;=J$3)*('NVRAM map'!$AJ$3:$AJ$319&lt;=J$3),0),2))</f>
        <v>SHC</v>
      </c>
      <c r="K72" s="87" t="str">
        <f t="array" aca="1" ref="K72" ca="1">IF(ISNA(INDEX('NVRAM map'!$AF$3:$AG$319,MATCH(1,('NVRAM map'!$AF$3:$AF$319=$A72)*('NVRAM map'!$AI$3:$AI$319&gt;=K$3)*('NVRAM map'!$AJ$3:$AJ$319&lt;=K$3),0),2)),"-",INDEX('NVRAM map'!$AF$3:$AG$319,MATCH(1,('NVRAM map'!$AF$3:$AF$319=$A72)*('NVRAM map'!$AI$3:$AI$319&gt;=K$3)*('NVRAM map'!$AJ$3:$AJ$319&lt;=K$3),0),2))</f>
        <v>SHC</v>
      </c>
      <c r="L72" s="87" t="str">
        <f t="array" aca="1" ref="L72" ca="1">IF(ISNA(INDEX('NVRAM map'!$AF$3:$AG$319,MATCH(1,('NVRAM map'!$AF$3:$AF$319=$A72)*('NVRAM map'!$AI$3:$AI$319&gt;=L$3)*('NVRAM map'!$AJ$3:$AJ$319&lt;=L$3),0),2)),"-",INDEX('NVRAM map'!$AF$3:$AG$319,MATCH(1,('NVRAM map'!$AF$3:$AF$319=$A72)*('NVRAM map'!$AI$3:$AI$319&gt;=L$3)*('NVRAM map'!$AJ$3:$AJ$319&lt;=L$3),0),2))</f>
        <v>SHC</v>
      </c>
      <c r="M72" s="87" t="str">
        <f t="array" aca="1" ref="M72" ca="1">IF(ISNA(INDEX('NVRAM map'!$AF$3:$AG$319,MATCH(1,('NVRAM map'!$AF$3:$AF$319=$A72)*('NVRAM map'!$AI$3:$AI$319&gt;=M$3)*('NVRAM map'!$AJ$3:$AJ$319&lt;=M$3),0),2)),"-",INDEX('NVRAM map'!$AF$3:$AG$319,MATCH(1,('NVRAM map'!$AF$3:$AF$319=$A72)*('NVRAM map'!$AI$3:$AI$319&gt;=M$3)*('NVRAM map'!$AJ$3:$AJ$319&lt;=M$3),0),2))</f>
        <v>SHC</v>
      </c>
      <c r="N72" s="87" t="str">
        <f t="array" aca="1" ref="N72" ca="1">IF(ISNA(INDEX('NVRAM map'!$AF$3:$AG$319,MATCH(1,('NVRAM map'!$AF$3:$AF$319=$A72)*('NVRAM map'!$AI$3:$AI$319&gt;=N$3)*('NVRAM map'!$AJ$3:$AJ$319&lt;=N$3),0),2)),"-",INDEX('NVRAM map'!$AF$3:$AG$319,MATCH(1,('NVRAM map'!$AF$3:$AF$319=$A72)*('NVRAM map'!$AI$3:$AI$319&gt;=N$3)*('NVRAM map'!$AJ$3:$AJ$319&lt;=N$3),0),2))</f>
        <v>SHC</v>
      </c>
      <c r="O72" s="87" t="str">
        <f t="array" aca="1" ref="O72" ca="1">IF(ISNA(INDEX('NVRAM map'!$AF$3:$AG$319,MATCH(1,('NVRAM map'!$AF$3:$AF$319=$A72)*('NVRAM map'!$AI$3:$AI$319&gt;=O$3)*('NVRAM map'!$AJ$3:$AJ$319&lt;=O$3),0),2)),"-",INDEX('NVRAM map'!$AF$3:$AG$319,MATCH(1,('NVRAM map'!$AF$3:$AF$319=$A72)*('NVRAM map'!$AI$3:$AI$319&gt;=O$3)*('NVRAM map'!$AJ$3:$AJ$319&lt;=O$3),0),2))</f>
        <v>SHC</v>
      </c>
      <c r="P72" s="87" t="str">
        <f t="array" aca="1" ref="P72" ca="1">IF(ISNA(INDEX('NVRAM map'!$AF$3:$AG$319,MATCH(1,('NVRAM map'!$AF$3:$AF$319=$A72)*('NVRAM map'!$AI$3:$AI$319&gt;=P$3)*('NVRAM map'!$AJ$3:$AJ$319&lt;=P$3),0),2)),"-",INDEX('NVRAM map'!$AF$3:$AG$319,MATCH(1,('NVRAM map'!$AF$3:$AF$319=$A72)*('NVRAM map'!$AI$3:$AI$319&gt;=P$3)*('NVRAM map'!$AJ$3:$AJ$319&lt;=P$3),0),2))</f>
        <v>SHC</v>
      </c>
      <c r="Q72" s="87" t="str">
        <f t="array" aca="1" ref="Q72" ca="1">IF(ISNA(INDEX('NVRAM map'!$AF$3:$AG$319,MATCH(1,('NVRAM map'!$AF$3:$AF$319=$A72)*('NVRAM map'!$AI$3:$AI$319&gt;=Q$3)*('NVRAM map'!$AJ$3:$AJ$319&lt;=Q$3),0),2)),"-",INDEX('NVRAM map'!$AF$3:$AG$319,MATCH(1,('NVRAM map'!$AF$3:$AF$319=$A72)*('NVRAM map'!$AI$3:$AI$319&gt;=Q$3)*('NVRAM map'!$AJ$3:$AJ$319&lt;=Q$3),0),2))</f>
        <v>SHC</v>
      </c>
      <c r="R72" s="87" t="str">
        <f t="array" aca="1" ref="R72" ca="1">IF(ISNA(INDEX('NVRAM map'!$AF$3:$AG$319,MATCH(1,('NVRAM map'!$AF$3:$AF$319=$A72)*('NVRAM map'!$AI$3:$AI$319&gt;=R$3)*('NVRAM map'!$AJ$3:$AJ$319&lt;=R$3),0),2)),"-",INDEX('NVRAM map'!$AF$3:$AG$319,MATCH(1,('NVRAM map'!$AF$3:$AF$319=$A72)*('NVRAM map'!$AI$3:$AI$319&gt;=R$3)*('NVRAM map'!$AJ$3:$AJ$319&lt;=R$3),0),2))</f>
        <v>SHC</v>
      </c>
      <c r="S72" s="87" t="str">
        <f t="array" aca="1" ref="S72" ca="1">IF(ISNA(INDEX('NVRAM map'!$AF$3:$AG$319,MATCH(1,('NVRAM map'!$AF$3:$AF$319=$A72)*('NVRAM map'!$AI$3:$AI$319&gt;=S$3)*('NVRAM map'!$AJ$3:$AJ$319&lt;=S$3),0),2)),"-",INDEX('NVRAM map'!$AF$3:$AG$319,MATCH(1,('NVRAM map'!$AF$3:$AF$319=$A72)*('NVRAM map'!$AI$3:$AI$319&gt;=S$3)*('NVRAM map'!$AJ$3:$AJ$319&lt;=S$3),0),2))</f>
        <v>SHC</v>
      </c>
      <c r="T72" s="87" t="str">
        <f t="array" aca="1" ref="T72" ca="1">IF(ISNA(INDEX('NVRAM map'!$AF$3:$AG$319,MATCH(1,('NVRAM map'!$AF$3:$AF$319=$A72)*('NVRAM map'!$AI$3:$AI$319&gt;=T$3)*('NVRAM map'!$AJ$3:$AJ$319&lt;=T$3),0),2)),"-",INDEX('NVRAM map'!$AF$3:$AG$319,MATCH(1,('NVRAM map'!$AF$3:$AF$319=$A72)*('NVRAM map'!$AI$3:$AI$319&gt;=T$3)*('NVRAM map'!$AJ$3:$AJ$319&lt;=T$3),0),2))</f>
        <v>SHC</v>
      </c>
      <c r="U72" s="87" t="str">
        <f t="array" aca="1" ref="U72" ca="1">IF(ISNA(INDEX('NVRAM map'!$AF$3:$AG$319,MATCH(1,('NVRAM map'!$AF$3:$AF$319=$A72)*('NVRAM map'!$AI$3:$AI$319&gt;=U$3)*('NVRAM map'!$AJ$3:$AJ$319&lt;=U$3),0),2)),"-",INDEX('NVRAM map'!$AF$3:$AG$319,MATCH(1,('NVRAM map'!$AF$3:$AF$319=$A72)*('NVRAM map'!$AI$3:$AI$319&gt;=U$3)*('NVRAM map'!$AJ$3:$AJ$319&lt;=U$3),0),2))</f>
        <v>SHC</v>
      </c>
      <c r="V72" s="87" t="str">
        <f t="array" aca="1" ref="V72" ca="1">IF(ISNA(INDEX('NVRAM map'!$AF$3:$AG$319,MATCH(1,('NVRAM map'!$AF$3:$AF$319=$A72)*('NVRAM map'!$AI$3:$AI$319&gt;=V$3)*('NVRAM map'!$AJ$3:$AJ$319&lt;=V$3),0),2)),"-",INDEX('NVRAM map'!$AF$3:$AG$319,MATCH(1,('NVRAM map'!$AF$3:$AF$319=$A72)*('NVRAM map'!$AI$3:$AI$319&gt;=V$3)*('NVRAM map'!$AJ$3:$AJ$319&lt;=V$3),0),2))</f>
        <v>SHC</v>
      </c>
      <c r="W72" s="87" t="str">
        <f t="array" aca="1" ref="W72" ca="1">IF(ISNA(INDEX('NVRAM map'!$AF$3:$AG$319,MATCH(1,('NVRAM map'!$AF$3:$AF$319=$A72)*('NVRAM map'!$AI$3:$AI$319&gt;=W$3)*('NVRAM map'!$AJ$3:$AJ$319&lt;=W$3),0),2)),"-",INDEX('NVRAM map'!$AF$3:$AG$319,MATCH(1,('NVRAM map'!$AF$3:$AF$319=$A72)*('NVRAM map'!$AI$3:$AI$319&gt;=W$3)*('NVRAM map'!$AJ$3:$AJ$319&lt;=W$3),0),2))</f>
        <v>SHC</v>
      </c>
      <c r="X72" s="88" t="str">
        <f ca="1">INDEX('NVRAM map'!$B$3:$B$319,MATCH(A72,'NVRAM map'!$E$3:$E$319,0))</f>
        <v>CUST</v>
      </c>
      <c r="AB72" s="44">
        <f t="shared" ca="1" si="17"/>
        <v>196</v>
      </c>
      <c r="AC72" s="12" t="b">
        <f ca="1">COUNTIF('NVRAM map'!$AD$3:$AE$319,A72)&lt;2</f>
        <v>1</v>
      </c>
      <c r="AD72" s="12">
        <f ca="1">SUMIF('NVRAM map'!$AF$3:$AF$319,A72,'NVRAM map'!$AK$3:$AK$319)</f>
        <v>65535</v>
      </c>
      <c r="AE72" s="12" t="str">
        <f t="shared" ca="1" si="18"/>
        <v>FFFF</v>
      </c>
      <c r="AF72" s="12" t="str">
        <f t="shared" ca="1" si="19"/>
        <v>11111111</v>
      </c>
      <c r="AG72" s="12" t="str">
        <f t="shared" ca="1" si="20"/>
        <v>11111111</v>
      </c>
      <c r="AH72" s="12">
        <f t="shared" ca="1" si="21"/>
        <v>16</v>
      </c>
      <c r="AI72" s="12">
        <f ca="1">SUMIF('NVRAM map'!$AF$3:$AF$319,A72,'NVRAM map'!$AH$3:$AH$319)</f>
        <v>16</v>
      </c>
      <c r="AJ72" s="12" t="b">
        <f t="shared" ca="1" si="22"/>
        <v>1</v>
      </c>
      <c r="AK72" s="12">
        <f ca="1">COUNTIF('NVRAM map'!$AF$3:$AF$319,A72)</f>
        <v>1</v>
      </c>
      <c r="AM72" s="89">
        <v>0</v>
      </c>
      <c r="AN72" s="80">
        <f t="shared" ref="AN72:BB88" ca="1" si="27">IF(I72=H72,AM72,IF(AM72=1,0,1))</f>
        <v>0</v>
      </c>
      <c r="AO72" s="80">
        <f t="shared" ca="1" si="27"/>
        <v>0</v>
      </c>
      <c r="AP72" s="80">
        <f t="shared" ca="1" si="27"/>
        <v>0</v>
      </c>
      <c r="AQ72" s="80">
        <f t="shared" ca="1" si="27"/>
        <v>0</v>
      </c>
      <c r="AR72" s="80">
        <f t="shared" ca="1" si="27"/>
        <v>0</v>
      </c>
      <c r="AS72" s="80">
        <f t="shared" ca="1" si="27"/>
        <v>0</v>
      </c>
      <c r="AT72" s="80">
        <f t="shared" ca="1" si="27"/>
        <v>0</v>
      </c>
      <c r="AU72" s="80">
        <f t="shared" ca="1" si="27"/>
        <v>0</v>
      </c>
      <c r="AV72" s="80">
        <f t="shared" ca="1" si="27"/>
        <v>0</v>
      </c>
      <c r="AW72" s="80">
        <f t="shared" ca="1" si="27"/>
        <v>0</v>
      </c>
      <c r="AX72" s="80">
        <f t="shared" ca="1" si="27"/>
        <v>0</v>
      </c>
      <c r="AY72" s="80">
        <f t="shared" ca="1" si="27"/>
        <v>0</v>
      </c>
      <c r="AZ72" s="80">
        <f t="shared" ca="1" si="27"/>
        <v>0</v>
      </c>
      <c r="BA72" s="80">
        <f t="shared" ca="1" si="27"/>
        <v>0</v>
      </c>
      <c r="BB72" s="81">
        <f t="shared" ca="1" si="27"/>
        <v>0</v>
      </c>
      <c r="BD72" s="12" t="str">
        <f t="shared" si="23"/>
        <v>0x1088</v>
      </c>
      <c r="BE72" s="12" t="str">
        <f t="shared" ca="1" si="24"/>
        <v>0000100010111100</v>
      </c>
      <c r="BG72" s="53" t="str">
        <f t="shared" ca="1" si="25"/>
        <v>`define EE_SHC 34</v>
      </c>
    </row>
    <row r="73" spans="1:59">
      <c r="A73" s="82" t="s">
        <v>339</v>
      </c>
      <c r="B73" s="82">
        <v>138</v>
      </c>
      <c r="C73" s="82">
        <v>34</v>
      </c>
      <c r="D73" s="83">
        <f ca="1">SUMIF('NVRAM map'!$AF$3:$AF$319,A73,'NVRAM map'!$AN$3:$AN$319)</f>
        <v>120</v>
      </c>
      <c r="E73" s="84" t="str">
        <f t="shared" ca="1" si="16"/>
        <v>0078</v>
      </c>
      <c r="F73" s="85" t="str">
        <f t="shared" ca="1" si="26"/>
        <v>0078</v>
      </c>
      <c r="G73" s="86" t="str">
        <f ca="1">VLOOKUP(MemoryView!A73,'NVRAM map'!$AD$3:$AE$319,2,0)</f>
        <v>EE_NTC_CAL0</v>
      </c>
      <c r="H73" s="87" t="str">
        <f t="array" aca="1" ref="H73" ca="1">IF(ISNA(INDEX('NVRAM map'!$AF$3:$AG$319,MATCH(1,('NVRAM map'!$AF$3:$AF$319=$A73)*('NVRAM map'!$AI$3:$AI$319&gt;=H$3)*('NVRAM map'!$AJ$3:$AJ$319&lt;=H$3),0),2)),"-",INDEX('NVRAM map'!$AF$3:$AG$319,MATCH(1,('NVRAM map'!$AF$3:$AF$319=$A73)*('NVRAM map'!$AI$3:$AI$319&gt;=H$3)*('NVRAM map'!$AJ$3:$AJ$319&lt;=H$3),0),2))</f>
        <v>-</v>
      </c>
      <c r="I73" s="87" t="str">
        <f t="array" aca="1" ref="I73" ca="1">IF(ISNA(INDEX('NVRAM map'!$AF$3:$AG$319,MATCH(1,('NVRAM map'!$AF$3:$AF$319=$A73)*('NVRAM map'!$AI$3:$AI$319&gt;=I$3)*('NVRAM map'!$AJ$3:$AJ$319&lt;=I$3),0),2)),"-",INDEX('NVRAM map'!$AF$3:$AG$319,MATCH(1,('NVRAM map'!$AF$3:$AF$319=$A73)*('NVRAM map'!$AI$3:$AI$319&gt;=I$3)*('NVRAM map'!$AJ$3:$AJ$319&lt;=I$3),0),2))</f>
        <v>-</v>
      </c>
      <c r="J73" s="87" t="str">
        <f t="array" aca="1" ref="J73" ca="1">IF(ISNA(INDEX('NVRAM map'!$AF$3:$AG$319,MATCH(1,('NVRAM map'!$AF$3:$AF$319=$A73)*('NVRAM map'!$AI$3:$AI$319&gt;=J$3)*('NVRAM map'!$AJ$3:$AJ$319&lt;=J$3),0),2)),"-",INDEX('NVRAM map'!$AF$3:$AG$319,MATCH(1,('NVRAM map'!$AF$3:$AF$319=$A73)*('NVRAM map'!$AI$3:$AI$319&gt;=J$3)*('NVRAM map'!$AJ$3:$AJ$319&lt;=J$3),0),2))</f>
        <v>-</v>
      </c>
      <c r="K73" s="87" t="str">
        <f t="array" aca="1" ref="K73" ca="1">IF(ISNA(INDEX('NVRAM map'!$AF$3:$AG$319,MATCH(1,('NVRAM map'!$AF$3:$AF$319=$A73)*('NVRAM map'!$AI$3:$AI$319&gt;=K$3)*('NVRAM map'!$AJ$3:$AJ$319&lt;=K$3),0),2)),"-",INDEX('NVRAM map'!$AF$3:$AG$319,MATCH(1,('NVRAM map'!$AF$3:$AF$319=$A73)*('NVRAM map'!$AI$3:$AI$319&gt;=K$3)*('NVRAM map'!$AJ$3:$AJ$319&lt;=K$3),0),2))</f>
        <v>-</v>
      </c>
      <c r="L73" s="87" t="str">
        <f t="array" aca="1" ref="L73" ca="1">IF(ISNA(INDEX('NVRAM map'!$AF$3:$AG$319,MATCH(1,('NVRAM map'!$AF$3:$AF$319=$A73)*('NVRAM map'!$AI$3:$AI$319&gt;=L$3)*('NVRAM map'!$AJ$3:$AJ$319&lt;=L$3),0),2)),"-",INDEX('NVRAM map'!$AF$3:$AG$319,MATCH(1,('NVRAM map'!$AF$3:$AF$319=$A73)*('NVRAM map'!$AI$3:$AI$319&gt;=L$3)*('NVRAM map'!$AJ$3:$AJ$319&lt;=L$3),0),2))</f>
        <v>-</v>
      </c>
      <c r="M73" s="87" t="str">
        <f t="array" aca="1" ref="M73" ca="1">IF(ISNA(INDEX('NVRAM map'!$AF$3:$AG$319,MATCH(1,('NVRAM map'!$AF$3:$AF$319=$A73)*('NVRAM map'!$AI$3:$AI$319&gt;=M$3)*('NVRAM map'!$AJ$3:$AJ$319&lt;=M$3),0),2)),"-",INDEX('NVRAM map'!$AF$3:$AG$319,MATCH(1,('NVRAM map'!$AF$3:$AF$319=$A73)*('NVRAM map'!$AI$3:$AI$319&gt;=M$3)*('NVRAM map'!$AJ$3:$AJ$319&lt;=M$3),0),2))</f>
        <v>-</v>
      </c>
      <c r="N73" s="87" t="str">
        <f t="array" aca="1" ref="N73" ca="1">IF(ISNA(INDEX('NVRAM map'!$AF$3:$AG$319,MATCH(1,('NVRAM map'!$AF$3:$AF$319=$A73)*('NVRAM map'!$AI$3:$AI$319&gt;=N$3)*('NVRAM map'!$AJ$3:$AJ$319&lt;=N$3),0),2)),"-",INDEX('NVRAM map'!$AF$3:$AG$319,MATCH(1,('NVRAM map'!$AF$3:$AF$319=$A73)*('NVRAM map'!$AI$3:$AI$319&gt;=N$3)*('NVRAM map'!$AJ$3:$AJ$319&lt;=N$3),0),2))</f>
        <v>-</v>
      </c>
      <c r="O73" s="87" t="str">
        <f t="array" aca="1" ref="O73" ca="1">IF(ISNA(INDEX('NVRAM map'!$AF$3:$AG$319,MATCH(1,('NVRAM map'!$AF$3:$AF$319=$A73)*('NVRAM map'!$AI$3:$AI$319&gt;=O$3)*('NVRAM map'!$AJ$3:$AJ$319&lt;=O$3),0),2)),"-",INDEX('NVRAM map'!$AF$3:$AG$319,MATCH(1,('NVRAM map'!$AF$3:$AF$319=$A73)*('NVRAM map'!$AI$3:$AI$319&gt;=O$3)*('NVRAM map'!$AJ$3:$AJ$319&lt;=O$3),0),2))</f>
        <v>-</v>
      </c>
      <c r="P73" s="87" t="str">
        <f t="array" aca="1" ref="P73" ca="1">IF(ISNA(INDEX('NVRAM map'!$AF$3:$AG$319,MATCH(1,('NVRAM map'!$AF$3:$AF$319=$A73)*('NVRAM map'!$AI$3:$AI$319&gt;=P$3)*('NVRAM map'!$AJ$3:$AJ$319&lt;=P$3),0),2)),"-",INDEX('NVRAM map'!$AF$3:$AG$319,MATCH(1,('NVRAM map'!$AF$3:$AF$319=$A73)*('NVRAM map'!$AI$3:$AI$319&gt;=P$3)*('NVRAM map'!$AJ$3:$AJ$319&lt;=P$3),0),2))</f>
        <v>NTC_THRD_LR</v>
      </c>
      <c r="Q73" s="87" t="str">
        <f t="array" aca="1" ref="Q73" ca="1">IF(ISNA(INDEX('NVRAM map'!$AF$3:$AG$319,MATCH(1,('NVRAM map'!$AF$3:$AF$319=$A73)*('NVRAM map'!$AI$3:$AI$319&gt;=Q$3)*('NVRAM map'!$AJ$3:$AJ$319&lt;=Q$3),0),2)),"-",INDEX('NVRAM map'!$AF$3:$AG$319,MATCH(1,('NVRAM map'!$AF$3:$AF$319=$A73)*('NVRAM map'!$AI$3:$AI$319&gt;=Q$3)*('NVRAM map'!$AJ$3:$AJ$319&lt;=Q$3),0),2))</f>
        <v>NTC_THRD_LR</v>
      </c>
      <c r="R73" s="87" t="str">
        <f t="array" aca="1" ref="R73" ca="1">IF(ISNA(INDEX('NVRAM map'!$AF$3:$AG$319,MATCH(1,('NVRAM map'!$AF$3:$AF$319=$A73)*('NVRAM map'!$AI$3:$AI$319&gt;=R$3)*('NVRAM map'!$AJ$3:$AJ$319&lt;=R$3),0),2)),"-",INDEX('NVRAM map'!$AF$3:$AG$319,MATCH(1,('NVRAM map'!$AF$3:$AF$319=$A73)*('NVRAM map'!$AI$3:$AI$319&gt;=R$3)*('NVRAM map'!$AJ$3:$AJ$319&lt;=R$3),0),2))</f>
        <v>NTC_THRD_LR</v>
      </c>
      <c r="S73" s="87" t="str">
        <f t="array" aca="1" ref="S73" ca="1">IF(ISNA(INDEX('NVRAM map'!$AF$3:$AG$319,MATCH(1,('NVRAM map'!$AF$3:$AF$319=$A73)*('NVRAM map'!$AI$3:$AI$319&gt;=S$3)*('NVRAM map'!$AJ$3:$AJ$319&lt;=S$3),0),2)),"-",INDEX('NVRAM map'!$AF$3:$AG$319,MATCH(1,('NVRAM map'!$AF$3:$AF$319=$A73)*('NVRAM map'!$AI$3:$AI$319&gt;=S$3)*('NVRAM map'!$AJ$3:$AJ$319&lt;=S$3),0),2))</f>
        <v>NTC_THRD_LR</v>
      </c>
      <c r="T73" s="87" t="str">
        <f t="array" aca="1" ref="T73" ca="1">IF(ISNA(INDEX('NVRAM map'!$AF$3:$AG$319,MATCH(1,('NVRAM map'!$AF$3:$AF$319=$A73)*('NVRAM map'!$AI$3:$AI$319&gt;=T$3)*('NVRAM map'!$AJ$3:$AJ$319&lt;=T$3),0),2)),"-",INDEX('NVRAM map'!$AF$3:$AG$319,MATCH(1,('NVRAM map'!$AF$3:$AF$319=$A73)*('NVRAM map'!$AI$3:$AI$319&gt;=T$3)*('NVRAM map'!$AJ$3:$AJ$319&lt;=T$3),0),2))</f>
        <v>NTC_THRD_HR</v>
      </c>
      <c r="U73" s="87" t="str">
        <f t="array" aca="1" ref="U73" ca="1">IF(ISNA(INDEX('NVRAM map'!$AF$3:$AG$319,MATCH(1,('NVRAM map'!$AF$3:$AF$319=$A73)*('NVRAM map'!$AI$3:$AI$319&gt;=U$3)*('NVRAM map'!$AJ$3:$AJ$319&lt;=U$3),0),2)),"-",INDEX('NVRAM map'!$AF$3:$AG$319,MATCH(1,('NVRAM map'!$AF$3:$AF$319=$A73)*('NVRAM map'!$AI$3:$AI$319&gt;=U$3)*('NVRAM map'!$AJ$3:$AJ$319&lt;=U$3),0),2))</f>
        <v>NTC_THRD_HR</v>
      </c>
      <c r="V73" s="87" t="str">
        <f t="array" aca="1" ref="V73" ca="1">IF(ISNA(INDEX('NVRAM map'!$AF$3:$AG$319,MATCH(1,('NVRAM map'!$AF$3:$AF$319=$A73)*('NVRAM map'!$AI$3:$AI$319&gt;=V$3)*('NVRAM map'!$AJ$3:$AJ$319&lt;=V$3),0),2)),"-",INDEX('NVRAM map'!$AF$3:$AG$319,MATCH(1,('NVRAM map'!$AF$3:$AF$319=$A73)*('NVRAM map'!$AI$3:$AI$319&gt;=V$3)*('NVRAM map'!$AJ$3:$AJ$319&lt;=V$3),0),2))</f>
        <v>NTC_THRD_HR</v>
      </c>
      <c r="W73" s="87" t="str">
        <f t="array" aca="1" ref="W73" ca="1">IF(ISNA(INDEX('NVRAM map'!$AF$3:$AG$319,MATCH(1,('NVRAM map'!$AF$3:$AF$319=$A73)*('NVRAM map'!$AI$3:$AI$319&gt;=W$3)*('NVRAM map'!$AJ$3:$AJ$319&lt;=W$3),0),2)),"-",INDEX('NVRAM map'!$AF$3:$AG$319,MATCH(1,('NVRAM map'!$AF$3:$AF$319=$A73)*('NVRAM map'!$AI$3:$AI$319&gt;=W$3)*('NVRAM map'!$AJ$3:$AJ$319&lt;=W$3),0),2))</f>
        <v>NTC_THRD_HR</v>
      </c>
      <c r="X73" s="88" t="str">
        <f ca="1">INDEX('NVRAM map'!$B$3:$B$319,MATCH(A73,'NVRAM map'!$E$3:$E$319,0))</f>
        <v>CUST</v>
      </c>
      <c r="AB73" s="44">
        <f t="shared" ca="1" si="17"/>
        <v>120</v>
      </c>
      <c r="AC73" s="12" t="b">
        <f ca="1">COUNTIF('NVRAM map'!$AD$3:$AE$319,A73)&lt;2</f>
        <v>1</v>
      </c>
      <c r="AD73" s="12">
        <f ca="1">SUMIF('NVRAM map'!$AF$3:$AF$319,A73,'NVRAM map'!$AK$3:$AK$319)</f>
        <v>255</v>
      </c>
      <c r="AE73" s="12" t="str">
        <f t="shared" ca="1" si="18"/>
        <v>00FF</v>
      </c>
      <c r="AF73" s="12" t="str">
        <f t="shared" ca="1" si="19"/>
        <v>00000000</v>
      </c>
      <c r="AG73" s="12" t="str">
        <f t="shared" ca="1" si="20"/>
        <v>11111111</v>
      </c>
      <c r="AH73" s="12">
        <f t="shared" ca="1" si="21"/>
        <v>8</v>
      </c>
      <c r="AI73" s="12">
        <f ca="1">SUMIF('NVRAM map'!$AF$3:$AF$319,A73,'NVRAM map'!$AH$3:$AH$319)</f>
        <v>8</v>
      </c>
      <c r="AJ73" s="12" t="b">
        <f t="shared" ca="1" si="22"/>
        <v>1</v>
      </c>
      <c r="AK73" s="12">
        <f ca="1">COUNTIF('NVRAM map'!$AF$3:$AF$319,A73)</f>
        <v>2</v>
      </c>
      <c r="AM73" s="89">
        <v>0</v>
      </c>
      <c r="AN73" s="80">
        <f t="shared" ca="1" si="27"/>
        <v>0</v>
      </c>
      <c r="AO73" s="80">
        <f t="shared" ca="1" si="27"/>
        <v>0</v>
      </c>
      <c r="AP73" s="80">
        <f t="shared" ca="1" si="27"/>
        <v>0</v>
      </c>
      <c r="AQ73" s="80">
        <f t="shared" ca="1" si="27"/>
        <v>0</v>
      </c>
      <c r="AR73" s="80">
        <f t="shared" ca="1" si="27"/>
        <v>0</v>
      </c>
      <c r="AS73" s="80">
        <f t="shared" ca="1" si="27"/>
        <v>0</v>
      </c>
      <c r="AT73" s="80">
        <f t="shared" ca="1" si="27"/>
        <v>0</v>
      </c>
      <c r="AU73" s="80">
        <f t="shared" ca="1" si="27"/>
        <v>1</v>
      </c>
      <c r="AV73" s="80">
        <f t="shared" ca="1" si="27"/>
        <v>1</v>
      </c>
      <c r="AW73" s="80">
        <f t="shared" ca="1" si="27"/>
        <v>1</v>
      </c>
      <c r="AX73" s="80">
        <f t="shared" ca="1" si="27"/>
        <v>1</v>
      </c>
      <c r="AY73" s="80">
        <f t="shared" ca="1" si="27"/>
        <v>0</v>
      </c>
      <c r="AZ73" s="80">
        <f t="shared" ca="1" si="27"/>
        <v>0</v>
      </c>
      <c r="BA73" s="80">
        <f t="shared" ca="1" si="27"/>
        <v>0</v>
      </c>
      <c r="BB73" s="81">
        <f t="shared" ca="1" si="27"/>
        <v>0</v>
      </c>
      <c r="BD73" s="12" t="str">
        <f t="shared" si="23"/>
        <v>0x108A</v>
      </c>
      <c r="BE73" s="12" t="str">
        <f t="shared" ca="1" si="24"/>
        <v>0000000001111000</v>
      </c>
      <c r="BG73" s="53" t="str">
        <f t="shared" ca="1" si="25"/>
        <v>`define EE_NTC_CAL0 34</v>
      </c>
    </row>
    <row r="74" spans="1:59">
      <c r="A74" s="82" t="s">
        <v>340</v>
      </c>
      <c r="B74" s="82">
        <v>140</v>
      </c>
      <c r="C74" s="82">
        <v>35</v>
      </c>
      <c r="D74" s="83">
        <f ca="1">SUMIF('NVRAM map'!$AF$3:$AF$319,A74,'NVRAM map'!$AN$3:$AN$319)</f>
        <v>0</v>
      </c>
      <c r="E74" s="84" t="str">
        <f t="shared" ca="1" si="16"/>
        <v>0000</v>
      </c>
      <c r="F74" s="85" t="str">
        <f t="shared" ca="1" si="26"/>
        <v>0000</v>
      </c>
      <c r="G74" s="86" t="str">
        <f ca="1">VLOOKUP(MemoryView!A74,'NVRAM map'!$AD$3:$AE$319,2,0)</f>
        <v>EE_MLX_CHECKSUM</v>
      </c>
      <c r="H74" s="87" t="str">
        <f t="array" aca="1" ref="H74" ca="1">IF(ISNA(INDEX('NVRAM map'!$AF$3:$AG$319,MATCH(1,('NVRAM map'!$AF$3:$AF$319=$A74)*('NVRAM map'!$AI$3:$AI$319&gt;=H$3)*('NVRAM map'!$AJ$3:$AJ$319&lt;=H$3),0),2)),"-",INDEX('NVRAM map'!$AF$3:$AG$319,MATCH(1,('NVRAM map'!$AF$3:$AF$319=$A74)*('NVRAM map'!$AI$3:$AI$319&gt;=H$3)*('NVRAM map'!$AJ$3:$AJ$319&lt;=H$3),0),2))</f>
        <v>MLX_CHECKSUM</v>
      </c>
      <c r="I74" s="87" t="str">
        <f t="array" aca="1" ref="I74" ca="1">IF(ISNA(INDEX('NVRAM map'!$AF$3:$AG$319,MATCH(1,('NVRAM map'!$AF$3:$AF$319=$A74)*('NVRAM map'!$AI$3:$AI$319&gt;=I$3)*('NVRAM map'!$AJ$3:$AJ$319&lt;=I$3),0),2)),"-",INDEX('NVRAM map'!$AF$3:$AG$319,MATCH(1,('NVRAM map'!$AF$3:$AF$319=$A74)*('NVRAM map'!$AI$3:$AI$319&gt;=I$3)*('NVRAM map'!$AJ$3:$AJ$319&lt;=I$3),0),2))</f>
        <v>MLX_CHECKSUM</v>
      </c>
      <c r="J74" s="87" t="str">
        <f t="array" aca="1" ref="J74" ca="1">IF(ISNA(INDEX('NVRAM map'!$AF$3:$AG$319,MATCH(1,('NVRAM map'!$AF$3:$AF$319=$A74)*('NVRAM map'!$AI$3:$AI$319&gt;=J$3)*('NVRAM map'!$AJ$3:$AJ$319&lt;=J$3),0),2)),"-",INDEX('NVRAM map'!$AF$3:$AG$319,MATCH(1,('NVRAM map'!$AF$3:$AF$319=$A74)*('NVRAM map'!$AI$3:$AI$319&gt;=J$3)*('NVRAM map'!$AJ$3:$AJ$319&lt;=J$3),0),2))</f>
        <v>MLX_CHECKSUM</v>
      </c>
      <c r="K74" s="87" t="str">
        <f t="array" aca="1" ref="K74" ca="1">IF(ISNA(INDEX('NVRAM map'!$AF$3:$AG$319,MATCH(1,('NVRAM map'!$AF$3:$AF$319=$A74)*('NVRAM map'!$AI$3:$AI$319&gt;=K$3)*('NVRAM map'!$AJ$3:$AJ$319&lt;=K$3),0),2)),"-",INDEX('NVRAM map'!$AF$3:$AG$319,MATCH(1,('NVRAM map'!$AF$3:$AF$319=$A74)*('NVRAM map'!$AI$3:$AI$319&gt;=K$3)*('NVRAM map'!$AJ$3:$AJ$319&lt;=K$3),0),2))</f>
        <v>MLX_CHECKSUM</v>
      </c>
      <c r="L74" s="87" t="str">
        <f t="array" aca="1" ref="L74" ca="1">IF(ISNA(INDEX('NVRAM map'!$AF$3:$AG$319,MATCH(1,('NVRAM map'!$AF$3:$AF$319=$A74)*('NVRAM map'!$AI$3:$AI$319&gt;=L$3)*('NVRAM map'!$AJ$3:$AJ$319&lt;=L$3),0),2)),"-",INDEX('NVRAM map'!$AF$3:$AG$319,MATCH(1,('NVRAM map'!$AF$3:$AF$319=$A74)*('NVRAM map'!$AI$3:$AI$319&gt;=L$3)*('NVRAM map'!$AJ$3:$AJ$319&lt;=L$3),0),2))</f>
        <v>MLX_CHECKSUM</v>
      </c>
      <c r="M74" s="87" t="str">
        <f t="array" aca="1" ref="M74" ca="1">IF(ISNA(INDEX('NVRAM map'!$AF$3:$AG$319,MATCH(1,('NVRAM map'!$AF$3:$AF$319=$A74)*('NVRAM map'!$AI$3:$AI$319&gt;=M$3)*('NVRAM map'!$AJ$3:$AJ$319&lt;=M$3),0),2)),"-",INDEX('NVRAM map'!$AF$3:$AG$319,MATCH(1,('NVRAM map'!$AF$3:$AF$319=$A74)*('NVRAM map'!$AI$3:$AI$319&gt;=M$3)*('NVRAM map'!$AJ$3:$AJ$319&lt;=M$3),0),2))</f>
        <v>MLX_CHECKSUM</v>
      </c>
      <c r="N74" s="87" t="str">
        <f t="array" aca="1" ref="N74" ca="1">IF(ISNA(INDEX('NVRAM map'!$AF$3:$AG$319,MATCH(1,('NVRAM map'!$AF$3:$AF$319=$A74)*('NVRAM map'!$AI$3:$AI$319&gt;=N$3)*('NVRAM map'!$AJ$3:$AJ$319&lt;=N$3),0),2)),"-",INDEX('NVRAM map'!$AF$3:$AG$319,MATCH(1,('NVRAM map'!$AF$3:$AF$319=$A74)*('NVRAM map'!$AI$3:$AI$319&gt;=N$3)*('NVRAM map'!$AJ$3:$AJ$319&lt;=N$3),0),2))</f>
        <v>MLX_CHECKSUM</v>
      </c>
      <c r="O74" s="87" t="str">
        <f t="array" aca="1" ref="O74" ca="1">IF(ISNA(INDEX('NVRAM map'!$AF$3:$AG$319,MATCH(1,('NVRAM map'!$AF$3:$AF$319=$A74)*('NVRAM map'!$AI$3:$AI$319&gt;=O$3)*('NVRAM map'!$AJ$3:$AJ$319&lt;=O$3),0),2)),"-",INDEX('NVRAM map'!$AF$3:$AG$319,MATCH(1,('NVRAM map'!$AF$3:$AF$319=$A74)*('NVRAM map'!$AI$3:$AI$319&gt;=O$3)*('NVRAM map'!$AJ$3:$AJ$319&lt;=O$3),0),2))</f>
        <v>MLX_CHECKSUM</v>
      </c>
      <c r="P74" s="87" t="str">
        <f t="array" aca="1" ref="P74" ca="1">IF(ISNA(INDEX('NVRAM map'!$AF$3:$AG$319,MATCH(1,('NVRAM map'!$AF$3:$AF$319=$A74)*('NVRAM map'!$AI$3:$AI$319&gt;=P$3)*('NVRAM map'!$AJ$3:$AJ$319&lt;=P$3),0),2)),"-",INDEX('NVRAM map'!$AF$3:$AG$319,MATCH(1,('NVRAM map'!$AF$3:$AF$319=$A74)*('NVRAM map'!$AI$3:$AI$319&gt;=P$3)*('NVRAM map'!$AJ$3:$AJ$319&lt;=P$3),0),2))</f>
        <v>MLX_CHECKSUM</v>
      </c>
      <c r="Q74" s="87" t="str">
        <f t="array" aca="1" ref="Q74" ca="1">IF(ISNA(INDEX('NVRAM map'!$AF$3:$AG$319,MATCH(1,('NVRAM map'!$AF$3:$AF$319=$A74)*('NVRAM map'!$AI$3:$AI$319&gt;=Q$3)*('NVRAM map'!$AJ$3:$AJ$319&lt;=Q$3),0),2)),"-",INDEX('NVRAM map'!$AF$3:$AG$319,MATCH(1,('NVRAM map'!$AF$3:$AF$319=$A74)*('NVRAM map'!$AI$3:$AI$319&gt;=Q$3)*('NVRAM map'!$AJ$3:$AJ$319&lt;=Q$3),0),2))</f>
        <v>MLX_CHECKSUM</v>
      </c>
      <c r="R74" s="87" t="str">
        <f t="array" aca="1" ref="R74" ca="1">IF(ISNA(INDEX('NVRAM map'!$AF$3:$AG$319,MATCH(1,('NVRAM map'!$AF$3:$AF$319=$A74)*('NVRAM map'!$AI$3:$AI$319&gt;=R$3)*('NVRAM map'!$AJ$3:$AJ$319&lt;=R$3),0),2)),"-",INDEX('NVRAM map'!$AF$3:$AG$319,MATCH(1,('NVRAM map'!$AF$3:$AF$319=$A74)*('NVRAM map'!$AI$3:$AI$319&gt;=R$3)*('NVRAM map'!$AJ$3:$AJ$319&lt;=R$3),0),2))</f>
        <v>MLX_CHECKSUM</v>
      </c>
      <c r="S74" s="87" t="str">
        <f t="array" aca="1" ref="S74" ca="1">IF(ISNA(INDEX('NVRAM map'!$AF$3:$AG$319,MATCH(1,('NVRAM map'!$AF$3:$AF$319=$A74)*('NVRAM map'!$AI$3:$AI$319&gt;=S$3)*('NVRAM map'!$AJ$3:$AJ$319&lt;=S$3),0),2)),"-",INDEX('NVRAM map'!$AF$3:$AG$319,MATCH(1,('NVRAM map'!$AF$3:$AF$319=$A74)*('NVRAM map'!$AI$3:$AI$319&gt;=S$3)*('NVRAM map'!$AJ$3:$AJ$319&lt;=S$3),0),2))</f>
        <v>MLX_CHECKSUM</v>
      </c>
      <c r="T74" s="87" t="str">
        <f t="array" aca="1" ref="T74" ca="1">IF(ISNA(INDEX('NVRAM map'!$AF$3:$AG$319,MATCH(1,('NVRAM map'!$AF$3:$AF$319=$A74)*('NVRAM map'!$AI$3:$AI$319&gt;=T$3)*('NVRAM map'!$AJ$3:$AJ$319&lt;=T$3),0),2)),"-",INDEX('NVRAM map'!$AF$3:$AG$319,MATCH(1,('NVRAM map'!$AF$3:$AF$319=$A74)*('NVRAM map'!$AI$3:$AI$319&gt;=T$3)*('NVRAM map'!$AJ$3:$AJ$319&lt;=T$3),0),2))</f>
        <v>MLX_CHECKSUM</v>
      </c>
      <c r="U74" s="87" t="str">
        <f t="array" aca="1" ref="U74" ca="1">IF(ISNA(INDEX('NVRAM map'!$AF$3:$AG$319,MATCH(1,('NVRAM map'!$AF$3:$AF$319=$A74)*('NVRAM map'!$AI$3:$AI$319&gt;=U$3)*('NVRAM map'!$AJ$3:$AJ$319&lt;=U$3),0),2)),"-",INDEX('NVRAM map'!$AF$3:$AG$319,MATCH(1,('NVRAM map'!$AF$3:$AF$319=$A74)*('NVRAM map'!$AI$3:$AI$319&gt;=U$3)*('NVRAM map'!$AJ$3:$AJ$319&lt;=U$3),0),2))</f>
        <v>MLX_CHECKSUM</v>
      </c>
      <c r="V74" s="87" t="str">
        <f t="array" aca="1" ref="V74" ca="1">IF(ISNA(INDEX('NVRAM map'!$AF$3:$AG$319,MATCH(1,('NVRAM map'!$AF$3:$AF$319=$A74)*('NVRAM map'!$AI$3:$AI$319&gt;=V$3)*('NVRAM map'!$AJ$3:$AJ$319&lt;=V$3),0),2)),"-",INDEX('NVRAM map'!$AF$3:$AG$319,MATCH(1,('NVRAM map'!$AF$3:$AF$319=$A74)*('NVRAM map'!$AI$3:$AI$319&gt;=V$3)*('NVRAM map'!$AJ$3:$AJ$319&lt;=V$3),0),2))</f>
        <v>MLX_CHECKSUM</v>
      </c>
      <c r="W74" s="87" t="str">
        <f t="array" aca="1" ref="W74" ca="1">IF(ISNA(INDEX('NVRAM map'!$AF$3:$AG$319,MATCH(1,('NVRAM map'!$AF$3:$AF$319=$A74)*('NVRAM map'!$AI$3:$AI$319&gt;=W$3)*('NVRAM map'!$AJ$3:$AJ$319&lt;=W$3),0),2)),"-",INDEX('NVRAM map'!$AF$3:$AG$319,MATCH(1,('NVRAM map'!$AF$3:$AF$319=$A74)*('NVRAM map'!$AI$3:$AI$319&gt;=W$3)*('NVRAM map'!$AJ$3:$AJ$319&lt;=W$3),0),2))</f>
        <v>MLX_CHECKSUM</v>
      </c>
      <c r="X74" s="88" t="str">
        <f ca="1">INDEX('NVRAM map'!$B$3:$B$319,MATCH(A74,'NVRAM map'!$E$3:$E$319,0))</f>
        <v>MLX</v>
      </c>
      <c r="AB74" s="44">
        <f t="shared" ca="1" si="17"/>
        <v>0</v>
      </c>
      <c r="AC74" s="12" t="b">
        <f ca="1">COUNTIF('NVRAM map'!$AD$3:$AE$319,A74)&lt;2</f>
        <v>1</v>
      </c>
      <c r="AD74" s="12">
        <f ca="1">SUMIF('NVRAM map'!$AF$3:$AF$319,A74,'NVRAM map'!$AK$3:$AK$319)</f>
        <v>65535</v>
      </c>
      <c r="AE74" s="12" t="str">
        <f t="shared" ca="1" si="18"/>
        <v>FFFF</v>
      </c>
      <c r="AF74" s="12" t="str">
        <f t="shared" ca="1" si="19"/>
        <v>11111111</v>
      </c>
      <c r="AG74" s="12" t="str">
        <f t="shared" ca="1" si="20"/>
        <v>11111111</v>
      </c>
      <c r="AH74" s="12">
        <f t="shared" ca="1" si="21"/>
        <v>16</v>
      </c>
      <c r="AI74" s="12">
        <f ca="1">SUMIF('NVRAM map'!$AF$3:$AF$319,A74,'NVRAM map'!$AH$3:$AH$319)</f>
        <v>16</v>
      </c>
      <c r="AJ74" s="12" t="b">
        <f t="shared" ca="1" si="22"/>
        <v>1</v>
      </c>
      <c r="AK74" s="12">
        <f ca="1">COUNTIF('NVRAM map'!$AF$3:$AF$319,A74)</f>
        <v>1</v>
      </c>
      <c r="AM74" s="89">
        <v>0</v>
      </c>
      <c r="AN74" s="80">
        <f t="shared" ca="1" si="27"/>
        <v>0</v>
      </c>
      <c r="AO74" s="80">
        <f t="shared" ca="1" si="27"/>
        <v>0</v>
      </c>
      <c r="AP74" s="80">
        <f t="shared" ca="1" si="27"/>
        <v>0</v>
      </c>
      <c r="AQ74" s="80">
        <f t="shared" ca="1" si="27"/>
        <v>0</v>
      </c>
      <c r="AR74" s="80">
        <f t="shared" ca="1" si="27"/>
        <v>0</v>
      </c>
      <c r="AS74" s="80">
        <f t="shared" ca="1" si="27"/>
        <v>0</v>
      </c>
      <c r="AT74" s="80">
        <f t="shared" ca="1" si="27"/>
        <v>0</v>
      </c>
      <c r="AU74" s="80">
        <f t="shared" ca="1" si="27"/>
        <v>0</v>
      </c>
      <c r="AV74" s="80">
        <f t="shared" ca="1" si="27"/>
        <v>0</v>
      </c>
      <c r="AW74" s="80">
        <f t="shared" ca="1" si="27"/>
        <v>0</v>
      </c>
      <c r="AX74" s="80">
        <f t="shared" ca="1" si="27"/>
        <v>0</v>
      </c>
      <c r="AY74" s="80">
        <f t="shared" ca="1" si="27"/>
        <v>0</v>
      </c>
      <c r="AZ74" s="80">
        <f t="shared" ca="1" si="27"/>
        <v>0</v>
      </c>
      <c r="BA74" s="80">
        <f t="shared" ca="1" si="27"/>
        <v>0</v>
      </c>
      <c r="BB74" s="81">
        <f t="shared" ca="1" si="27"/>
        <v>0</v>
      </c>
      <c r="BD74" s="12" t="str">
        <f t="shared" si="23"/>
        <v>0x108C</v>
      </c>
      <c r="BE74" s="12" t="str">
        <f t="shared" ca="1" si="24"/>
        <v>0000000000000000</v>
      </c>
      <c r="BG74" s="53" t="str">
        <f t="shared" ca="1" si="25"/>
        <v>`define EE_MLX_CHECKSUM 35</v>
      </c>
    </row>
    <row r="75" spans="1:59" ht="25.5">
      <c r="A75" s="82" t="s">
        <v>341</v>
      </c>
      <c r="B75" s="82">
        <v>142</v>
      </c>
      <c r="C75" s="82">
        <v>35</v>
      </c>
      <c r="D75" s="83">
        <f ca="1">SUMIF('NVRAM map'!$AF$3:$AF$319,A75,'NVRAM map'!$AN$3:$AN$319)</f>
        <v>18433</v>
      </c>
      <c r="E75" s="84" t="str">
        <f t="shared" ca="1" si="16"/>
        <v>4801</v>
      </c>
      <c r="F75" s="85" t="str">
        <f t="shared" ca="1" si="26"/>
        <v>4801</v>
      </c>
      <c r="G75" s="86" t="str">
        <f ca="1">VLOOKUP(MemoryView!A75,'NVRAM map'!$AD$3:$AE$319,2,0)</f>
        <v>EE_TRIM0</v>
      </c>
      <c r="H75" s="87" t="str">
        <f t="array" aca="1" ref="H75" ca="1">IF(ISNA(INDEX('NVRAM map'!$AF$3:$AG$319,MATCH(1,('NVRAM map'!$AF$3:$AF$319=$A75)*('NVRAM map'!$AI$3:$AI$319&gt;=H$3)*('NVRAM map'!$AJ$3:$AJ$319&lt;=H$3),0),2)),"-",INDEX('NVRAM map'!$AF$3:$AG$319,MATCH(1,('NVRAM map'!$AF$3:$AF$319=$A75)*('NVRAM map'!$AI$3:$AI$319&gt;=H$3)*('NVRAM map'!$AJ$3:$AJ$319&lt;=H$3),0),2))</f>
        <v>TRIM0_RESERVED</v>
      </c>
      <c r="I75" s="87" t="str">
        <f t="array" aca="1" ref="I75" ca="1">IF(ISNA(INDEX('NVRAM map'!$AF$3:$AG$319,MATCH(1,('NVRAM map'!$AF$3:$AF$319=$A75)*('NVRAM map'!$AI$3:$AI$319&gt;=I$3)*('NVRAM map'!$AJ$3:$AJ$319&lt;=I$3),0),2)),"-",INDEX('NVRAM map'!$AF$3:$AG$319,MATCH(1,('NVRAM map'!$AF$3:$AF$319=$A75)*('NVRAM map'!$AI$3:$AI$319&gt;=I$3)*('NVRAM map'!$AJ$3:$AJ$319&lt;=I$3),0),2))</f>
        <v>TRIM_SBYMODE_VDDDREG</v>
      </c>
      <c r="J75" s="87" t="str">
        <f t="array" aca="1" ref="J75" ca="1">IF(ISNA(INDEX('NVRAM map'!$AF$3:$AG$319,MATCH(1,('NVRAM map'!$AF$3:$AF$319=$A75)*('NVRAM map'!$AI$3:$AI$319&gt;=J$3)*('NVRAM map'!$AJ$3:$AJ$319&lt;=J$3),0),2)),"-",INDEX('NVRAM map'!$AF$3:$AG$319,MATCH(1,('NVRAM map'!$AF$3:$AF$319=$A75)*('NVRAM map'!$AI$3:$AI$319&gt;=J$3)*('NVRAM map'!$AJ$3:$AJ$319&lt;=J$3),0),2))</f>
        <v>TRIM_SBYMODE_VDDDREG</v>
      </c>
      <c r="K75" s="87" t="str">
        <f t="array" aca="1" ref="K75" ca="1">IF(ISNA(INDEX('NVRAM map'!$AF$3:$AG$319,MATCH(1,('NVRAM map'!$AF$3:$AF$319=$A75)*('NVRAM map'!$AI$3:$AI$319&gt;=K$3)*('NVRAM map'!$AJ$3:$AJ$319&lt;=K$3),0),2)),"-",INDEX('NVRAM map'!$AF$3:$AG$319,MATCH(1,('NVRAM map'!$AF$3:$AF$319=$A75)*('NVRAM map'!$AI$3:$AI$319&gt;=K$3)*('NVRAM map'!$AJ$3:$AJ$319&lt;=K$3),0),2))</f>
        <v>TRIM_SBYMODE_VDDDREG</v>
      </c>
      <c r="L75" s="87" t="str">
        <f t="array" aca="1" ref="L75" ca="1">IF(ISNA(INDEX('NVRAM map'!$AF$3:$AG$319,MATCH(1,('NVRAM map'!$AF$3:$AF$319=$A75)*('NVRAM map'!$AI$3:$AI$319&gt;=L$3)*('NVRAM map'!$AJ$3:$AJ$319&lt;=L$3),0),2)),"-",INDEX('NVRAM map'!$AF$3:$AG$319,MATCH(1,('NVRAM map'!$AF$3:$AF$319=$A75)*('NVRAM map'!$AI$3:$AI$319&gt;=L$3)*('NVRAM map'!$AJ$3:$AJ$319&lt;=L$3),0),2))</f>
        <v>TRIM_SBYMODE_VDDDREG</v>
      </c>
      <c r="M75" s="87" t="str">
        <f t="array" aca="1" ref="M75" ca="1">IF(ISNA(INDEX('NVRAM map'!$AF$3:$AG$319,MATCH(1,('NVRAM map'!$AF$3:$AF$319=$A75)*('NVRAM map'!$AI$3:$AI$319&gt;=M$3)*('NVRAM map'!$AJ$3:$AJ$319&lt;=M$3),0),2)),"-",INDEX('NVRAM map'!$AF$3:$AG$319,MATCH(1,('NVRAM map'!$AF$3:$AF$319=$A75)*('NVRAM map'!$AI$3:$AI$319&gt;=M$3)*('NVRAM map'!$AJ$3:$AJ$319&lt;=M$3),0),2))</f>
        <v>TRIM_VDDD</v>
      </c>
      <c r="N75" s="87" t="str">
        <f t="array" aca="1" ref="N75" ca="1">IF(ISNA(INDEX('NVRAM map'!$AF$3:$AG$319,MATCH(1,('NVRAM map'!$AF$3:$AF$319=$A75)*('NVRAM map'!$AI$3:$AI$319&gt;=N$3)*('NVRAM map'!$AJ$3:$AJ$319&lt;=N$3),0),2)),"-",INDEX('NVRAM map'!$AF$3:$AG$319,MATCH(1,('NVRAM map'!$AF$3:$AF$319=$A75)*('NVRAM map'!$AI$3:$AI$319&gt;=N$3)*('NVRAM map'!$AJ$3:$AJ$319&lt;=N$3),0),2))</f>
        <v>TRIM_VDDD</v>
      </c>
      <c r="O75" s="87" t="str">
        <f t="array" aca="1" ref="O75" ca="1">IF(ISNA(INDEX('NVRAM map'!$AF$3:$AG$319,MATCH(1,('NVRAM map'!$AF$3:$AF$319=$A75)*('NVRAM map'!$AI$3:$AI$319&gt;=O$3)*('NVRAM map'!$AJ$3:$AJ$319&lt;=O$3),0),2)),"-",INDEX('NVRAM map'!$AF$3:$AG$319,MATCH(1,('NVRAM map'!$AF$3:$AF$319=$A75)*('NVRAM map'!$AI$3:$AI$319&gt;=O$3)*('NVRAM map'!$AJ$3:$AJ$319&lt;=O$3),0),2))</f>
        <v>TRIM_VDDD</v>
      </c>
      <c r="P75" s="87" t="str">
        <f t="array" aca="1" ref="P75" ca="1">IF(ISNA(INDEX('NVRAM map'!$AF$3:$AG$319,MATCH(1,('NVRAM map'!$AF$3:$AF$319=$A75)*('NVRAM map'!$AI$3:$AI$319&gt;=P$3)*('NVRAM map'!$AJ$3:$AJ$319&lt;=P$3),0),2)),"-",INDEX('NVRAM map'!$AF$3:$AG$319,MATCH(1,('NVRAM map'!$AF$3:$AF$319=$A75)*('NVRAM map'!$AI$3:$AI$319&gt;=P$3)*('NVRAM map'!$AJ$3:$AJ$319&lt;=P$3),0),2))</f>
        <v>TRIM_VDDD</v>
      </c>
      <c r="Q75" s="87" t="str">
        <f t="array" aca="1" ref="Q75" ca="1">IF(ISNA(INDEX('NVRAM map'!$AF$3:$AG$319,MATCH(1,('NVRAM map'!$AF$3:$AF$319=$A75)*('NVRAM map'!$AI$3:$AI$319&gt;=Q$3)*('NVRAM map'!$AJ$3:$AJ$319&lt;=Q$3),0),2)),"-",INDEX('NVRAM map'!$AF$3:$AG$319,MATCH(1,('NVRAM map'!$AF$3:$AF$319=$A75)*('NVRAM map'!$AI$3:$AI$319&gt;=Q$3)*('NVRAM map'!$AJ$3:$AJ$319&lt;=Q$3),0),2))</f>
        <v>TRIM_VDDA</v>
      </c>
      <c r="R75" s="87" t="str">
        <f t="array" aca="1" ref="R75" ca="1">IF(ISNA(INDEX('NVRAM map'!$AF$3:$AG$319,MATCH(1,('NVRAM map'!$AF$3:$AF$319=$A75)*('NVRAM map'!$AI$3:$AI$319&gt;=R$3)*('NVRAM map'!$AJ$3:$AJ$319&lt;=R$3),0),2)),"-",INDEX('NVRAM map'!$AF$3:$AG$319,MATCH(1,('NVRAM map'!$AF$3:$AF$319=$A75)*('NVRAM map'!$AI$3:$AI$319&gt;=R$3)*('NVRAM map'!$AJ$3:$AJ$319&lt;=R$3),0),2))</f>
        <v>TRIM_VDDA</v>
      </c>
      <c r="S75" s="87" t="str">
        <f t="array" aca="1" ref="S75" ca="1">IF(ISNA(INDEX('NVRAM map'!$AF$3:$AG$319,MATCH(1,('NVRAM map'!$AF$3:$AF$319=$A75)*('NVRAM map'!$AI$3:$AI$319&gt;=S$3)*('NVRAM map'!$AJ$3:$AJ$319&lt;=S$3),0),2)),"-",INDEX('NVRAM map'!$AF$3:$AG$319,MATCH(1,('NVRAM map'!$AF$3:$AF$319=$A75)*('NVRAM map'!$AI$3:$AI$319&gt;=S$3)*('NVRAM map'!$AJ$3:$AJ$319&lt;=S$3),0),2))</f>
        <v>TRIM_VDDA</v>
      </c>
      <c r="T75" s="87" t="str">
        <f t="array" aca="1" ref="T75" ca="1">IF(ISNA(INDEX('NVRAM map'!$AF$3:$AG$319,MATCH(1,('NVRAM map'!$AF$3:$AF$319=$A75)*('NVRAM map'!$AI$3:$AI$319&gt;=T$3)*('NVRAM map'!$AJ$3:$AJ$319&lt;=T$3),0),2)),"-",INDEX('NVRAM map'!$AF$3:$AG$319,MATCH(1,('NVRAM map'!$AF$3:$AF$319=$A75)*('NVRAM map'!$AI$3:$AI$319&gt;=T$3)*('NVRAM map'!$AJ$3:$AJ$319&lt;=T$3),0),2))</f>
        <v>TRIM_VBG_REG_TC</v>
      </c>
      <c r="U75" s="87" t="str">
        <f t="array" aca="1" ref="U75" ca="1">IF(ISNA(INDEX('NVRAM map'!$AF$3:$AG$319,MATCH(1,('NVRAM map'!$AF$3:$AF$319=$A75)*('NVRAM map'!$AI$3:$AI$319&gt;=U$3)*('NVRAM map'!$AJ$3:$AJ$319&lt;=U$3),0),2)),"-",INDEX('NVRAM map'!$AF$3:$AG$319,MATCH(1,('NVRAM map'!$AF$3:$AF$319=$A75)*('NVRAM map'!$AI$3:$AI$319&gt;=U$3)*('NVRAM map'!$AJ$3:$AJ$319&lt;=U$3),0),2))</f>
        <v>TRIM_VBG_REG_TC</v>
      </c>
      <c r="V75" s="87" t="str">
        <f t="array" aca="1" ref="V75" ca="1">IF(ISNA(INDEX('NVRAM map'!$AF$3:$AG$319,MATCH(1,('NVRAM map'!$AF$3:$AF$319=$A75)*('NVRAM map'!$AI$3:$AI$319&gt;=V$3)*('NVRAM map'!$AJ$3:$AJ$319&lt;=V$3),0),2)),"-",INDEX('NVRAM map'!$AF$3:$AG$319,MATCH(1,('NVRAM map'!$AF$3:$AF$319=$A75)*('NVRAM map'!$AI$3:$AI$319&gt;=V$3)*('NVRAM map'!$AJ$3:$AJ$319&lt;=V$3),0),2))</f>
        <v>TRIM_VBG_REG_TC</v>
      </c>
      <c r="W75" s="87" t="str">
        <f t="array" aca="1" ref="W75" ca="1">IF(ISNA(INDEX('NVRAM map'!$AF$3:$AG$319,MATCH(1,('NVRAM map'!$AF$3:$AF$319=$A75)*('NVRAM map'!$AI$3:$AI$319&gt;=W$3)*('NVRAM map'!$AJ$3:$AJ$319&lt;=W$3),0),2)),"-",INDEX('NVRAM map'!$AF$3:$AG$319,MATCH(1,('NVRAM map'!$AF$3:$AF$319=$A75)*('NVRAM map'!$AI$3:$AI$319&gt;=W$3)*('NVRAM map'!$AJ$3:$AJ$319&lt;=W$3),0),2))</f>
        <v>TRIM_VBG_REG_TC</v>
      </c>
      <c r="X75" s="88" t="str">
        <f ca="1">INDEX('NVRAM map'!$B$3:$B$319,MATCH(A75,'NVRAM map'!$E$3:$E$319,0))</f>
        <v>MLX</v>
      </c>
      <c r="AB75" s="44">
        <f t="shared" ca="1" si="17"/>
        <v>73</v>
      </c>
      <c r="AC75" s="12" t="b">
        <f ca="1">COUNTIF('NVRAM map'!$AD$3:$AE$319,A75)&lt;2</f>
        <v>1</v>
      </c>
      <c r="AD75" s="12">
        <f ca="1">SUMIF('NVRAM map'!$AF$3:$AF$319,A75,'NVRAM map'!$AK$3:$AK$319)</f>
        <v>65535</v>
      </c>
      <c r="AE75" s="12" t="str">
        <f t="shared" ca="1" si="18"/>
        <v>FFFF</v>
      </c>
      <c r="AF75" s="12" t="str">
        <f t="shared" ca="1" si="19"/>
        <v>11111111</v>
      </c>
      <c r="AG75" s="12" t="str">
        <f t="shared" ca="1" si="20"/>
        <v>11111111</v>
      </c>
      <c r="AH75" s="12">
        <f t="shared" ca="1" si="21"/>
        <v>16</v>
      </c>
      <c r="AI75" s="12">
        <f ca="1">SUMIF('NVRAM map'!$AF$3:$AF$319,A75,'NVRAM map'!$AH$3:$AH$319)</f>
        <v>16</v>
      </c>
      <c r="AJ75" s="12" t="b">
        <f t="shared" ca="1" si="22"/>
        <v>1</v>
      </c>
      <c r="AK75" s="12">
        <f ca="1">COUNTIF('NVRAM map'!$AF$3:$AF$319,A75)</f>
        <v>5</v>
      </c>
      <c r="AM75" s="89">
        <v>0</v>
      </c>
      <c r="AN75" s="80">
        <f t="shared" ca="1" si="27"/>
        <v>1</v>
      </c>
      <c r="AO75" s="80">
        <f t="shared" ca="1" si="27"/>
        <v>1</v>
      </c>
      <c r="AP75" s="80">
        <f t="shared" ca="1" si="27"/>
        <v>1</v>
      </c>
      <c r="AQ75" s="80">
        <f t="shared" ca="1" si="27"/>
        <v>1</v>
      </c>
      <c r="AR75" s="80">
        <f t="shared" ca="1" si="27"/>
        <v>0</v>
      </c>
      <c r="AS75" s="80">
        <f t="shared" ca="1" si="27"/>
        <v>0</v>
      </c>
      <c r="AT75" s="80">
        <f t="shared" ca="1" si="27"/>
        <v>0</v>
      </c>
      <c r="AU75" s="80">
        <f t="shared" ca="1" si="27"/>
        <v>0</v>
      </c>
      <c r="AV75" s="80">
        <f t="shared" ca="1" si="27"/>
        <v>1</v>
      </c>
      <c r="AW75" s="80">
        <f t="shared" ca="1" si="27"/>
        <v>1</v>
      </c>
      <c r="AX75" s="80">
        <f t="shared" ca="1" si="27"/>
        <v>1</v>
      </c>
      <c r="AY75" s="80">
        <f t="shared" ca="1" si="27"/>
        <v>0</v>
      </c>
      <c r="AZ75" s="80">
        <f t="shared" ca="1" si="27"/>
        <v>0</v>
      </c>
      <c r="BA75" s="80">
        <f t="shared" ca="1" si="27"/>
        <v>0</v>
      </c>
      <c r="BB75" s="81">
        <f t="shared" ca="1" si="27"/>
        <v>0</v>
      </c>
      <c r="BD75" s="12" t="str">
        <f t="shared" si="23"/>
        <v>0x108E</v>
      </c>
      <c r="BE75" s="12" t="str">
        <f t="shared" ca="1" si="24"/>
        <v>0100100000000001</v>
      </c>
      <c r="BG75" s="53" t="str">
        <f t="shared" ca="1" si="25"/>
        <v>`define EE_TRIM0 35</v>
      </c>
    </row>
    <row r="76" spans="1:59" ht="25.5">
      <c r="A76" s="82" t="s">
        <v>342</v>
      </c>
      <c r="B76" s="82">
        <v>144</v>
      </c>
      <c r="C76" s="82">
        <v>36</v>
      </c>
      <c r="D76" s="83">
        <f ca="1">SUMIF('NVRAM map'!$AF$3:$AF$319,A76,'NVRAM map'!$AN$3:$AN$319)</f>
        <v>12865</v>
      </c>
      <c r="E76" s="84" t="str">
        <f t="shared" ca="1" si="16"/>
        <v>3241</v>
      </c>
      <c r="F76" s="85" t="str">
        <f t="shared" ca="1" si="26"/>
        <v>3241</v>
      </c>
      <c r="G76" s="86" t="str">
        <f ca="1">VLOOKUP(MemoryView!A76,'NVRAM map'!$AD$3:$AE$319,2,0)</f>
        <v>EE_TRIM1</v>
      </c>
      <c r="H76" s="87" t="str">
        <f t="array" aca="1" ref="H76" ca="1">IF(ISNA(INDEX('NVRAM map'!$AF$3:$AG$319,MATCH(1,('NVRAM map'!$AF$3:$AF$319=$A76)*('NVRAM map'!$AI$3:$AI$319&gt;=H$3)*('NVRAM map'!$AJ$3:$AJ$319&lt;=H$3),0),2)),"-",INDEX('NVRAM map'!$AF$3:$AG$319,MATCH(1,('NVRAM map'!$AF$3:$AF$319=$A76)*('NVRAM map'!$AI$3:$AI$319&gt;=H$3)*('NVRAM map'!$AJ$3:$AJ$319&lt;=H$3),0),2))</f>
        <v>TRIM1_RESERVED</v>
      </c>
      <c r="I76" s="87" t="str">
        <f t="array" aca="1" ref="I76" ca="1">IF(ISNA(INDEX('NVRAM map'!$AF$3:$AG$319,MATCH(1,('NVRAM map'!$AF$3:$AF$319=$A76)*('NVRAM map'!$AI$3:$AI$319&gt;=I$3)*('NVRAM map'!$AJ$3:$AJ$319&lt;=I$3),0),2)),"-",INDEX('NVRAM map'!$AF$3:$AG$319,MATCH(1,('NVRAM map'!$AF$3:$AF$319=$A76)*('NVRAM map'!$AI$3:$AI$319&gt;=I$3)*('NVRAM map'!$AJ$3:$AJ$319&lt;=I$3),0),2))</f>
        <v>TRIM_OSC_CPU</v>
      </c>
      <c r="J76" s="87" t="str">
        <f t="array" aca="1" ref="J76" ca="1">IF(ISNA(INDEX('NVRAM map'!$AF$3:$AG$319,MATCH(1,('NVRAM map'!$AF$3:$AF$319=$A76)*('NVRAM map'!$AI$3:$AI$319&gt;=J$3)*('NVRAM map'!$AJ$3:$AJ$319&lt;=J$3),0),2)),"-",INDEX('NVRAM map'!$AF$3:$AG$319,MATCH(1,('NVRAM map'!$AF$3:$AF$319=$A76)*('NVRAM map'!$AI$3:$AI$319&gt;=J$3)*('NVRAM map'!$AJ$3:$AJ$319&lt;=J$3),0),2))</f>
        <v>TRIM_OSC_CPU</v>
      </c>
      <c r="K76" s="87" t="str">
        <f t="array" aca="1" ref="K76" ca="1">IF(ISNA(INDEX('NVRAM map'!$AF$3:$AG$319,MATCH(1,('NVRAM map'!$AF$3:$AF$319=$A76)*('NVRAM map'!$AI$3:$AI$319&gt;=K$3)*('NVRAM map'!$AJ$3:$AJ$319&lt;=K$3),0),2)),"-",INDEX('NVRAM map'!$AF$3:$AG$319,MATCH(1,('NVRAM map'!$AF$3:$AF$319=$A76)*('NVRAM map'!$AI$3:$AI$319&gt;=K$3)*('NVRAM map'!$AJ$3:$AJ$319&lt;=K$3),0),2))</f>
        <v>TRIM_OSC_CPU</v>
      </c>
      <c r="L76" s="87" t="str">
        <f t="array" aca="1" ref="L76" ca="1">IF(ISNA(INDEX('NVRAM map'!$AF$3:$AG$319,MATCH(1,('NVRAM map'!$AF$3:$AF$319=$A76)*('NVRAM map'!$AI$3:$AI$319&gt;=L$3)*('NVRAM map'!$AJ$3:$AJ$319&lt;=L$3),0),2)),"-",INDEX('NVRAM map'!$AF$3:$AG$319,MATCH(1,('NVRAM map'!$AF$3:$AF$319=$A76)*('NVRAM map'!$AI$3:$AI$319&gt;=L$3)*('NVRAM map'!$AJ$3:$AJ$319&lt;=L$3),0),2))</f>
        <v>TRIM_OSC_CPU</v>
      </c>
      <c r="M76" s="87" t="str">
        <f t="array" aca="1" ref="M76" ca="1">IF(ISNA(INDEX('NVRAM map'!$AF$3:$AG$319,MATCH(1,('NVRAM map'!$AF$3:$AF$319=$A76)*('NVRAM map'!$AI$3:$AI$319&gt;=M$3)*('NVRAM map'!$AJ$3:$AJ$319&lt;=M$3),0),2)),"-",INDEX('NVRAM map'!$AF$3:$AG$319,MATCH(1,('NVRAM map'!$AF$3:$AF$319=$A76)*('NVRAM map'!$AI$3:$AI$319&gt;=M$3)*('NVRAM map'!$AJ$3:$AJ$319&lt;=M$3),0),2))</f>
        <v>TRIM_OSC_CPU</v>
      </c>
      <c r="N76" s="87" t="str">
        <f t="array" aca="1" ref="N76" ca="1">IF(ISNA(INDEX('NVRAM map'!$AF$3:$AG$319,MATCH(1,('NVRAM map'!$AF$3:$AF$319=$A76)*('NVRAM map'!$AI$3:$AI$319&gt;=N$3)*('NVRAM map'!$AJ$3:$AJ$319&lt;=N$3),0),2)),"-",INDEX('NVRAM map'!$AF$3:$AG$319,MATCH(1,('NVRAM map'!$AF$3:$AF$319=$A76)*('NVRAM map'!$AI$3:$AI$319&gt;=N$3)*('NVRAM map'!$AJ$3:$AJ$319&lt;=N$3),0),2))</f>
        <v>TRIM_OSC_CPU</v>
      </c>
      <c r="O76" s="87" t="str">
        <f t="array" aca="1" ref="O76" ca="1">IF(ISNA(INDEX('NVRAM map'!$AF$3:$AG$319,MATCH(1,('NVRAM map'!$AF$3:$AF$319=$A76)*('NVRAM map'!$AI$3:$AI$319&gt;=O$3)*('NVRAM map'!$AJ$3:$AJ$319&lt;=O$3),0),2)),"-",INDEX('NVRAM map'!$AF$3:$AG$319,MATCH(1,('NVRAM map'!$AF$3:$AF$319=$A76)*('NVRAM map'!$AI$3:$AI$319&gt;=O$3)*('NVRAM map'!$AJ$3:$AJ$319&lt;=O$3),0),2))</f>
        <v>TRIM_OSC_CPU</v>
      </c>
      <c r="P76" s="87" t="str">
        <f t="array" aca="1" ref="P76" ca="1">IF(ISNA(INDEX('NVRAM map'!$AF$3:$AG$319,MATCH(1,('NVRAM map'!$AF$3:$AF$319=$A76)*('NVRAM map'!$AI$3:$AI$319&gt;=P$3)*('NVRAM map'!$AJ$3:$AJ$319&lt;=P$3),0),2)),"-",INDEX('NVRAM map'!$AF$3:$AG$319,MATCH(1,('NVRAM map'!$AF$3:$AF$319=$A76)*('NVRAM map'!$AI$3:$AI$319&gt;=P$3)*('NVRAM map'!$AJ$3:$AJ$319&lt;=P$3),0),2))</f>
        <v>TRIM_OSC_CPU</v>
      </c>
      <c r="Q76" s="87" t="str">
        <f t="array" aca="1" ref="Q76" ca="1">IF(ISNA(INDEX('NVRAM map'!$AF$3:$AG$319,MATCH(1,('NVRAM map'!$AF$3:$AF$319=$A76)*('NVRAM map'!$AI$3:$AI$319&gt;=Q$3)*('NVRAM map'!$AJ$3:$AJ$319&lt;=Q$3),0),2)),"-",INDEX('NVRAM map'!$AF$3:$AG$319,MATCH(1,('NVRAM map'!$AF$3:$AF$319=$A76)*('NVRAM map'!$AI$3:$AI$319&gt;=Q$3)*('NVRAM map'!$AJ$3:$AJ$319&lt;=Q$3),0),2))</f>
        <v>TRIM_OSC_CPU</v>
      </c>
      <c r="R76" s="87" t="str">
        <f t="array" aca="1" ref="R76" ca="1">IF(ISNA(INDEX('NVRAM map'!$AF$3:$AG$319,MATCH(1,('NVRAM map'!$AF$3:$AF$319=$A76)*('NVRAM map'!$AI$3:$AI$319&gt;=R$3)*('NVRAM map'!$AJ$3:$AJ$319&lt;=R$3),0),2)),"-",INDEX('NVRAM map'!$AF$3:$AG$319,MATCH(1,('NVRAM map'!$AF$3:$AF$319=$A76)*('NVRAM map'!$AI$3:$AI$319&gt;=R$3)*('NVRAM map'!$AJ$3:$AJ$319&lt;=R$3),0),2))</f>
        <v>TRIM_OSC_CPU</v>
      </c>
      <c r="S76" s="87" t="str">
        <f t="array" aca="1" ref="S76" ca="1">IF(ISNA(INDEX('NVRAM map'!$AF$3:$AG$319,MATCH(1,('NVRAM map'!$AF$3:$AF$319=$A76)*('NVRAM map'!$AI$3:$AI$319&gt;=S$3)*('NVRAM map'!$AJ$3:$AJ$319&lt;=S$3),0),2)),"-",INDEX('NVRAM map'!$AF$3:$AG$319,MATCH(1,('NVRAM map'!$AF$3:$AF$319=$A76)*('NVRAM map'!$AI$3:$AI$319&gt;=S$3)*('NVRAM map'!$AJ$3:$AJ$319&lt;=S$3),0),2))</f>
        <v>TRIM_IBIAS</v>
      </c>
      <c r="T76" s="87" t="str">
        <f t="array" aca="1" ref="T76" ca="1">IF(ISNA(INDEX('NVRAM map'!$AF$3:$AG$319,MATCH(1,('NVRAM map'!$AF$3:$AF$319=$A76)*('NVRAM map'!$AI$3:$AI$319&gt;=T$3)*('NVRAM map'!$AJ$3:$AJ$319&lt;=T$3),0),2)),"-",INDEX('NVRAM map'!$AF$3:$AG$319,MATCH(1,('NVRAM map'!$AF$3:$AF$319=$A76)*('NVRAM map'!$AI$3:$AI$319&gt;=T$3)*('NVRAM map'!$AJ$3:$AJ$319&lt;=T$3),0),2))</f>
        <v>TRIM_IBIAS</v>
      </c>
      <c r="U76" s="87" t="str">
        <f t="array" aca="1" ref="U76" ca="1">IF(ISNA(INDEX('NVRAM map'!$AF$3:$AG$319,MATCH(1,('NVRAM map'!$AF$3:$AF$319=$A76)*('NVRAM map'!$AI$3:$AI$319&gt;=U$3)*('NVRAM map'!$AJ$3:$AJ$319&lt;=U$3),0),2)),"-",INDEX('NVRAM map'!$AF$3:$AG$319,MATCH(1,('NVRAM map'!$AF$3:$AF$319=$A76)*('NVRAM map'!$AI$3:$AI$319&gt;=U$3)*('NVRAM map'!$AJ$3:$AJ$319&lt;=U$3),0),2))</f>
        <v>TRIM_IBIAS</v>
      </c>
      <c r="V76" s="87" t="str">
        <f t="array" aca="1" ref="V76" ca="1">IF(ISNA(INDEX('NVRAM map'!$AF$3:$AG$319,MATCH(1,('NVRAM map'!$AF$3:$AF$319=$A76)*('NVRAM map'!$AI$3:$AI$319&gt;=V$3)*('NVRAM map'!$AJ$3:$AJ$319&lt;=V$3),0),2)),"-",INDEX('NVRAM map'!$AF$3:$AG$319,MATCH(1,('NVRAM map'!$AF$3:$AF$319=$A76)*('NVRAM map'!$AI$3:$AI$319&gt;=V$3)*('NVRAM map'!$AJ$3:$AJ$319&lt;=V$3),0),2))</f>
        <v>TRIM_IBIAS</v>
      </c>
      <c r="W76" s="87" t="str">
        <f t="array" aca="1" ref="W76" ca="1">IF(ISNA(INDEX('NVRAM map'!$AF$3:$AG$319,MATCH(1,('NVRAM map'!$AF$3:$AF$319=$A76)*('NVRAM map'!$AI$3:$AI$319&gt;=W$3)*('NVRAM map'!$AJ$3:$AJ$319&lt;=W$3),0),2)),"-",INDEX('NVRAM map'!$AF$3:$AG$319,MATCH(1,('NVRAM map'!$AF$3:$AF$319=$A76)*('NVRAM map'!$AI$3:$AI$319&gt;=W$3)*('NVRAM map'!$AJ$3:$AJ$319&lt;=W$3),0),2))</f>
        <v>TRIM_IBIAS</v>
      </c>
      <c r="X76" s="88" t="str">
        <f ca="1">INDEX('NVRAM map'!$B$3:$B$319,MATCH(A76,'NVRAM map'!$E$3:$E$319,0))</f>
        <v>MLX</v>
      </c>
      <c r="Y76" s="44">
        <f ca="1">2^16-MOD(SUM(AB77:AB103),2^16)-1</f>
        <v>61103</v>
      </c>
      <c r="Z76" s="44" t="s">
        <v>301</v>
      </c>
      <c r="AB76" s="44">
        <f t="shared" ca="1" si="17"/>
        <v>115</v>
      </c>
      <c r="AC76" s="12" t="b">
        <f ca="1">COUNTIF('NVRAM map'!$AD$3:$AE$319,A76)&lt;2</f>
        <v>1</v>
      </c>
      <c r="AD76" s="12">
        <f ca="1">SUMIF('NVRAM map'!$AF$3:$AF$319,A76,'NVRAM map'!$AK$3:$AK$319)</f>
        <v>65535</v>
      </c>
      <c r="AE76" s="12" t="str">
        <f t="shared" ca="1" si="18"/>
        <v>FFFF</v>
      </c>
      <c r="AF76" s="12" t="str">
        <f t="shared" ca="1" si="19"/>
        <v>11111111</v>
      </c>
      <c r="AG76" s="12" t="str">
        <f t="shared" ca="1" si="20"/>
        <v>11111111</v>
      </c>
      <c r="AH76" s="12">
        <f t="shared" ca="1" si="21"/>
        <v>16</v>
      </c>
      <c r="AI76" s="12">
        <f ca="1">SUMIF('NVRAM map'!$AF$3:$AF$319,A76,'NVRAM map'!$AH$3:$AH$319)</f>
        <v>16</v>
      </c>
      <c r="AJ76" s="12" t="b">
        <f t="shared" ca="1" si="22"/>
        <v>1</v>
      </c>
      <c r="AK76" s="12">
        <f ca="1">COUNTIF('NVRAM map'!$AF$3:$AF$319,A76)</f>
        <v>3</v>
      </c>
      <c r="AM76" s="89">
        <v>0</v>
      </c>
      <c r="AN76" s="80">
        <f t="shared" ca="1" si="27"/>
        <v>1</v>
      </c>
      <c r="AO76" s="80">
        <f t="shared" ca="1" si="27"/>
        <v>1</v>
      </c>
      <c r="AP76" s="80">
        <f t="shared" ca="1" si="27"/>
        <v>1</v>
      </c>
      <c r="AQ76" s="80">
        <f t="shared" ca="1" si="27"/>
        <v>1</v>
      </c>
      <c r="AR76" s="80">
        <f t="shared" ca="1" si="27"/>
        <v>1</v>
      </c>
      <c r="AS76" s="80">
        <f t="shared" ca="1" si="27"/>
        <v>1</v>
      </c>
      <c r="AT76" s="80">
        <f t="shared" ca="1" si="27"/>
        <v>1</v>
      </c>
      <c r="AU76" s="80">
        <f t="shared" ca="1" si="27"/>
        <v>1</v>
      </c>
      <c r="AV76" s="80">
        <f t="shared" ca="1" si="27"/>
        <v>1</v>
      </c>
      <c r="AW76" s="80">
        <f t="shared" ca="1" si="27"/>
        <v>1</v>
      </c>
      <c r="AX76" s="80">
        <f t="shared" ca="1" si="27"/>
        <v>0</v>
      </c>
      <c r="AY76" s="80">
        <f t="shared" ca="1" si="27"/>
        <v>0</v>
      </c>
      <c r="AZ76" s="80">
        <f t="shared" ca="1" si="27"/>
        <v>0</v>
      </c>
      <c r="BA76" s="80">
        <f t="shared" ca="1" si="27"/>
        <v>0</v>
      </c>
      <c r="BB76" s="81">
        <f t="shared" ca="1" si="27"/>
        <v>0</v>
      </c>
      <c r="BD76" s="12" t="str">
        <f t="shared" si="23"/>
        <v>0x1090</v>
      </c>
      <c r="BE76" s="12" t="str">
        <f t="shared" ca="1" si="24"/>
        <v>0011001001000001</v>
      </c>
      <c r="BG76" s="53" t="str">
        <f t="shared" ca="1" si="25"/>
        <v>`define EE_TRIM1 36</v>
      </c>
    </row>
    <row r="77" spans="1:59" ht="25.5">
      <c r="A77" s="82" t="s">
        <v>343</v>
      </c>
      <c r="B77" s="82">
        <v>146</v>
      </c>
      <c r="C77" s="82">
        <v>36</v>
      </c>
      <c r="D77" s="83">
        <f ca="1">SUMIF('NVRAM map'!$AF$3:$AF$319,A77,'NVRAM map'!$AN$3:$AN$319)</f>
        <v>10407</v>
      </c>
      <c r="E77" s="84" t="str">
        <f t="shared" ca="1" si="16"/>
        <v>28A7</v>
      </c>
      <c r="F77" s="85" t="str">
        <f t="shared" ca="1" si="26"/>
        <v>28A7</v>
      </c>
      <c r="G77" s="86" t="str">
        <f ca="1">VLOOKUP(MemoryView!A77,'NVRAM map'!$AD$3:$AE$319,2,0)</f>
        <v>EE_TRIM2</v>
      </c>
      <c r="H77" s="87" t="str">
        <f t="array" aca="1" ref="H77" ca="1">IF(ISNA(INDEX('NVRAM map'!$AF$3:$AG$319,MATCH(1,('NVRAM map'!$AF$3:$AF$319=$A77)*('NVRAM map'!$AI$3:$AI$319&gt;=H$3)*('NVRAM map'!$AJ$3:$AJ$319&lt;=H$3),0),2)),"-",INDEX('NVRAM map'!$AF$3:$AG$319,MATCH(1,('NVRAM map'!$AF$3:$AF$319=$A77)*('NVRAM map'!$AI$3:$AI$319&gt;=H$3)*('NVRAM map'!$AJ$3:$AJ$319&lt;=H$3),0),2))</f>
        <v>TRIM2_RESERVED</v>
      </c>
      <c r="I77" s="87" t="str">
        <f t="array" aca="1" ref="I77" ca="1">IF(ISNA(INDEX('NVRAM map'!$AF$3:$AG$319,MATCH(1,('NVRAM map'!$AF$3:$AF$319=$A77)*('NVRAM map'!$AI$3:$AI$319&gt;=I$3)*('NVRAM map'!$AJ$3:$AJ$319&lt;=I$3),0),2)),"-",INDEX('NVRAM map'!$AF$3:$AG$319,MATCH(1,('NVRAM map'!$AF$3:$AF$319=$A77)*('NVRAM map'!$AI$3:$AI$319&gt;=I$3)*('NVRAM map'!$AJ$3:$AJ$319&lt;=I$3),0),2))</f>
        <v>TRIM_OSC10K</v>
      </c>
      <c r="J77" s="87" t="str">
        <f t="array" aca="1" ref="J77" ca="1">IF(ISNA(INDEX('NVRAM map'!$AF$3:$AG$319,MATCH(1,('NVRAM map'!$AF$3:$AF$319=$A77)*('NVRAM map'!$AI$3:$AI$319&gt;=J$3)*('NVRAM map'!$AJ$3:$AJ$319&lt;=J$3),0),2)),"-",INDEX('NVRAM map'!$AF$3:$AG$319,MATCH(1,('NVRAM map'!$AF$3:$AF$319=$A77)*('NVRAM map'!$AI$3:$AI$319&gt;=J$3)*('NVRAM map'!$AJ$3:$AJ$319&lt;=J$3),0),2))</f>
        <v>TRIM_OSC10K</v>
      </c>
      <c r="K77" s="87" t="str">
        <f t="array" aca="1" ref="K77" ca="1">IF(ISNA(INDEX('NVRAM map'!$AF$3:$AG$319,MATCH(1,('NVRAM map'!$AF$3:$AF$319=$A77)*('NVRAM map'!$AI$3:$AI$319&gt;=K$3)*('NVRAM map'!$AJ$3:$AJ$319&lt;=K$3),0),2)),"-",INDEX('NVRAM map'!$AF$3:$AG$319,MATCH(1,('NVRAM map'!$AF$3:$AF$319=$A77)*('NVRAM map'!$AI$3:$AI$319&gt;=K$3)*('NVRAM map'!$AJ$3:$AJ$319&lt;=K$3),0),2))</f>
        <v>TRIM_OSC10K</v>
      </c>
      <c r="L77" s="87" t="str">
        <f t="array" aca="1" ref="L77" ca="1">IF(ISNA(INDEX('NVRAM map'!$AF$3:$AG$319,MATCH(1,('NVRAM map'!$AF$3:$AF$319=$A77)*('NVRAM map'!$AI$3:$AI$319&gt;=L$3)*('NVRAM map'!$AJ$3:$AJ$319&lt;=L$3),0),2)),"-",INDEX('NVRAM map'!$AF$3:$AG$319,MATCH(1,('NVRAM map'!$AF$3:$AF$319=$A77)*('NVRAM map'!$AI$3:$AI$319&gt;=L$3)*('NVRAM map'!$AJ$3:$AJ$319&lt;=L$3),0),2))</f>
        <v>TRIM_OSC10K</v>
      </c>
      <c r="M77" s="87" t="str">
        <f t="array" aca="1" ref="M77" ca="1">IF(ISNA(INDEX('NVRAM map'!$AF$3:$AG$319,MATCH(1,('NVRAM map'!$AF$3:$AF$319=$A77)*('NVRAM map'!$AI$3:$AI$319&gt;=M$3)*('NVRAM map'!$AJ$3:$AJ$319&lt;=M$3),0),2)),"-",INDEX('NVRAM map'!$AF$3:$AG$319,MATCH(1,('NVRAM map'!$AF$3:$AF$319=$A77)*('NVRAM map'!$AI$3:$AI$319&gt;=M$3)*('NVRAM map'!$AJ$3:$AJ$319&lt;=M$3),0),2))</f>
        <v>TRIM_OSC10K</v>
      </c>
      <c r="N77" s="87" t="str">
        <f t="array" aca="1" ref="N77" ca="1">IF(ISNA(INDEX('NVRAM map'!$AF$3:$AG$319,MATCH(1,('NVRAM map'!$AF$3:$AF$319=$A77)*('NVRAM map'!$AI$3:$AI$319&gt;=N$3)*('NVRAM map'!$AJ$3:$AJ$319&lt;=N$3),0),2)),"-",INDEX('NVRAM map'!$AF$3:$AG$319,MATCH(1,('NVRAM map'!$AF$3:$AF$319=$A77)*('NVRAM map'!$AI$3:$AI$319&gt;=N$3)*('NVRAM map'!$AJ$3:$AJ$319&lt;=N$3),0),2))</f>
        <v>TRIM_SUPSYS_SBY_WUT</v>
      </c>
      <c r="O77" s="87" t="str">
        <f t="array" aca="1" ref="O77" ca="1">IF(ISNA(INDEX('NVRAM map'!$AF$3:$AG$319,MATCH(1,('NVRAM map'!$AF$3:$AF$319=$A77)*('NVRAM map'!$AI$3:$AI$319&gt;=O$3)*('NVRAM map'!$AJ$3:$AJ$319&lt;=O$3),0),2)),"-",INDEX('NVRAM map'!$AF$3:$AG$319,MATCH(1,('NVRAM map'!$AF$3:$AF$319=$A77)*('NVRAM map'!$AI$3:$AI$319&gt;=O$3)*('NVRAM map'!$AJ$3:$AJ$319&lt;=O$3),0),2))</f>
        <v>TRIM_SUPSYS_SBY_WUT</v>
      </c>
      <c r="P77" s="87" t="str">
        <f t="array" aca="1" ref="P77" ca="1">IF(ISNA(INDEX('NVRAM map'!$AF$3:$AG$319,MATCH(1,('NVRAM map'!$AF$3:$AF$319=$A77)*('NVRAM map'!$AI$3:$AI$319&gt;=P$3)*('NVRAM map'!$AJ$3:$AJ$319&lt;=P$3),0),2)),"-",INDEX('NVRAM map'!$AF$3:$AG$319,MATCH(1,('NVRAM map'!$AF$3:$AF$319=$A77)*('NVRAM map'!$AI$3:$AI$319&gt;=P$3)*('NVRAM map'!$AJ$3:$AJ$319&lt;=P$3),0),2))</f>
        <v>OSC_ADC_AUTO_RESTART</v>
      </c>
      <c r="Q77" s="87" t="str">
        <f t="array" aca="1" ref="Q77" ca="1">IF(ISNA(INDEX('NVRAM map'!$AF$3:$AG$319,MATCH(1,('NVRAM map'!$AF$3:$AF$319=$A77)*('NVRAM map'!$AI$3:$AI$319&gt;=Q$3)*('NVRAM map'!$AJ$3:$AJ$319&lt;=Q$3),0),2)),"-",INDEX('NVRAM map'!$AF$3:$AG$319,MATCH(1,('NVRAM map'!$AF$3:$AF$319=$A77)*('NVRAM map'!$AI$3:$AI$319&gt;=Q$3)*('NVRAM map'!$AJ$3:$AJ$319&lt;=Q$3),0),2))</f>
        <v>TRIM_OSC_ADC</v>
      </c>
      <c r="R77" s="87" t="str">
        <f t="array" aca="1" ref="R77" ca="1">IF(ISNA(INDEX('NVRAM map'!$AF$3:$AG$319,MATCH(1,('NVRAM map'!$AF$3:$AF$319=$A77)*('NVRAM map'!$AI$3:$AI$319&gt;=R$3)*('NVRAM map'!$AJ$3:$AJ$319&lt;=R$3),0),2)),"-",INDEX('NVRAM map'!$AF$3:$AG$319,MATCH(1,('NVRAM map'!$AF$3:$AF$319=$A77)*('NVRAM map'!$AI$3:$AI$319&gt;=R$3)*('NVRAM map'!$AJ$3:$AJ$319&lt;=R$3),0),2))</f>
        <v>TRIM_OSC_ADC</v>
      </c>
      <c r="S77" s="87" t="str">
        <f t="array" aca="1" ref="S77" ca="1">IF(ISNA(INDEX('NVRAM map'!$AF$3:$AG$319,MATCH(1,('NVRAM map'!$AF$3:$AF$319=$A77)*('NVRAM map'!$AI$3:$AI$319&gt;=S$3)*('NVRAM map'!$AJ$3:$AJ$319&lt;=S$3),0),2)),"-",INDEX('NVRAM map'!$AF$3:$AG$319,MATCH(1,('NVRAM map'!$AF$3:$AF$319=$A77)*('NVRAM map'!$AI$3:$AI$319&gt;=S$3)*('NVRAM map'!$AJ$3:$AJ$319&lt;=S$3),0),2))</f>
        <v>TRIM_OSC_ADC</v>
      </c>
      <c r="T77" s="87" t="str">
        <f t="array" aca="1" ref="T77" ca="1">IF(ISNA(INDEX('NVRAM map'!$AF$3:$AG$319,MATCH(1,('NVRAM map'!$AF$3:$AF$319=$A77)*('NVRAM map'!$AI$3:$AI$319&gt;=T$3)*('NVRAM map'!$AJ$3:$AJ$319&lt;=T$3),0),2)),"-",INDEX('NVRAM map'!$AF$3:$AG$319,MATCH(1,('NVRAM map'!$AF$3:$AF$319=$A77)*('NVRAM map'!$AI$3:$AI$319&gt;=T$3)*('NVRAM map'!$AJ$3:$AJ$319&lt;=T$3),0),2))</f>
        <v>TRIM_OSC_ADC</v>
      </c>
      <c r="U77" s="87" t="str">
        <f t="array" aca="1" ref="U77" ca="1">IF(ISNA(INDEX('NVRAM map'!$AF$3:$AG$319,MATCH(1,('NVRAM map'!$AF$3:$AF$319=$A77)*('NVRAM map'!$AI$3:$AI$319&gt;=U$3)*('NVRAM map'!$AJ$3:$AJ$319&lt;=U$3),0),2)),"-",INDEX('NVRAM map'!$AF$3:$AG$319,MATCH(1,('NVRAM map'!$AF$3:$AF$319=$A77)*('NVRAM map'!$AI$3:$AI$319&gt;=U$3)*('NVRAM map'!$AJ$3:$AJ$319&lt;=U$3),0),2))</f>
        <v>TRIM_OSC_ADC</v>
      </c>
      <c r="V77" s="87" t="str">
        <f t="array" aca="1" ref="V77" ca="1">IF(ISNA(INDEX('NVRAM map'!$AF$3:$AG$319,MATCH(1,('NVRAM map'!$AF$3:$AF$319=$A77)*('NVRAM map'!$AI$3:$AI$319&gt;=V$3)*('NVRAM map'!$AJ$3:$AJ$319&lt;=V$3),0),2)),"-",INDEX('NVRAM map'!$AF$3:$AG$319,MATCH(1,('NVRAM map'!$AF$3:$AF$319=$A77)*('NVRAM map'!$AI$3:$AI$319&gt;=V$3)*('NVRAM map'!$AJ$3:$AJ$319&lt;=V$3),0),2))</f>
        <v>TRIM_OSC_ADC</v>
      </c>
      <c r="W77" s="87" t="str">
        <f t="array" aca="1" ref="W77" ca="1">IF(ISNA(INDEX('NVRAM map'!$AF$3:$AG$319,MATCH(1,('NVRAM map'!$AF$3:$AF$319=$A77)*('NVRAM map'!$AI$3:$AI$319&gt;=W$3)*('NVRAM map'!$AJ$3:$AJ$319&lt;=W$3),0),2)),"-",INDEX('NVRAM map'!$AF$3:$AG$319,MATCH(1,('NVRAM map'!$AF$3:$AF$319=$A77)*('NVRAM map'!$AI$3:$AI$319&gt;=W$3)*('NVRAM map'!$AJ$3:$AJ$319&lt;=W$3),0),2))</f>
        <v>TRIM_OSC_ADC</v>
      </c>
      <c r="X77" s="88" t="str">
        <f ca="1">INDEX('NVRAM map'!$B$3:$B$319,MATCH(A77,'NVRAM map'!$E$3:$E$319,0))</f>
        <v>MLX</v>
      </c>
      <c r="Y77" s="44" t="str">
        <f ca="1">DEC2HEX(Y76,4)</f>
        <v>EEAF</v>
      </c>
      <c r="Z77" s="44" t="s">
        <v>298</v>
      </c>
      <c r="AB77" s="44">
        <f t="shared" ca="1" si="17"/>
        <v>207</v>
      </c>
      <c r="AC77" s="12" t="b">
        <f ca="1">COUNTIF('NVRAM map'!$AD$3:$AE$319,A77)&lt;2</f>
        <v>1</v>
      </c>
      <c r="AD77" s="12">
        <f ca="1">SUMIF('NVRAM map'!$AF$3:$AF$319,A77,'NVRAM map'!$AK$3:$AK$319)</f>
        <v>65535</v>
      </c>
      <c r="AE77" s="12" t="str">
        <f t="shared" ca="1" si="18"/>
        <v>FFFF</v>
      </c>
      <c r="AF77" s="12" t="str">
        <f t="shared" ca="1" si="19"/>
        <v>11111111</v>
      </c>
      <c r="AG77" s="12" t="str">
        <f t="shared" ca="1" si="20"/>
        <v>11111111</v>
      </c>
      <c r="AH77" s="12">
        <f t="shared" ca="1" si="21"/>
        <v>16</v>
      </c>
      <c r="AI77" s="12">
        <f ca="1">SUMIF('NVRAM map'!$AF$3:$AF$319,A77,'NVRAM map'!$AH$3:$AH$319)</f>
        <v>16</v>
      </c>
      <c r="AJ77" s="12" t="b">
        <f t="shared" ca="1" si="22"/>
        <v>1</v>
      </c>
      <c r="AK77" s="12">
        <f ca="1">COUNTIF('NVRAM map'!$AF$3:$AF$319,A77)</f>
        <v>5</v>
      </c>
      <c r="AM77" s="89">
        <v>0</v>
      </c>
      <c r="AN77" s="80">
        <f t="shared" ca="1" si="27"/>
        <v>1</v>
      </c>
      <c r="AO77" s="80">
        <f t="shared" ca="1" si="27"/>
        <v>1</v>
      </c>
      <c r="AP77" s="80">
        <f t="shared" ca="1" si="27"/>
        <v>1</v>
      </c>
      <c r="AQ77" s="80">
        <f t="shared" ca="1" si="27"/>
        <v>1</v>
      </c>
      <c r="AR77" s="80">
        <f t="shared" ca="1" si="27"/>
        <v>1</v>
      </c>
      <c r="AS77" s="80">
        <f t="shared" ca="1" si="27"/>
        <v>0</v>
      </c>
      <c r="AT77" s="80">
        <f t="shared" ca="1" si="27"/>
        <v>0</v>
      </c>
      <c r="AU77" s="80">
        <f t="shared" ca="1" si="27"/>
        <v>1</v>
      </c>
      <c r="AV77" s="80">
        <f t="shared" ca="1" si="27"/>
        <v>0</v>
      </c>
      <c r="AW77" s="80">
        <f t="shared" ca="1" si="27"/>
        <v>0</v>
      </c>
      <c r="AX77" s="80">
        <f t="shared" ca="1" si="27"/>
        <v>0</v>
      </c>
      <c r="AY77" s="80">
        <f t="shared" ca="1" si="27"/>
        <v>0</v>
      </c>
      <c r="AZ77" s="80">
        <f t="shared" ca="1" si="27"/>
        <v>0</v>
      </c>
      <c r="BA77" s="80">
        <f t="shared" ca="1" si="27"/>
        <v>0</v>
      </c>
      <c r="BB77" s="81">
        <f t="shared" ca="1" si="27"/>
        <v>0</v>
      </c>
      <c r="BD77" s="12" t="str">
        <f t="shared" si="23"/>
        <v>0x1092</v>
      </c>
      <c r="BE77" s="12" t="str">
        <f t="shared" ca="1" si="24"/>
        <v>0010100010100111</v>
      </c>
      <c r="BG77" s="53" t="str">
        <f t="shared" ca="1" si="25"/>
        <v>`define EE_TRIM2 36</v>
      </c>
    </row>
    <row r="78" spans="1:59" ht="25.5">
      <c r="A78" s="82" t="s">
        <v>344</v>
      </c>
      <c r="B78" s="82">
        <v>148</v>
      </c>
      <c r="C78" s="82">
        <v>37</v>
      </c>
      <c r="D78" s="83">
        <f ca="1">SUMIF('NVRAM map'!$AF$3:$AF$319,A78,'NVRAM map'!$AN$3:$AN$319)</f>
        <v>0</v>
      </c>
      <c r="E78" s="84" t="str">
        <f t="shared" ca="1" si="16"/>
        <v>0000</v>
      </c>
      <c r="F78" s="85" t="str">
        <f t="shared" ca="1" si="26"/>
        <v>0000</v>
      </c>
      <c r="G78" s="86" t="str">
        <f ca="1">VLOOKUP(MemoryView!A78,'NVRAM map'!$AD$3:$AE$319,2,0)</f>
        <v>EE_TRIM3</v>
      </c>
      <c r="H78" s="87" t="str">
        <f t="array" aca="1" ref="H78" ca="1">IF(ISNA(INDEX('NVRAM map'!$AF$3:$AG$319,MATCH(1,('NVRAM map'!$AF$3:$AF$319=$A78)*('NVRAM map'!$AI$3:$AI$319&gt;=H$3)*('NVRAM map'!$AJ$3:$AJ$319&lt;=H$3),0),2)),"-",INDEX('NVRAM map'!$AF$3:$AG$319,MATCH(1,('NVRAM map'!$AF$3:$AF$319=$A78)*('NVRAM map'!$AI$3:$AI$319&gt;=H$3)*('NVRAM map'!$AJ$3:$AJ$319&lt;=H$3),0),2))</f>
        <v>TRIM3_RESERVED</v>
      </c>
      <c r="I78" s="87" t="str">
        <f t="array" aca="1" ref="I78" ca="1">IF(ISNA(INDEX('NVRAM map'!$AF$3:$AG$319,MATCH(1,('NVRAM map'!$AF$3:$AF$319=$A78)*('NVRAM map'!$AI$3:$AI$319&gt;=I$3)*('NVRAM map'!$AJ$3:$AJ$319&lt;=I$3),0),2)),"-",INDEX('NVRAM map'!$AF$3:$AG$319,MATCH(1,('NVRAM map'!$AF$3:$AF$319=$A78)*('NVRAM map'!$AI$3:$AI$319&gt;=I$3)*('NVRAM map'!$AJ$3:$AJ$319&lt;=I$3),0),2))</f>
        <v>TRIM3_RESERVED</v>
      </c>
      <c r="J78" s="87" t="str">
        <f t="array" aca="1" ref="J78" ca="1">IF(ISNA(INDEX('NVRAM map'!$AF$3:$AG$319,MATCH(1,('NVRAM map'!$AF$3:$AF$319=$A78)*('NVRAM map'!$AI$3:$AI$319&gt;=J$3)*('NVRAM map'!$AJ$3:$AJ$319&lt;=J$3),0),2)),"-",INDEX('NVRAM map'!$AF$3:$AG$319,MATCH(1,('NVRAM map'!$AF$3:$AF$319=$A78)*('NVRAM map'!$AI$3:$AI$319&gt;=J$3)*('NVRAM map'!$AJ$3:$AJ$319&lt;=J$3),0),2))</f>
        <v>TRIM3_RESERVED</v>
      </c>
      <c r="K78" s="87" t="str">
        <f t="array" aca="1" ref="K78" ca="1">IF(ISNA(INDEX('NVRAM map'!$AF$3:$AG$319,MATCH(1,('NVRAM map'!$AF$3:$AF$319=$A78)*('NVRAM map'!$AI$3:$AI$319&gt;=K$3)*('NVRAM map'!$AJ$3:$AJ$319&lt;=K$3),0),2)),"-",INDEX('NVRAM map'!$AF$3:$AG$319,MATCH(1,('NVRAM map'!$AF$3:$AF$319=$A78)*('NVRAM map'!$AI$3:$AI$319&gt;=K$3)*('NVRAM map'!$AJ$3:$AJ$319&lt;=K$3),0),2))</f>
        <v>TRIM_VDDA_3V</v>
      </c>
      <c r="L78" s="87" t="str">
        <f t="array" aca="1" ref="L78" ca="1">IF(ISNA(INDEX('NVRAM map'!$AF$3:$AG$319,MATCH(1,('NVRAM map'!$AF$3:$AF$319=$A78)*('NVRAM map'!$AI$3:$AI$319&gt;=L$3)*('NVRAM map'!$AJ$3:$AJ$319&lt;=L$3),0),2)),"-",INDEX('NVRAM map'!$AF$3:$AG$319,MATCH(1,('NVRAM map'!$AF$3:$AF$319=$A78)*('NVRAM map'!$AI$3:$AI$319&gt;=L$3)*('NVRAM map'!$AJ$3:$AJ$319&lt;=L$3),0),2))</f>
        <v>TRIM_VDDA_3V</v>
      </c>
      <c r="M78" s="87" t="str">
        <f t="array" aca="1" ref="M78" ca="1">IF(ISNA(INDEX('NVRAM map'!$AF$3:$AG$319,MATCH(1,('NVRAM map'!$AF$3:$AF$319=$A78)*('NVRAM map'!$AI$3:$AI$319&gt;=M$3)*('NVRAM map'!$AJ$3:$AJ$319&lt;=M$3),0),2)),"-",INDEX('NVRAM map'!$AF$3:$AG$319,MATCH(1,('NVRAM map'!$AF$3:$AF$319=$A78)*('NVRAM map'!$AI$3:$AI$319&gt;=M$3)*('NVRAM map'!$AJ$3:$AJ$319&lt;=M$3),0),2))</f>
        <v>TRIM_VDDA_3V</v>
      </c>
      <c r="N78" s="87" t="str">
        <f t="array" aca="1" ref="N78" ca="1">IF(ISNA(INDEX('NVRAM map'!$AF$3:$AG$319,MATCH(1,('NVRAM map'!$AF$3:$AF$319=$A78)*('NVRAM map'!$AI$3:$AI$319&gt;=N$3)*('NVRAM map'!$AJ$3:$AJ$319&lt;=N$3),0),2)),"-",INDEX('NVRAM map'!$AF$3:$AG$319,MATCH(1,('NVRAM map'!$AF$3:$AF$319=$A78)*('NVRAM map'!$AI$3:$AI$319&gt;=N$3)*('NVRAM map'!$AJ$3:$AJ$319&lt;=N$3),0),2))</f>
        <v>PADC_RTZ</v>
      </c>
      <c r="O78" s="87" t="str">
        <f t="array" aca="1" ref="O78" ca="1">IF(ISNA(INDEX('NVRAM map'!$AF$3:$AG$319,MATCH(1,('NVRAM map'!$AF$3:$AF$319=$A78)*('NVRAM map'!$AI$3:$AI$319&gt;=O$3)*('NVRAM map'!$AJ$3:$AJ$319&lt;=O$3),0),2)),"-",INDEX('NVRAM map'!$AF$3:$AG$319,MATCH(1,('NVRAM map'!$AF$3:$AF$319=$A78)*('NVRAM map'!$AI$3:$AI$319&gt;=O$3)*('NVRAM map'!$AJ$3:$AJ$319&lt;=O$3),0),2))</f>
        <v>PADC_RTZ</v>
      </c>
      <c r="P78" s="87" t="str">
        <f t="array" aca="1" ref="P78" ca="1">IF(ISNA(INDEX('NVRAM map'!$AF$3:$AG$319,MATCH(1,('NVRAM map'!$AF$3:$AF$319=$A78)*('NVRAM map'!$AI$3:$AI$319&gt;=P$3)*('NVRAM map'!$AJ$3:$AJ$319&lt;=P$3),0),2)),"-",INDEX('NVRAM map'!$AF$3:$AG$319,MATCH(1,('NVRAM map'!$AF$3:$AF$319=$A78)*('NVRAM map'!$AI$3:$AI$319&gt;=P$3)*('NVRAM map'!$AJ$3:$AJ$319&lt;=P$3),0),2))</f>
        <v>PADC_INVERT_MODE</v>
      </c>
      <c r="Q78" s="87" t="str">
        <f t="array" aca="1" ref="Q78" ca="1">IF(ISNA(INDEX('NVRAM map'!$AF$3:$AG$319,MATCH(1,('NVRAM map'!$AF$3:$AF$319=$A78)*('NVRAM map'!$AI$3:$AI$319&gt;=Q$3)*('NVRAM map'!$AJ$3:$AJ$319&lt;=Q$3),0),2)),"-",INDEX('NVRAM map'!$AF$3:$AG$319,MATCH(1,('NVRAM map'!$AF$3:$AF$319=$A78)*('NVRAM map'!$AI$3:$AI$319&gt;=Q$3)*('NVRAM map'!$AJ$3:$AJ$319&lt;=Q$3),0),2))</f>
        <v>PADC_INT1_CURR</v>
      </c>
      <c r="R78" s="87" t="str">
        <f t="array" aca="1" ref="R78" ca="1">IF(ISNA(INDEX('NVRAM map'!$AF$3:$AG$319,MATCH(1,('NVRAM map'!$AF$3:$AF$319=$A78)*('NVRAM map'!$AI$3:$AI$319&gt;=R$3)*('NVRAM map'!$AJ$3:$AJ$319&lt;=R$3),0),2)),"-",INDEX('NVRAM map'!$AF$3:$AG$319,MATCH(1,('NVRAM map'!$AF$3:$AF$319=$A78)*('NVRAM map'!$AI$3:$AI$319&gt;=R$3)*('NVRAM map'!$AJ$3:$AJ$319&lt;=R$3),0),2))</f>
        <v>PADC_INT1_CURR</v>
      </c>
      <c r="S78" s="87" t="str">
        <f t="array" aca="1" ref="S78" ca="1">IF(ISNA(INDEX('NVRAM map'!$AF$3:$AG$319,MATCH(1,('NVRAM map'!$AF$3:$AF$319=$A78)*('NVRAM map'!$AI$3:$AI$319&gt;=S$3)*('NVRAM map'!$AJ$3:$AJ$319&lt;=S$3),0),2)),"-",INDEX('NVRAM map'!$AF$3:$AG$319,MATCH(1,('NVRAM map'!$AF$3:$AF$319=$A78)*('NVRAM map'!$AI$3:$AI$319&gt;=S$3)*('NVRAM map'!$AJ$3:$AJ$319&lt;=S$3),0),2))</f>
        <v>PADC_INT1_CURR</v>
      </c>
      <c r="T78" s="87" t="str">
        <f t="array" aca="1" ref="T78" ca="1">IF(ISNA(INDEX('NVRAM map'!$AF$3:$AG$319,MATCH(1,('NVRAM map'!$AF$3:$AF$319=$A78)*('NVRAM map'!$AI$3:$AI$319&gt;=T$3)*('NVRAM map'!$AJ$3:$AJ$319&lt;=T$3),0),2)),"-",INDEX('NVRAM map'!$AF$3:$AG$319,MATCH(1,('NVRAM map'!$AF$3:$AF$319=$A78)*('NVRAM map'!$AI$3:$AI$319&gt;=T$3)*('NVRAM map'!$AJ$3:$AJ$319&lt;=T$3),0),2))</f>
        <v>PADC_SEL_CHOP_INT_SYS</v>
      </c>
      <c r="U78" s="87" t="str">
        <f t="array" aca="1" ref="U78" ca="1">IF(ISNA(INDEX('NVRAM map'!$AF$3:$AG$319,MATCH(1,('NVRAM map'!$AF$3:$AF$319=$A78)*('NVRAM map'!$AI$3:$AI$319&gt;=U$3)*('NVRAM map'!$AJ$3:$AJ$319&lt;=U$3),0),2)),"-",INDEX('NVRAM map'!$AF$3:$AG$319,MATCH(1,('NVRAM map'!$AF$3:$AF$319=$A78)*('NVRAM map'!$AI$3:$AI$319&gt;=U$3)*('NVRAM map'!$AJ$3:$AJ$319&lt;=U$3),0),2))</f>
        <v>PADC_SEL_COMP_CLK</v>
      </c>
      <c r="V78" s="87" t="str">
        <f t="array" aca="1" ref="V78" ca="1">IF(ISNA(INDEX('NVRAM map'!$AF$3:$AG$319,MATCH(1,('NVRAM map'!$AF$3:$AF$319=$A78)*('NVRAM map'!$AI$3:$AI$319&gt;=V$3)*('NVRAM map'!$AJ$3:$AJ$319&lt;=V$3),0),2)),"-",INDEX('NVRAM map'!$AF$3:$AG$319,MATCH(1,('NVRAM map'!$AF$3:$AF$319=$A78)*('NVRAM map'!$AI$3:$AI$319&gt;=V$3)*('NVRAM map'!$AJ$3:$AJ$319&lt;=V$3),0),2))</f>
        <v>PADC_DITHER</v>
      </c>
      <c r="W78" s="87" t="str">
        <f t="array" aca="1" ref="W78" ca="1">IF(ISNA(INDEX('NVRAM map'!$AF$3:$AG$319,MATCH(1,('NVRAM map'!$AF$3:$AF$319=$A78)*('NVRAM map'!$AI$3:$AI$319&gt;=W$3)*('NVRAM map'!$AJ$3:$AJ$319&lt;=W$3),0),2)),"-",INDEX('NVRAM map'!$AF$3:$AG$319,MATCH(1,('NVRAM map'!$AF$3:$AF$319=$A78)*('NVRAM map'!$AI$3:$AI$319&gt;=W$3)*('NVRAM map'!$AJ$3:$AJ$319&lt;=W$3),0),2))</f>
        <v>PADC_DITHER</v>
      </c>
      <c r="X78" s="88" t="str">
        <f ca="1">INDEX('NVRAM map'!$B$3:$B$319,MATCH(A78,'NVRAM map'!$E$3:$E$319,0))</f>
        <v>MLX</v>
      </c>
      <c r="AB78" s="44">
        <f t="shared" ca="1" si="17"/>
        <v>0</v>
      </c>
      <c r="AC78" s="12" t="b">
        <f ca="1">COUNTIF('NVRAM map'!$AD$3:$AE$319,A78)&lt;2</f>
        <v>1</v>
      </c>
      <c r="AD78" s="12">
        <f ca="1">SUMIF('NVRAM map'!$AF$3:$AF$319,A78,'NVRAM map'!$AK$3:$AK$319)</f>
        <v>65535</v>
      </c>
      <c r="AE78" s="12" t="str">
        <f t="shared" ca="1" si="18"/>
        <v>FFFF</v>
      </c>
      <c r="AF78" s="12" t="str">
        <f t="shared" ca="1" si="19"/>
        <v>11111111</v>
      </c>
      <c r="AG78" s="12" t="str">
        <f t="shared" ca="1" si="20"/>
        <v>11111111</v>
      </c>
      <c r="AH78" s="12">
        <f t="shared" ca="1" si="21"/>
        <v>16</v>
      </c>
      <c r="AI78" s="12">
        <f ca="1">SUMIF('NVRAM map'!$AF$3:$AF$319,A78,'NVRAM map'!$AH$3:$AH$319)</f>
        <v>16</v>
      </c>
      <c r="AJ78" s="12" t="b">
        <f t="shared" ca="1" si="22"/>
        <v>1</v>
      </c>
      <c r="AK78" s="12">
        <f ca="1">COUNTIF('NVRAM map'!$AF$3:$AF$319,A78)</f>
        <v>8</v>
      </c>
      <c r="AM78" s="89">
        <v>0</v>
      </c>
      <c r="AN78" s="80">
        <f t="shared" ca="1" si="27"/>
        <v>0</v>
      </c>
      <c r="AO78" s="80">
        <f t="shared" ca="1" si="27"/>
        <v>0</v>
      </c>
      <c r="AP78" s="80">
        <f t="shared" ca="1" si="27"/>
        <v>1</v>
      </c>
      <c r="AQ78" s="80">
        <f t="shared" ca="1" si="27"/>
        <v>1</v>
      </c>
      <c r="AR78" s="80">
        <f t="shared" ca="1" si="27"/>
        <v>1</v>
      </c>
      <c r="AS78" s="80">
        <f t="shared" ca="1" si="27"/>
        <v>0</v>
      </c>
      <c r="AT78" s="80">
        <f t="shared" ca="1" si="27"/>
        <v>0</v>
      </c>
      <c r="AU78" s="80">
        <f t="shared" ca="1" si="27"/>
        <v>1</v>
      </c>
      <c r="AV78" s="80">
        <f t="shared" ca="1" si="27"/>
        <v>0</v>
      </c>
      <c r="AW78" s="80">
        <f t="shared" ca="1" si="27"/>
        <v>0</v>
      </c>
      <c r="AX78" s="80">
        <f t="shared" ca="1" si="27"/>
        <v>0</v>
      </c>
      <c r="AY78" s="80">
        <f t="shared" ca="1" si="27"/>
        <v>1</v>
      </c>
      <c r="AZ78" s="80">
        <f t="shared" ca="1" si="27"/>
        <v>0</v>
      </c>
      <c r="BA78" s="80">
        <f t="shared" ca="1" si="27"/>
        <v>1</v>
      </c>
      <c r="BB78" s="81">
        <f t="shared" ca="1" si="27"/>
        <v>1</v>
      </c>
      <c r="BD78" s="12" t="str">
        <f t="shared" si="23"/>
        <v>0x1094</v>
      </c>
      <c r="BE78" s="12" t="str">
        <f t="shared" ca="1" si="24"/>
        <v>0000000000000000</v>
      </c>
      <c r="BG78" s="53" t="str">
        <f t="shared" ca="1" si="25"/>
        <v>`define EE_TRIM3 37</v>
      </c>
    </row>
    <row r="79" spans="1:59" ht="25.5">
      <c r="A79" s="82" t="s">
        <v>345</v>
      </c>
      <c r="B79" s="82">
        <v>150</v>
      </c>
      <c r="C79" s="82">
        <v>37</v>
      </c>
      <c r="D79" s="83">
        <f ca="1">SUMIF('NVRAM map'!$AF$3:$AF$319,A79,'NVRAM map'!$AN$3:$AN$319)</f>
        <v>46</v>
      </c>
      <c r="E79" s="84" t="str">
        <f t="shared" ca="1" si="16"/>
        <v>002E</v>
      </c>
      <c r="F79" s="85" t="str">
        <f t="shared" ca="1" si="26"/>
        <v>002E</v>
      </c>
      <c r="G79" s="86" t="str">
        <f ca="1">VLOOKUP(MemoryView!A79,'NVRAM map'!$AD$3:$AE$319,2,0)</f>
        <v>EE_DSP_CONF</v>
      </c>
      <c r="H79" s="87" t="str">
        <f t="array" aca="1" ref="H79" ca="1">IF(ISNA(INDEX('NVRAM map'!$AF$3:$AG$319,MATCH(1,('NVRAM map'!$AF$3:$AF$319=$A79)*('NVRAM map'!$AI$3:$AI$319&gt;=H$3)*('NVRAM map'!$AJ$3:$AJ$319&lt;=H$3),0),2)),"-",INDEX('NVRAM map'!$AF$3:$AG$319,MATCH(1,('NVRAM map'!$AF$3:$AF$319=$A79)*('NVRAM map'!$AI$3:$AI$319&gt;=H$3)*('NVRAM map'!$AJ$3:$AJ$319&lt;=H$3),0),2))</f>
        <v>VIRT_REF_TMEMS_DIAG_BASE</v>
      </c>
      <c r="I79" s="87" t="str">
        <f t="array" aca="1" ref="I79" ca="1">IF(ISNA(INDEX('NVRAM map'!$AF$3:$AG$319,MATCH(1,('NVRAM map'!$AF$3:$AF$319=$A79)*('NVRAM map'!$AI$3:$AI$319&gt;=I$3)*('NVRAM map'!$AJ$3:$AJ$319&lt;=I$3),0),2)),"-",INDEX('NVRAM map'!$AF$3:$AG$319,MATCH(1,('NVRAM map'!$AF$3:$AF$319=$A79)*('NVRAM map'!$AI$3:$AI$319&gt;=I$3)*('NVRAM map'!$AJ$3:$AJ$319&lt;=I$3),0),2))</f>
        <v>VIRT_REF_TMEMS_DIAG_BASE</v>
      </c>
      <c r="J79" s="87" t="str">
        <f t="array" aca="1" ref="J79" ca="1">IF(ISNA(INDEX('NVRAM map'!$AF$3:$AG$319,MATCH(1,('NVRAM map'!$AF$3:$AF$319=$A79)*('NVRAM map'!$AI$3:$AI$319&gt;=J$3)*('NVRAM map'!$AJ$3:$AJ$319&lt;=J$3),0),2)),"-",INDEX('NVRAM map'!$AF$3:$AG$319,MATCH(1,('NVRAM map'!$AF$3:$AF$319=$A79)*('NVRAM map'!$AI$3:$AI$319&gt;=J$3)*('NVRAM map'!$AJ$3:$AJ$319&lt;=J$3),0),2))</f>
        <v>VIRT_REF_TMEMS_DIAG_BASE</v>
      </c>
      <c r="K79" s="87" t="str">
        <f t="array" aca="1" ref="K79" ca="1">IF(ISNA(INDEX('NVRAM map'!$AF$3:$AG$319,MATCH(1,('NVRAM map'!$AF$3:$AF$319=$A79)*('NVRAM map'!$AI$3:$AI$319&gt;=K$3)*('NVRAM map'!$AJ$3:$AJ$319&lt;=K$3),0),2)),"-",INDEX('NVRAM map'!$AF$3:$AG$319,MATCH(1,('NVRAM map'!$AF$3:$AF$319=$A79)*('NVRAM map'!$AI$3:$AI$319&gt;=K$3)*('NVRAM map'!$AJ$3:$AJ$319&lt;=K$3),0),2))</f>
        <v>VIRT_REF_TMEMS_DIAG_BASE</v>
      </c>
      <c r="L79" s="87" t="str">
        <f t="array" aca="1" ref="L79" ca="1">IF(ISNA(INDEX('NVRAM map'!$AF$3:$AG$319,MATCH(1,('NVRAM map'!$AF$3:$AF$319=$A79)*('NVRAM map'!$AI$3:$AI$319&gt;=L$3)*('NVRAM map'!$AJ$3:$AJ$319&lt;=L$3),0),2)),"-",INDEX('NVRAM map'!$AF$3:$AG$319,MATCH(1,('NVRAM map'!$AF$3:$AF$319=$A79)*('NVRAM map'!$AI$3:$AI$319&gt;=L$3)*('NVRAM map'!$AJ$3:$AJ$319&lt;=L$3),0),2))</f>
        <v>VIRT_REF_TMEMS_DIAG_BASE</v>
      </c>
      <c r="M79" s="87" t="str">
        <f t="array" aca="1" ref="M79" ca="1">IF(ISNA(INDEX('NVRAM map'!$AF$3:$AG$319,MATCH(1,('NVRAM map'!$AF$3:$AF$319=$A79)*('NVRAM map'!$AI$3:$AI$319&gt;=M$3)*('NVRAM map'!$AJ$3:$AJ$319&lt;=M$3),0),2)),"-",INDEX('NVRAM map'!$AF$3:$AG$319,MATCH(1,('NVRAM map'!$AF$3:$AF$319=$A79)*('NVRAM map'!$AI$3:$AI$319&gt;=M$3)*('NVRAM map'!$AJ$3:$AJ$319&lt;=M$3),0),2))</f>
        <v>VIRT_REF_TMEMS_DIAG_BASE</v>
      </c>
      <c r="N79" s="87" t="str">
        <f t="array" aca="1" ref="N79" ca="1">IF(ISNA(INDEX('NVRAM map'!$AF$3:$AG$319,MATCH(1,('NVRAM map'!$AF$3:$AF$319=$A79)*('NVRAM map'!$AI$3:$AI$319&gt;=N$3)*('NVRAM map'!$AJ$3:$AJ$319&lt;=N$3),0),2)),"-",INDEX('NVRAM map'!$AF$3:$AG$319,MATCH(1,('NVRAM map'!$AF$3:$AF$319=$A79)*('NVRAM map'!$AI$3:$AI$319&gt;=N$3)*('NVRAM map'!$AJ$3:$AJ$319&lt;=N$3),0),2))</f>
        <v>VIRT_REF_TMEMS_DIAG_BASE</v>
      </c>
      <c r="O79" s="87" t="str">
        <f t="array" aca="1" ref="O79" ca="1">IF(ISNA(INDEX('NVRAM map'!$AF$3:$AG$319,MATCH(1,('NVRAM map'!$AF$3:$AF$319=$A79)*('NVRAM map'!$AI$3:$AI$319&gt;=O$3)*('NVRAM map'!$AJ$3:$AJ$319&lt;=O$3),0),2)),"-",INDEX('NVRAM map'!$AF$3:$AG$319,MATCH(1,('NVRAM map'!$AF$3:$AF$319=$A79)*('NVRAM map'!$AI$3:$AI$319&gt;=O$3)*('NVRAM map'!$AJ$3:$AJ$319&lt;=O$3),0),2))</f>
        <v>VIRT_REF_TMEMS_DIAG_BASE</v>
      </c>
      <c r="P79" s="87" t="str">
        <f t="array" aca="1" ref="P79" ca="1">IF(ISNA(INDEX('NVRAM map'!$AF$3:$AG$319,MATCH(1,('NVRAM map'!$AF$3:$AF$319=$A79)*('NVRAM map'!$AI$3:$AI$319&gt;=P$3)*('NVRAM map'!$AJ$3:$AJ$319&lt;=P$3),0),2)),"-",INDEX('NVRAM map'!$AF$3:$AG$319,MATCH(1,('NVRAM map'!$AF$3:$AF$319=$A79)*('NVRAM map'!$AI$3:$AI$319&gt;=P$3)*('NVRAM map'!$AJ$3:$AJ$319&lt;=P$3),0),2))</f>
        <v>VIRT_REF_TMEMS_DIAG_BASE</v>
      </c>
      <c r="Q79" s="87" t="str">
        <f t="array" aca="1" ref="Q79" ca="1">IF(ISNA(INDEX('NVRAM map'!$AF$3:$AG$319,MATCH(1,('NVRAM map'!$AF$3:$AF$319=$A79)*('NVRAM map'!$AI$3:$AI$319&gt;=Q$3)*('NVRAM map'!$AJ$3:$AJ$319&lt;=Q$3),0),2)),"-",INDEX('NVRAM map'!$AF$3:$AG$319,MATCH(1,('NVRAM map'!$AF$3:$AF$319=$A79)*('NVRAM map'!$AI$3:$AI$319&gt;=Q$3)*('NVRAM map'!$AJ$3:$AJ$319&lt;=Q$3),0),2))</f>
        <v>TMEMS_GAIN</v>
      </c>
      <c r="R79" s="87" t="str">
        <f t="array" aca="1" ref="R79" ca="1">IF(ISNA(INDEX('NVRAM map'!$AF$3:$AG$319,MATCH(1,('NVRAM map'!$AF$3:$AF$319=$A79)*('NVRAM map'!$AI$3:$AI$319&gt;=R$3)*('NVRAM map'!$AJ$3:$AJ$319&lt;=R$3),0),2)),"-",INDEX('NVRAM map'!$AF$3:$AG$319,MATCH(1,('NVRAM map'!$AF$3:$AF$319=$A79)*('NVRAM map'!$AI$3:$AI$319&gt;=R$3)*('NVRAM map'!$AJ$3:$AJ$319&lt;=R$3),0),2))</f>
        <v>TMEMS_GAIN</v>
      </c>
      <c r="S79" s="87" t="str">
        <f t="array" aca="1" ref="S79" ca="1">IF(ISNA(INDEX('NVRAM map'!$AF$3:$AG$319,MATCH(1,('NVRAM map'!$AF$3:$AF$319=$A79)*('NVRAM map'!$AI$3:$AI$319&gt;=S$3)*('NVRAM map'!$AJ$3:$AJ$319&lt;=S$3),0),2)),"-",INDEX('NVRAM map'!$AF$3:$AG$319,MATCH(1,('NVRAM map'!$AF$3:$AF$319=$A79)*('NVRAM map'!$AI$3:$AI$319&gt;=S$3)*('NVRAM map'!$AJ$3:$AJ$319&lt;=S$3),0),2))</f>
        <v>TMEMS_GAIN</v>
      </c>
      <c r="T79" s="87" t="str">
        <f t="array" aca="1" ref="T79" ca="1">IF(ISNA(INDEX('NVRAM map'!$AF$3:$AG$319,MATCH(1,('NVRAM map'!$AF$3:$AF$319=$A79)*('NVRAM map'!$AI$3:$AI$319&gt;=T$3)*('NVRAM map'!$AJ$3:$AJ$319&lt;=T$3),0),2)),"-",INDEX('NVRAM map'!$AF$3:$AG$319,MATCH(1,('NVRAM map'!$AF$3:$AF$319=$A79)*('NVRAM map'!$AI$3:$AI$319&gt;=T$3)*('NVRAM map'!$AJ$3:$AJ$319&lt;=T$3),0),2))</f>
        <v>TMEMS_SEL</v>
      </c>
      <c r="U79" s="87" t="str">
        <f t="array" aca="1" ref="U79" ca="1">IF(ISNA(INDEX('NVRAM map'!$AF$3:$AG$319,MATCH(1,('NVRAM map'!$AF$3:$AF$319=$A79)*('NVRAM map'!$AI$3:$AI$319&gt;=U$3)*('NVRAM map'!$AJ$3:$AJ$319&lt;=U$3),0),2)),"-",INDEX('NVRAM map'!$AF$3:$AG$319,MATCH(1,('NVRAM map'!$AF$3:$AF$319=$A79)*('NVRAM map'!$AI$3:$AI$319&gt;=U$3)*('NVRAM map'!$AJ$3:$AJ$319&lt;=U$3),0),2))</f>
        <v>TMEMS_SEL</v>
      </c>
      <c r="V79" s="87" t="str">
        <f t="array" aca="1" ref="V79" ca="1">IF(ISNA(INDEX('NVRAM map'!$AF$3:$AG$319,MATCH(1,('NVRAM map'!$AF$3:$AF$319=$A79)*('NVRAM map'!$AI$3:$AI$319&gt;=V$3)*('NVRAM map'!$AJ$3:$AJ$319&lt;=V$3),0),2)),"-",INDEX('NVRAM map'!$AF$3:$AG$319,MATCH(1,('NVRAM map'!$AF$3:$AF$319=$A79)*('NVRAM map'!$AI$3:$AI$319&gt;=V$3)*('NVRAM map'!$AJ$3:$AJ$319&lt;=V$3),0),2))</f>
        <v>MADC_N_BIT_SHIFT_ADD</v>
      </c>
      <c r="W79" s="87" t="str">
        <f t="array" aca="1" ref="W79" ca="1">IF(ISNA(INDEX('NVRAM map'!$AF$3:$AG$319,MATCH(1,('NVRAM map'!$AF$3:$AF$319=$A79)*('NVRAM map'!$AI$3:$AI$319&gt;=W$3)*('NVRAM map'!$AJ$3:$AJ$319&lt;=W$3),0),2)),"-",INDEX('NVRAM map'!$AF$3:$AG$319,MATCH(1,('NVRAM map'!$AF$3:$AF$319=$A79)*('NVRAM map'!$AI$3:$AI$319&gt;=W$3)*('NVRAM map'!$AJ$3:$AJ$319&lt;=W$3),0),2))</f>
        <v>MADC_N_BIT_SHIFT_ADD</v>
      </c>
      <c r="X79" s="88" t="str">
        <f ca="1">INDEX('NVRAM map'!$B$3:$B$319,MATCH(A79,'NVRAM map'!$E$3:$E$319,0))</f>
        <v>MLX</v>
      </c>
      <c r="AB79" s="44">
        <f t="shared" ca="1" si="17"/>
        <v>46</v>
      </c>
      <c r="AC79" s="12" t="b">
        <f ca="1">COUNTIF('NVRAM map'!$AD$3:$AE$319,A79)&lt;2</f>
        <v>1</v>
      </c>
      <c r="AD79" s="12">
        <f ca="1">SUMIF('NVRAM map'!$AF$3:$AF$319,A79,'NVRAM map'!$AK$3:$AK$319)</f>
        <v>65535</v>
      </c>
      <c r="AE79" s="12" t="str">
        <f t="shared" ca="1" si="18"/>
        <v>FFFF</v>
      </c>
      <c r="AF79" s="12" t="str">
        <f t="shared" ca="1" si="19"/>
        <v>11111111</v>
      </c>
      <c r="AG79" s="12" t="str">
        <f t="shared" ca="1" si="20"/>
        <v>11111111</v>
      </c>
      <c r="AH79" s="12">
        <f t="shared" ca="1" si="21"/>
        <v>16</v>
      </c>
      <c r="AI79" s="12">
        <f ca="1">SUMIF('NVRAM map'!$AF$3:$AF$319,A79,'NVRAM map'!$AH$3:$AH$319)</f>
        <v>16</v>
      </c>
      <c r="AJ79" s="12" t="b">
        <f t="shared" ca="1" si="22"/>
        <v>1</v>
      </c>
      <c r="AK79" s="12">
        <f ca="1">COUNTIF('NVRAM map'!$AF$3:$AF$319,A79)</f>
        <v>4</v>
      </c>
      <c r="AM79" s="89">
        <v>0</v>
      </c>
      <c r="AN79" s="80">
        <f t="shared" ca="1" si="27"/>
        <v>0</v>
      </c>
      <c r="AO79" s="80">
        <f t="shared" ca="1" si="27"/>
        <v>0</v>
      </c>
      <c r="AP79" s="80">
        <f t="shared" ca="1" si="27"/>
        <v>0</v>
      </c>
      <c r="AQ79" s="80">
        <f t="shared" ca="1" si="27"/>
        <v>0</v>
      </c>
      <c r="AR79" s="80">
        <f t="shared" ca="1" si="27"/>
        <v>0</v>
      </c>
      <c r="AS79" s="80">
        <f t="shared" ca="1" si="27"/>
        <v>0</v>
      </c>
      <c r="AT79" s="80">
        <f t="shared" ca="1" si="27"/>
        <v>0</v>
      </c>
      <c r="AU79" s="80">
        <f t="shared" ca="1" si="27"/>
        <v>0</v>
      </c>
      <c r="AV79" s="80">
        <f t="shared" ca="1" si="27"/>
        <v>1</v>
      </c>
      <c r="AW79" s="80">
        <f t="shared" ca="1" si="27"/>
        <v>1</v>
      </c>
      <c r="AX79" s="80">
        <f t="shared" ca="1" si="27"/>
        <v>1</v>
      </c>
      <c r="AY79" s="80">
        <f t="shared" ca="1" si="27"/>
        <v>0</v>
      </c>
      <c r="AZ79" s="80">
        <f t="shared" ca="1" si="27"/>
        <v>0</v>
      </c>
      <c r="BA79" s="80">
        <f t="shared" ca="1" si="27"/>
        <v>1</v>
      </c>
      <c r="BB79" s="81">
        <f t="shared" ca="1" si="27"/>
        <v>1</v>
      </c>
      <c r="BD79" s="12" t="str">
        <f t="shared" si="23"/>
        <v>0x1096</v>
      </c>
      <c r="BE79" s="12" t="str">
        <f t="shared" ca="1" si="24"/>
        <v>0000000000101110</v>
      </c>
      <c r="BG79" s="53" t="str">
        <f t="shared" ca="1" si="25"/>
        <v>`define EE_DSP_CONF 37</v>
      </c>
    </row>
    <row r="80" spans="1:59" ht="25.5">
      <c r="A80" s="82" t="s">
        <v>346</v>
      </c>
      <c r="B80" s="82">
        <v>152</v>
      </c>
      <c r="C80" s="82">
        <v>38</v>
      </c>
      <c r="D80" s="83">
        <f ca="1">SUMIF('NVRAM map'!$AF$3:$AF$319,A80,'NVRAM map'!$AN$3:$AN$319)</f>
        <v>23664</v>
      </c>
      <c r="E80" s="84" t="str">
        <f t="shared" ca="1" si="16"/>
        <v>5C70</v>
      </c>
      <c r="F80" s="85" t="str">
        <f t="shared" ca="1" si="26"/>
        <v>5C70</v>
      </c>
      <c r="G80" s="86" t="str">
        <f ca="1">VLOOKUP(MemoryView!A80,'NVRAM map'!$AD$3:$AE$319,2,0)</f>
        <v>EE_VIRT_REF_CONF</v>
      </c>
      <c r="H80" s="87" t="str">
        <f t="array" aca="1" ref="H80" ca="1">IF(ISNA(INDEX('NVRAM map'!$AF$3:$AG$319,MATCH(1,('NVRAM map'!$AF$3:$AF$319=$A80)*('NVRAM map'!$AI$3:$AI$319&gt;=H$3)*('NVRAM map'!$AJ$3:$AJ$319&lt;=H$3),0),2)),"-",INDEX('NVRAM map'!$AF$3:$AG$319,MATCH(1,('NVRAM map'!$AF$3:$AF$319=$A80)*('NVRAM map'!$AI$3:$AI$319&gt;=H$3)*('NVRAM map'!$AJ$3:$AJ$319&lt;=H$3),0),2))</f>
        <v>VIRT_REF_K_MEMS</v>
      </c>
      <c r="I80" s="87" t="str">
        <f t="array" aca="1" ref="I80" ca="1">IF(ISNA(INDEX('NVRAM map'!$AF$3:$AG$319,MATCH(1,('NVRAM map'!$AF$3:$AF$319=$A80)*('NVRAM map'!$AI$3:$AI$319&gt;=I$3)*('NVRAM map'!$AJ$3:$AJ$319&lt;=I$3),0),2)),"-",INDEX('NVRAM map'!$AF$3:$AG$319,MATCH(1,('NVRAM map'!$AF$3:$AF$319=$A80)*('NVRAM map'!$AI$3:$AI$319&gt;=I$3)*('NVRAM map'!$AJ$3:$AJ$319&lt;=I$3),0),2))</f>
        <v>VIRT_REF_K_MEMS</v>
      </c>
      <c r="J80" s="87" t="str">
        <f t="array" aca="1" ref="J80" ca="1">IF(ISNA(INDEX('NVRAM map'!$AF$3:$AG$319,MATCH(1,('NVRAM map'!$AF$3:$AF$319=$A80)*('NVRAM map'!$AI$3:$AI$319&gt;=J$3)*('NVRAM map'!$AJ$3:$AJ$319&lt;=J$3),0),2)),"-",INDEX('NVRAM map'!$AF$3:$AG$319,MATCH(1,('NVRAM map'!$AF$3:$AF$319=$A80)*('NVRAM map'!$AI$3:$AI$319&gt;=J$3)*('NVRAM map'!$AJ$3:$AJ$319&lt;=J$3),0),2))</f>
        <v>VIRT_REF_K_MEMS</v>
      </c>
      <c r="K80" s="87" t="str">
        <f t="array" aca="1" ref="K80" ca="1">IF(ISNA(INDEX('NVRAM map'!$AF$3:$AG$319,MATCH(1,('NVRAM map'!$AF$3:$AF$319=$A80)*('NVRAM map'!$AI$3:$AI$319&gt;=K$3)*('NVRAM map'!$AJ$3:$AJ$319&lt;=K$3),0),2)),"-",INDEX('NVRAM map'!$AF$3:$AG$319,MATCH(1,('NVRAM map'!$AF$3:$AF$319=$A80)*('NVRAM map'!$AI$3:$AI$319&gt;=K$3)*('NVRAM map'!$AJ$3:$AJ$319&lt;=K$3),0),2))</f>
        <v>VIRT_REF_K_MEMS</v>
      </c>
      <c r="L80" s="87" t="str">
        <f t="array" aca="1" ref="L80" ca="1">IF(ISNA(INDEX('NVRAM map'!$AF$3:$AG$319,MATCH(1,('NVRAM map'!$AF$3:$AF$319=$A80)*('NVRAM map'!$AI$3:$AI$319&gt;=L$3)*('NVRAM map'!$AJ$3:$AJ$319&lt;=L$3),0),2)),"-",INDEX('NVRAM map'!$AF$3:$AG$319,MATCH(1,('NVRAM map'!$AF$3:$AF$319=$A80)*('NVRAM map'!$AI$3:$AI$319&gt;=L$3)*('NVRAM map'!$AJ$3:$AJ$319&lt;=L$3),0),2))</f>
        <v>VIRT_REF_K_MEMS</v>
      </c>
      <c r="M80" s="87" t="str">
        <f t="array" aca="1" ref="M80" ca="1">IF(ISNA(INDEX('NVRAM map'!$AF$3:$AG$319,MATCH(1,('NVRAM map'!$AF$3:$AF$319=$A80)*('NVRAM map'!$AI$3:$AI$319&gt;=M$3)*('NVRAM map'!$AJ$3:$AJ$319&lt;=M$3),0),2)),"-",INDEX('NVRAM map'!$AF$3:$AG$319,MATCH(1,('NVRAM map'!$AF$3:$AF$319=$A80)*('NVRAM map'!$AI$3:$AI$319&gt;=M$3)*('NVRAM map'!$AJ$3:$AJ$319&lt;=M$3),0),2))</f>
        <v>VIRT_REF_K_MEMS</v>
      </c>
      <c r="N80" s="87" t="str">
        <f t="array" aca="1" ref="N80" ca="1">IF(ISNA(INDEX('NVRAM map'!$AF$3:$AG$319,MATCH(1,('NVRAM map'!$AF$3:$AF$319=$A80)*('NVRAM map'!$AI$3:$AI$319&gt;=N$3)*('NVRAM map'!$AJ$3:$AJ$319&lt;=N$3),0),2)),"-",INDEX('NVRAM map'!$AF$3:$AG$319,MATCH(1,('NVRAM map'!$AF$3:$AF$319=$A80)*('NVRAM map'!$AI$3:$AI$319&gt;=N$3)*('NVRAM map'!$AJ$3:$AJ$319&lt;=N$3),0),2))</f>
        <v>VIRT_REF_K_MEMS</v>
      </c>
      <c r="O80" s="87" t="str">
        <f t="array" aca="1" ref="O80" ca="1">IF(ISNA(INDEX('NVRAM map'!$AF$3:$AG$319,MATCH(1,('NVRAM map'!$AF$3:$AF$319=$A80)*('NVRAM map'!$AI$3:$AI$319&gt;=O$3)*('NVRAM map'!$AJ$3:$AJ$319&lt;=O$3),0),2)),"-",INDEX('NVRAM map'!$AF$3:$AG$319,MATCH(1,('NVRAM map'!$AF$3:$AF$319=$A80)*('NVRAM map'!$AI$3:$AI$319&gt;=O$3)*('NVRAM map'!$AJ$3:$AJ$319&lt;=O$3),0),2))</f>
        <v>VIRT_REF_K_MEMS</v>
      </c>
      <c r="P80" s="87" t="str">
        <f t="array" aca="1" ref="P80" ca="1">IF(ISNA(INDEX('NVRAM map'!$AF$3:$AG$319,MATCH(1,('NVRAM map'!$AF$3:$AF$319=$A80)*('NVRAM map'!$AI$3:$AI$319&gt;=P$3)*('NVRAM map'!$AJ$3:$AJ$319&lt;=P$3),0),2)),"-",INDEX('NVRAM map'!$AF$3:$AG$319,MATCH(1,('NVRAM map'!$AF$3:$AF$319=$A80)*('NVRAM map'!$AI$3:$AI$319&gt;=P$3)*('NVRAM map'!$AJ$3:$AJ$319&lt;=P$3),0),2))</f>
        <v>VIRT_REF_K_INT</v>
      </c>
      <c r="Q80" s="87" t="str">
        <f t="array" aca="1" ref="Q80" ca="1">IF(ISNA(INDEX('NVRAM map'!$AF$3:$AG$319,MATCH(1,('NVRAM map'!$AF$3:$AF$319=$A80)*('NVRAM map'!$AI$3:$AI$319&gt;=Q$3)*('NVRAM map'!$AJ$3:$AJ$319&lt;=Q$3),0),2)),"-",INDEX('NVRAM map'!$AF$3:$AG$319,MATCH(1,('NVRAM map'!$AF$3:$AF$319=$A80)*('NVRAM map'!$AI$3:$AI$319&gt;=Q$3)*('NVRAM map'!$AJ$3:$AJ$319&lt;=Q$3),0),2))</f>
        <v>VIRT_REF_K_INT</v>
      </c>
      <c r="R80" s="87" t="str">
        <f t="array" aca="1" ref="R80" ca="1">IF(ISNA(INDEX('NVRAM map'!$AF$3:$AG$319,MATCH(1,('NVRAM map'!$AF$3:$AF$319=$A80)*('NVRAM map'!$AI$3:$AI$319&gt;=R$3)*('NVRAM map'!$AJ$3:$AJ$319&lt;=R$3),0),2)),"-",INDEX('NVRAM map'!$AF$3:$AG$319,MATCH(1,('NVRAM map'!$AF$3:$AF$319=$A80)*('NVRAM map'!$AI$3:$AI$319&gt;=R$3)*('NVRAM map'!$AJ$3:$AJ$319&lt;=R$3),0),2))</f>
        <v>VIRT_REF_K_INT</v>
      </c>
      <c r="S80" s="87" t="str">
        <f t="array" aca="1" ref="S80" ca="1">IF(ISNA(INDEX('NVRAM map'!$AF$3:$AG$319,MATCH(1,('NVRAM map'!$AF$3:$AF$319=$A80)*('NVRAM map'!$AI$3:$AI$319&gt;=S$3)*('NVRAM map'!$AJ$3:$AJ$319&lt;=S$3),0),2)),"-",INDEX('NVRAM map'!$AF$3:$AG$319,MATCH(1,('NVRAM map'!$AF$3:$AF$319=$A80)*('NVRAM map'!$AI$3:$AI$319&gt;=S$3)*('NVRAM map'!$AJ$3:$AJ$319&lt;=S$3),0),2))</f>
        <v>VIRT_REF_K_INT</v>
      </c>
      <c r="T80" s="87" t="str">
        <f t="array" aca="1" ref="T80" ca="1">IF(ISNA(INDEX('NVRAM map'!$AF$3:$AG$319,MATCH(1,('NVRAM map'!$AF$3:$AF$319=$A80)*('NVRAM map'!$AI$3:$AI$319&gt;=T$3)*('NVRAM map'!$AJ$3:$AJ$319&lt;=T$3),0),2)),"-",INDEX('NVRAM map'!$AF$3:$AG$319,MATCH(1,('NVRAM map'!$AF$3:$AF$319=$A80)*('NVRAM map'!$AI$3:$AI$319&gt;=T$3)*('NVRAM map'!$AJ$3:$AJ$319&lt;=T$3),0),2))</f>
        <v>VIRT_REF_K_INT</v>
      </c>
      <c r="U80" s="87" t="str">
        <f t="array" aca="1" ref="U80" ca="1">IF(ISNA(INDEX('NVRAM map'!$AF$3:$AG$319,MATCH(1,('NVRAM map'!$AF$3:$AF$319=$A80)*('NVRAM map'!$AI$3:$AI$319&gt;=U$3)*('NVRAM map'!$AJ$3:$AJ$319&lt;=U$3),0),2)),"-",INDEX('NVRAM map'!$AF$3:$AG$319,MATCH(1,('NVRAM map'!$AF$3:$AF$319=$A80)*('NVRAM map'!$AI$3:$AI$319&gt;=U$3)*('NVRAM map'!$AJ$3:$AJ$319&lt;=U$3),0),2))</f>
        <v>VIRT_REF_K_INT</v>
      </c>
      <c r="V80" s="87" t="str">
        <f t="array" aca="1" ref="V80" ca="1">IF(ISNA(INDEX('NVRAM map'!$AF$3:$AG$319,MATCH(1,('NVRAM map'!$AF$3:$AF$319=$A80)*('NVRAM map'!$AI$3:$AI$319&gt;=V$3)*('NVRAM map'!$AJ$3:$AJ$319&lt;=V$3),0),2)),"-",INDEX('NVRAM map'!$AF$3:$AG$319,MATCH(1,('NVRAM map'!$AF$3:$AF$319=$A80)*('NVRAM map'!$AI$3:$AI$319&gt;=V$3)*('NVRAM map'!$AJ$3:$AJ$319&lt;=V$3),0),2))</f>
        <v>VIRT_REF_K_INT</v>
      </c>
      <c r="W80" s="87" t="str">
        <f t="array" aca="1" ref="W80" ca="1">IF(ISNA(INDEX('NVRAM map'!$AF$3:$AG$319,MATCH(1,('NVRAM map'!$AF$3:$AF$319=$A80)*('NVRAM map'!$AI$3:$AI$319&gt;=W$3)*('NVRAM map'!$AJ$3:$AJ$319&lt;=W$3),0),2)),"-",INDEX('NVRAM map'!$AF$3:$AG$319,MATCH(1,('NVRAM map'!$AF$3:$AF$319=$A80)*('NVRAM map'!$AI$3:$AI$319&gt;=W$3)*('NVRAM map'!$AJ$3:$AJ$319&lt;=W$3),0),2))</f>
        <v>VIRT_REF_K_INT</v>
      </c>
      <c r="X80" s="88" t="str">
        <f ca="1">INDEX('NVRAM map'!$B$3:$B$319,MATCH(A80,'NVRAM map'!$E$3:$E$319,0))</f>
        <v>MLX</v>
      </c>
      <c r="AB80" s="44">
        <f t="shared" ca="1" si="17"/>
        <v>204</v>
      </c>
      <c r="AC80" s="12" t="b">
        <f ca="1">COUNTIF('NVRAM map'!$AD$3:$AE$319,A80)&lt;2</f>
        <v>1</v>
      </c>
      <c r="AD80" s="12">
        <f ca="1">SUMIF('NVRAM map'!$AF$3:$AF$319,A80,'NVRAM map'!$AK$3:$AK$319)</f>
        <v>65535</v>
      </c>
      <c r="AE80" s="12" t="str">
        <f t="shared" ca="1" si="18"/>
        <v>FFFF</v>
      </c>
      <c r="AF80" s="12" t="str">
        <f t="shared" ca="1" si="19"/>
        <v>11111111</v>
      </c>
      <c r="AG80" s="12" t="str">
        <f t="shared" ca="1" si="20"/>
        <v>11111111</v>
      </c>
      <c r="AH80" s="12">
        <f t="shared" ca="1" si="21"/>
        <v>16</v>
      </c>
      <c r="AI80" s="12">
        <f ca="1">SUMIF('NVRAM map'!$AF$3:$AF$319,A80,'NVRAM map'!$AH$3:$AH$319)</f>
        <v>16</v>
      </c>
      <c r="AJ80" s="12" t="b">
        <f t="shared" ca="1" si="22"/>
        <v>1</v>
      </c>
      <c r="AK80" s="12">
        <f ca="1">COUNTIF('NVRAM map'!$AF$3:$AF$319,A80)</f>
        <v>2</v>
      </c>
      <c r="AM80" s="89">
        <v>0</v>
      </c>
      <c r="AN80" s="80">
        <f t="shared" ca="1" si="27"/>
        <v>0</v>
      </c>
      <c r="AO80" s="80">
        <f t="shared" ca="1" si="27"/>
        <v>0</v>
      </c>
      <c r="AP80" s="80">
        <f t="shared" ca="1" si="27"/>
        <v>0</v>
      </c>
      <c r="AQ80" s="80">
        <f t="shared" ca="1" si="27"/>
        <v>0</v>
      </c>
      <c r="AR80" s="80">
        <f t="shared" ca="1" si="27"/>
        <v>0</v>
      </c>
      <c r="AS80" s="80">
        <f t="shared" ca="1" si="27"/>
        <v>0</v>
      </c>
      <c r="AT80" s="80">
        <f t="shared" ca="1" si="27"/>
        <v>0</v>
      </c>
      <c r="AU80" s="80">
        <f t="shared" ca="1" si="27"/>
        <v>1</v>
      </c>
      <c r="AV80" s="80">
        <f t="shared" ca="1" si="27"/>
        <v>1</v>
      </c>
      <c r="AW80" s="80">
        <f t="shared" ca="1" si="27"/>
        <v>1</v>
      </c>
      <c r="AX80" s="80">
        <f t="shared" ca="1" si="27"/>
        <v>1</v>
      </c>
      <c r="AY80" s="80">
        <f t="shared" ca="1" si="27"/>
        <v>1</v>
      </c>
      <c r="AZ80" s="80">
        <f t="shared" ca="1" si="27"/>
        <v>1</v>
      </c>
      <c r="BA80" s="80">
        <f t="shared" ca="1" si="27"/>
        <v>1</v>
      </c>
      <c r="BB80" s="81">
        <f t="shared" ca="1" si="27"/>
        <v>1</v>
      </c>
      <c r="BD80" s="12" t="str">
        <f t="shared" si="23"/>
        <v>0x1098</v>
      </c>
      <c r="BE80" s="12" t="str">
        <f t="shared" ca="1" si="24"/>
        <v>0101110001110000</v>
      </c>
      <c r="BG80" s="53" t="str">
        <f t="shared" ca="1" si="25"/>
        <v>`define EE_VIRT_REF_CONF 38</v>
      </c>
    </row>
    <row r="81" spans="1:59" ht="25.5">
      <c r="A81" s="82" t="s">
        <v>347</v>
      </c>
      <c r="B81" s="82">
        <v>154</v>
      </c>
      <c r="C81" s="82">
        <v>38</v>
      </c>
      <c r="D81" s="83">
        <f ca="1">SUMIF('NVRAM map'!$AF$3:$AF$319,A81,'NVRAM map'!$AN$3:$AN$319)</f>
        <v>2563</v>
      </c>
      <c r="E81" s="84" t="str">
        <f t="shared" ca="1" si="16"/>
        <v>0A03</v>
      </c>
      <c r="F81" s="85" t="str">
        <f t="shared" ca="1" si="26"/>
        <v>0A03</v>
      </c>
      <c r="G81" s="86" t="str">
        <f ca="1">VLOOKUP(MemoryView!A81,'NVRAM map'!$AD$3:$AE$319,2,0)</f>
        <v>EE_AFE_DIG0</v>
      </c>
      <c r="H81" s="87" t="str">
        <f t="array" aca="1" ref="H81" ca="1">IF(ISNA(INDEX('NVRAM map'!$AF$3:$AG$319,MATCH(1,('NVRAM map'!$AF$3:$AF$319=$A81)*('NVRAM map'!$AI$3:$AI$319&gt;=H$3)*('NVRAM map'!$AJ$3:$AJ$319&lt;=H$3),0),2)),"-",INDEX('NVRAM map'!$AF$3:$AG$319,MATCH(1,('NVRAM map'!$AF$3:$AF$319=$A81)*('NVRAM map'!$AI$3:$AI$319&gt;=H$3)*('NVRAM map'!$AJ$3:$AJ$319&lt;=H$3),0),2))</f>
        <v>PADC_FIX_DEM</v>
      </c>
      <c r="I81" s="87" t="str">
        <f t="array" aca="1" ref="I81" ca="1">IF(ISNA(INDEX('NVRAM map'!$AF$3:$AG$319,MATCH(1,('NVRAM map'!$AF$3:$AF$319=$A81)*('NVRAM map'!$AI$3:$AI$319&gt;=I$3)*('NVRAM map'!$AJ$3:$AJ$319&lt;=I$3),0),2)),"-",INDEX('NVRAM map'!$AF$3:$AG$319,MATCH(1,('NVRAM map'!$AF$3:$AF$319=$A81)*('NVRAM map'!$AI$3:$AI$319&gt;=I$3)*('NVRAM map'!$AJ$3:$AJ$319&lt;=I$3),0),2))</f>
        <v>PADC_DEM_FIXED_VALUE</v>
      </c>
      <c r="J81" s="87" t="str">
        <f t="array" aca="1" ref="J81" ca="1">IF(ISNA(INDEX('NVRAM map'!$AF$3:$AG$319,MATCH(1,('NVRAM map'!$AF$3:$AF$319=$A81)*('NVRAM map'!$AI$3:$AI$319&gt;=J$3)*('NVRAM map'!$AJ$3:$AJ$319&lt;=J$3),0),2)),"-",INDEX('NVRAM map'!$AF$3:$AG$319,MATCH(1,('NVRAM map'!$AF$3:$AF$319=$A81)*('NVRAM map'!$AI$3:$AI$319&gt;=J$3)*('NVRAM map'!$AJ$3:$AJ$319&lt;=J$3),0),2))</f>
        <v>PADC_DEM_FIXED_VALUE</v>
      </c>
      <c r="K81" s="87" t="str">
        <f t="array" aca="1" ref="K81" ca="1">IF(ISNA(INDEX('NVRAM map'!$AF$3:$AG$319,MATCH(1,('NVRAM map'!$AF$3:$AF$319=$A81)*('NVRAM map'!$AI$3:$AI$319&gt;=K$3)*('NVRAM map'!$AJ$3:$AJ$319&lt;=K$3),0),2)),"-",INDEX('NVRAM map'!$AF$3:$AG$319,MATCH(1,('NVRAM map'!$AF$3:$AF$319=$A81)*('NVRAM map'!$AI$3:$AI$319&gt;=K$3)*('NVRAM map'!$AJ$3:$AJ$319&lt;=K$3),0),2))</f>
        <v>PADC_DEM_FIXED_VALUE</v>
      </c>
      <c r="L81" s="87" t="str">
        <f t="array" aca="1" ref="L81" ca="1">IF(ISNA(INDEX('NVRAM map'!$AF$3:$AG$319,MATCH(1,('NVRAM map'!$AF$3:$AF$319=$A81)*('NVRAM map'!$AI$3:$AI$319&gt;=L$3)*('NVRAM map'!$AJ$3:$AJ$319&lt;=L$3),0),2)),"-",INDEX('NVRAM map'!$AF$3:$AG$319,MATCH(1,('NVRAM map'!$AF$3:$AF$319=$A81)*('NVRAM map'!$AI$3:$AI$319&gt;=L$3)*('NVRAM map'!$AJ$3:$AJ$319&lt;=L$3),0),2))</f>
        <v>PADC_EN_CLEAR_EOC</v>
      </c>
      <c r="M81" s="87" t="str">
        <f t="array" aca="1" ref="M81" ca="1">IF(ISNA(INDEX('NVRAM map'!$AF$3:$AG$319,MATCH(1,('NVRAM map'!$AF$3:$AF$319=$A81)*('NVRAM map'!$AI$3:$AI$319&gt;=M$3)*('NVRAM map'!$AJ$3:$AJ$319&lt;=M$3),0),2)),"-",INDEX('NVRAM map'!$AF$3:$AG$319,MATCH(1,('NVRAM map'!$AF$3:$AF$319=$A81)*('NVRAM map'!$AI$3:$AI$319&gt;=M$3)*('NVRAM map'!$AJ$3:$AJ$319&lt;=M$3),0),2))</f>
        <v>PADC_N_BLIND_EOC</v>
      </c>
      <c r="N81" s="87" t="str">
        <f t="array" aca="1" ref="N81" ca="1">IF(ISNA(INDEX('NVRAM map'!$AF$3:$AG$319,MATCH(1,('NVRAM map'!$AF$3:$AF$319=$A81)*('NVRAM map'!$AI$3:$AI$319&gt;=N$3)*('NVRAM map'!$AJ$3:$AJ$319&lt;=N$3),0),2)),"-",INDEX('NVRAM map'!$AF$3:$AG$319,MATCH(1,('NVRAM map'!$AF$3:$AF$319=$A81)*('NVRAM map'!$AI$3:$AI$319&gt;=N$3)*('NVRAM map'!$AJ$3:$AJ$319&lt;=N$3),0),2))</f>
        <v>PADC_N_BLIND_EOC</v>
      </c>
      <c r="O81" s="87" t="str">
        <f t="array" aca="1" ref="O81" ca="1">IF(ISNA(INDEX('NVRAM map'!$AF$3:$AG$319,MATCH(1,('NVRAM map'!$AF$3:$AF$319=$A81)*('NVRAM map'!$AI$3:$AI$319&gt;=O$3)*('NVRAM map'!$AJ$3:$AJ$319&lt;=O$3),0),2)),"-",INDEX('NVRAM map'!$AF$3:$AG$319,MATCH(1,('NVRAM map'!$AF$3:$AF$319=$A81)*('NVRAM map'!$AI$3:$AI$319&gt;=O$3)*('NVRAM map'!$AJ$3:$AJ$319&lt;=O$3),0),2))</f>
        <v>PADC_N_BLIND_EOC</v>
      </c>
      <c r="P81" s="87" t="str">
        <f t="array" aca="1" ref="P81" ca="1">IF(ISNA(INDEX('NVRAM map'!$AF$3:$AG$319,MATCH(1,('NVRAM map'!$AF$3:$AF$319=$A81)*('NVRAM map'!$AI$3:$AI$319&gt;=P$3)*('NVRAM map'!$AJ$3:$AJ$319&lt;=P$3),0),2)),"-",INDEX('NVRAM map'!$AF$3:$AG$319,MATCH(1,('NVRAM map'!$AF$3:$AF$319=$A81)*('NVRAM map'!$AI$3:$AI$319&gt;=P$3)*('NVRAM map'!$AJ$3:$AJ$319&lt;=P$3),0),2))</f>
        <v>PADC_N_BLIND_EOC</v>
      </c>
      <c r="Q81" s="87" t="str">
        <f t="array" aca="1" ref="Q81" ca="1">IF(ISNA(INDEX('NVRAM map'!$AF$3:$AG$319,MATCH(1,('NVRAM map'!$AF$3:$AF$319=$A81)*('NVRAM map'!$AI$3:$AI$319&gt;=Q$3)*('NVRAM map'!$AJ$3:$AJ$319&lt;=Q$3),0),2)),"-",INDEX('NVRAM map'!$AF$3:$AG$319,MATCH(1,('NVRAM map'!$AF$3:$AF$319=$A81)*('NVRAM map'!$AI$3:$AI$319&gt;=Q$3)*('NVRAM map'!$AJ$3:$AJ$319&lt;=Q$3),0),2))</f>
        <v>AFE_DIG0_RESERVED</v>
      </c>
      <c r="R81" s="87" t="str">
        <f t="array" aca="1" ref="R81" ca="1">IF(ISNA(INDEX('NVRAM map'!$AF$3:$AG$319,MATCH(1,('NVRAM map'!$AF$3:$AF$319=$A81)*('NVRAM map'!$AI$3:$AI$319&gt;=R$3)*('NVRAM map'!$AJ$3:$AJ$319&lt;=R$3),0),2)),"-",INDEX('NVRAM map'!$AF$3:$AG$319,MATCH(1,('NVRAM map'!$AF$3:$AF$319=$A81)*('NVRAM map'!$AI$3:$AI$319&gt;=R$3)*('NVRAM map'!$AJ$3:$AJ$319&lt;=R$3),0),2))</f>
        <v>PADC_FORCE_CHOP_INT</v>
      </c>
      <c r="S81" s="87" t="str">
        <f t="array" aca="1" ref="S81" ca="1">IF(ISNA(INDEX('NVRAM map'!$AF$3:$AG$319,MATCH(1,('NVRAM map'!$AF$3:$AF$319=$A81)*('NVRAM map'!$AI$3:$AI$319&gt;=S$3)*('NVRAM map'!$AJ$3:$AJ$319&lt;=S$3),0),2)),"-",INDEX('NVRAM map'!$AF$3:$AG$319,MATCH(1,('NVRAM map'!$AF$3:$AF$319=$A81)*('NVRAM map'!$AI$3:$AI$319&gt;=S$3)*('NVRAM map'!$AJ$3:$AJ$319&lt;=S$3),0),2))</f>
        <v>PADC_FORCE_CHOP_INT</v>
      </c>
      <c r="T81" s="87" t="str">
        <f t="array" aca="1" ref="T81" ca="1">IF(ISNA(INDEX('NVRAM map'!$AF$3:$AG$319,MATCH(1,('NVRAM map'!$AF$3:$AF$319=$A81)*('NVRAM map'!$AI$3:$AI$319&gt;=T$3)*('NVRAM map'!$AJ$3:$AJ$319&lt;=T$3),0),2)),"-",INDEX('NVRAM map'!$AF$3:$AG$319,MATCH(1,('NVRAM map'!$AF$3:$AF$319=$A81)*('NVRAM map'!$AI$3:$AI$319&gt;=T$3)*('NVRAM map'!$AJ$3:$AJ$319&lt;=T$3),0),2))</f>
        <v>PADC_N_CHOP_INT</v>
      </c>
      <c r="U81" s="87" t="str">
        <f t="array" aca="1" ref="U81" ca="1">IF(ISNA(INDEX('NVRAM map'!$AF$3:$AG$319,MATCH(1,('NVRAM map'!$AF$3:$AF$319=$A81)*('NVRAM map'!$AI$3:$AI$319&gt;=U$3)*('NVRAM map'!$AJ$3:$AJ$319&lt;=U$3),0),2)),"-",INDEX('NVRAM map'!$AF$3:$AG$319,MATCH(1,('NVRAM map'!$AF$3:$AF$319=$A81)*('NVRAM map'!$AI$3:$AI$319&gt;=U$3)*('NVRAM map'!$AJ$3:$AJ$319&lt;=U$3),0),2))</f>
        <v>PADC_N_CHOP_INT</v>
      </c>
      <c r="V81" s="87" t="str">
        <f t="array" aca="1" ref="V81" ca="1">IF(ISNA(INDEX('NVRAM map'!$AF$3:$AG$319,MATCH(1,('NVRAM map'!$AF$3:$AF$319=$A81)*('NVRAM map'!$AI$3:$AI$319&gt;=V$3)*('NVRAM map'!$AJ$3:$AJ$319&lt;=V$3),0),2)),"-",INDEX('NVRAM map'!$AF$3:$AG$319,MATCH(1,('NVRAM map'!$AF$3:$AF$319=$A81)*('NVRAM map'!$AI$3:$AI$319&gt;=V$3)*('NVRAM map'!$AJ$3:$AJ$319&lt;=V$3),0),2))</f>
        <v>PADC_N_CHOP_INT</v>
      </c>
      <c r="W81" s="87" t="str">
        <f t="array" aca="1" ref="W81" ca="1">IF(ISNA(INDEX('NVRAM map'!$AF$3:$AG$319,MATCH(1,('NVRAM map'!$AF$3:$AF$319=$A81)*('NVRAM map'!$AI$3:$AI$319&gt;=W$3)*('NVRAM map'!$AJ$3:$AJ$319&lt;=W$3),0),2)),"-",INDEX('NVRAM map'!$AF$3:$AG$319,MATCH(1,('NVRAM map'!$AF$3:$AF$319=$A81)*('NVRAM map'!$AI$3:$AI$319&gt;=W$3)*('NVRAM map'!$AJ$3:$AJ$319&lt;=W$3),0),2))</f>
        <v>PADC_N_CHOP_INT</v>
      </c>
      <c r="X81" s="88" t="str">
        <f ca="1">INDEX('NVRAM map'!$B$3:$B$319,MATCH(A81,'NVRAM map'!$E$3:$E$319,0))</f>
        <v>MLX</v>
      </c>
      <c r="AB81" s="44">
        <f t="shared" ca="1" si="17"/>
        <v>13</v>
      </c>
      <c r="AC81" s="12" t="b">
        <f ca="1">COUNTIF('NVRAM map'!$AD$3:$AE$319,A81)&lt;2</f>
        <v>1</v>
      </c>
      <c r="AD81" s="12">
        <f ca="1">SUMIF('NVRAM map'!$AF$3:$AF$319,A81,'NVRAM map'!$AK$3:$AK$319)</f>
        <v>65535</v>
      </c>
      <c r="AE81" s="12" t="str">
        <f t="shared" ca="1" si="18"/>
        <v>FFFF</v>
      </c>
      <c r="AF81" s="12" t="str">
        <f t="shared" ca="1" si="19"/>
        <v>11111111</v>
      </c>
      <c r="AG81" s="12" t="str">
        <f t="shared" ca="1" si="20"/>
        <v>11111111</v>
      </c>
      <c r="AH81" s="12">
        <f t="shared" ca="1" si="21"/>
        <v>16</v>
      </c>
      <c r="AI81" s="12">
        <f ca="1">SUMIF('NVRAM map'!$AF$3:$AF$319,A81,'NVRAM map'!$AH$3:$AH$319)</f>
        <v>16</v>
      </c>
      <c r="AJ81" s="12" t="b">
        <f t="shared" ca="1" si="22"/>
        <v>1</v>
      </c>
      <c r="AK81" s="12">
        <f ca="1">COUNTIF('NVRAM map'!$AF$3:$AF$319,A81)</f>
        <v>7</v>
      </c>
      <c r="AM81" s="89">
        <v>0</v>
      </c>
      <c r="AN81" s="80">
        <f t="shared" ca="1" si="27"/>
        <v>1</v>
      </c>
      <c r="AO81" s="80">
        <f t="shared" ca="1" si="27"/>
        <v>1</v>
      </c>
      <c r="AP81" s="80">
        <f t="shared" ca="1" si="27"/>
        <v>1</v>
      </c>
      <c r="AQ81" s="80">
        <f t="shared" ca="1" si="27"/>
        <v>0</v>
      </c>
      <c r="AR81" s="80">
        <f t="shared" ca="1" si="27"/>
        <v>1</v>
      </c>
      <c r="AS81" s="80">
        <f t="shared" ca="1" si="27"/>
        <v>1</v>
      </c>
      <c r="AT81" s="80">
        <f t="shared" ca="1" si="27"/>
        <v>1</v>
      </c>
      <c r="AU81" s="80">
        <f t="shared" ca="1" si="27"/>
        <v>1</v>
      </c>
      <c r="AV81" s="80">
        <f t="shared" ca="1" si="27"/>
        <v>0</v>
      </c>
      <c r="AW81" s="80">
        <f t="shared" ca="1" si="27"/>
        <v>1</v>
      </c>
      <c r="AX81" s="80">
        <f t="shared" ca="1" si="27"/>
        <v>1</v>
      </c>
      <c r="AY81" s="80">
        <f t="shared" ca="1" si="27"/>
        <v>0</v>
      </c>
      <c r="AZ81" s="80">
        <f t="shared" ca="1" si="27"/>
        <v>0</v>
      </c>
      <c r="BA81" s="80">
        <f t="shared" ca="1" si="27"/>
        <v>0</v>
      </c>
      <c r="BB81" s="81">
        <f t="shared" ca="1" si="27"/>
        <v>0</v>
      </c>
      <c r="BD81" s="12" t="str">
        <f t="shared" si="23"/>
        <v>0x109A</v>
      </c>
      <c r="BE81" s="12" t="str">
        <f t="shared" ca="1" si="24"/>
        <v>0000101000000011</v>
      </c>
      <c r="BG81" s="53" t="str">
        <f t="shared" ca="1" si="25"/>
        <v>`define EE_AFE_DIG0 38</v>
      </c>
    </row>
    <row r="82" spans="1:59" ht="25.5">
      <c r="A82" s="82" t="s">
        <v>348</v>
      </c>
      <c r="B82" s="82">
        <v>156</v>
      </c>
      <c r="C82" s="82">
        <v>39</v>
      </c>
      <c r="D82" s="83">
        <f ca="1">SUMIF('NVRAM map'!$AF$3:$AF$319,A82,'NVRAM map'!$AN$3:$AN$319)</f>
        <v>6671</v>
      </c>
      <c r="E82" s="84" t="str">
        <f t="shared" ca="1" si="16"/>
        <v>1A0F</v>
      </c>
      <c r="F82" s="85" t="str">
        <f t="shared" ca="1" si="26"/>
        <v>1A0F</v>
      </c>
      <c r="G82" s="86" t="str">
        <f ca="1">VLOOKUP(MemoryView!A82,'NVRAM map'!$AD$3:$AE$319,2,0)</f>
        <v>EE_AFE_DIG1</v>
      </c>
      <c r="H82" s="87" t="str">
        <f t="array" aca="1" ref="H82" ca="1">IF(ISNA(INDEX('NVRAM map'!$AF$3:$AG$319,MATCH(1,('NVRAM map'!$AF$3:$AF$319=$A82)*('NVRAM map'!$AI$3:$AI$319&gt;=H$3)*('NVRAM map'!$AJ$3:$AJ$319&lt;=H$3),0),2)),"-",INDEX('NVRAM map'!$AF$3:$AG$319,MATCH(1,('NVRAM map'!$AF$3:$AF$319=$A82)*('NVRAM map'!$AI$3:$AI$319&gt;=H$3)*('NVRAM map'!$AJ$3:$AJ$319&lt;=H$3),0),2))</f>
        <v>PADC_N_BIT_SHIFT</v>
      </c>
      <c r="I82" s="87" t="str">
        <f t="array" aca="1" ref="I82" ca="1">IF(ISNA(INDEX('NVRAM map'!$AF$3:$AG$319,MATCH(1,('NVRAM map'!$AF$3:$AF$319=$A82)*('NVRAM map'!$AI$3:$AI$319&gt;=I$3)*('NVRAM map'!$AJ$3:$AJ$319&lt;=I$3),0),2)),"-",INDEX('NVRAM map'!$AF$3:$AG$319,MATCH(1,('NVRAM map'!$AF$3:$AF$319=$A82)*('NVRAM map'!$AI$3:$AI$319&gt;=I$3)*('NVRAM map'!$AJ$3:$AJ$319&lt;=I$3),0),2))</f>
        <v>PADC_N_BIT_SHIFT</v>
      </c>
      <c r="J82" s="87" t="str">
        <f t="array" aca="1" ref="J82" ca="1">IF(ISNA(INDEX('NVRAM map'!$AF$3:$AG$319,MATCH(1,('NVRAM map'!$AF$3:$AF$319=$A82)*('NVRAM map'!$AI$3:$AI$319&gt;=J$3)*('NVRAM map'!$AJ$3:$AJ$319&lt;=J$3),0),2)),"-",INDEX('NVRAM map'!$AF$3:$AG$319,MATCH(1,('NVRAM map'!$AF$3:$AF$319=$A82)*('NVRAM map'!$AI$3:$AI$319&gt;=J$3)*('NVRAM map'!$AJ$3:$AJ$319&lt;=J$3),0),2))</f>
        <v>PADC_FORCE_CHOP_EXT</v>
      </c>
      <c r="K82" s="87" t="str">
        <f t="array" aca="1" ref="K82" ca="1">IF(ISNA(INDEX('NVRAM map'!$AF$3:$AG$319,MATCH(1,('NVRAM map'!$AF$3:$AF$319=$A82)*('NVRAM map'!$AI$3:$AI$319&gt;=K$3)*('NVRAM map'!$AJ$3:$AJ$319&lt;=K$3),0),2)),"-",INDEX('NVRAM map'!$AF$3:$AG$319,MATCH(1,('NVRAM map'!$AF$3:$AF$319=$A82)*('NVRAM map'!$AI$3:$AI$319&gt;=K$3)*('NVRAM map'!$AJ$3:$AJ$319&lt;=K$3),0),2))</f>
        <v>PADC_FORCE_CHOP_EXT</v>
      </c>
      <c r="L82" s="87" t="str">
        <f t="array" aca="1" ref="L82" ca="1">IF(ISNA(INDEX('NVRAM map'!$AF$3:$AG$319,MATCH(1,('NVRAM map'!$AF$3:$AF$319=$A82)*('NVRAM map'!$AI$3:$AI$319&gt;=L$3)*('NVRAM map'!$AJ$3:$AJ$319&lt;=L$3),0),2)),"-",INDEX('NVRAM map'!$AF$3:$AG$319,MATCH(1,('NVRAM map'!$AF$3:$AF$319=$A82)*('NVRAM map'!$AI$3:$AI$319&gt;=L$3)*('NVRAM map'!$AJ$3:$AJ$319&lt;=L$3),0),2))</f>
        <v>MADC_EN_CLEAR_EOC</v>
      </c>
      <c r="M82" s="87" t="str">
        <f t="array" aca="1" ref="M82" ca="1">IF(ISNA(INDEX('NVRAM map'!$AF$3:$AG$319,MATCH(1,('NVRAM map'!$AF$3:$AF$319=$A82)*('NVRAM map'!$AI$3:$AI$319&gt;=M$3)*('NVRAM map'!$AJ$3:$AJ$319&lt;=M$3),0),2)),"-",INDEX('NVRAM map'!$AF$3:$AG$319,MATCH(1,('NVRAM map'!$AF$3:$AF$319=$A82)*('NVRAM map'!$AI$3:$AI$319&gt;=M$3)*('NVRAM map'!$AJ$3:$AJ$319&lt;=M$3),0),2))</f>
        <v>MADC_N_BLIND_EOC</v>
      </c>
      <c r="N82" s="87" t="str">
        <f t="array" aca="1" ref="N82" ca="1">IF(ISNA(INDEX('NVRAM map'!$AF$3:$AG$319,MATCH(1,('NVRAM map'!$AF$3:$AF$319=$A82)*('NVRAM map'!$AI$3:$AI$319&gt;=N$3)*('NVRAM map'!$AJ$3:$AJ$319&lt;=N$3),0),2)),"-",INDEX('NVRAM map'!$AF$3:$AG$319,MATCH(1,('NVRAM map'!$AF$3:$AF$319=$A82)*('NVRAM map'!$AI$3:$AI$319&gt;=N$3)*('NVRAM map'!$AJ$3:$AJ$319&lt;=N$3),0),2))</f>
        <v>MADC_N_BLIND_EOC</v>
      </c>
      <c r="O82" s="87" t="str">
        <f t="array" aca="1" ref="O82" ca="1">IF(ISNA(INDEX('NVRAM map'!$AF$3:$AG$319,MATCH(1,('NVRAM map'!$AF$3:$AF$319=$A82)*('NVRAM map'!$AI$3:$AI$319&gt;=O$3)*('NVRAM map'!$AJ$3:$AJ$319&lt;=O$3),0),2)),"-",INDEX('NVRAM map'!$AF$3:$AG$319,MATCH(1,('NVRAM map'!$AF$3:$AF$319=$A82)*('NVRAM map'!$AI$3:$AI$319&gt;=O$3)*('NVRAM map'!$AJ$3:$AJ$319&lt;=O$3),0),2))</f>
        <v>MADC_N_BLIND_EOC</v>
      </c>
      <c r="P82" s="87" t="str">
        <f t="array" aca="1" ref="P82" ca="1">IF(ISNA(INDEX('NVRAM map'!$AF$3:$AG$319,MATCH(1,('NVRAM map'!$AF$3:$AF$319=$A82)*('NVRAM map'!$AI$3:$AI$319&gt;=P$3)*('NVRAM map'!$AJ$3:$AJ$319&lt;=P$3),0),2)),"-",INDEX('NVRAM map'!$AF$3:$AG$319,MATCH(1,('NVRAM map'!$AF$3:$AF$319=$A82)*('NVRAM map'!$AI$3:$AI$319&gt;=P$3)*('NVRAM map'!$AJ$3:$AJ$319&lt;=P$3),0),2))</f>
        <v>MADC_N_BLIND_EOC</v>
      </c>
      <c r="Q82" s="87" t="str">
        <f t="array" aca="1" ref="Q82" ca="1">IF(ISNA(INDEX('NVRAM map'!$AF$3:$AG$319,MATCH(1,('NVRAM map'!$AF$3:$AF$319=$A82)*('NVRAM map'!$AI$3:$AI$319&gt;=Q$3)*('NVRAM map'!$AJ$3:$AJ$319&lt;=Q$3),0),2)),"-",INDEX('NVRAM map'!$AF$3:$AG$319,MATCH(1,('NVRAM map'!$AF$3:$AF$319=$A82)*('NVRAM map'!$AI$3:$AI$319&gt;=Q$3)*('NVRAM map'!$AJ$3:$AJ$319&lt;=Q$3),0),2))</f>
        <v>AFE_DIG1_RESERVED0</v>
      </c>
      <c r="R82" s="87" t="str">
        <f t="array" aca="1" ref="R82" ca="1">IF(ISNA(INDEX('NVRAM map'!$AF$3:$AG$319,MATCH(1,('NVRAM map'!$AF$3:$AF$319=$A82)*('NVRAM map'!$AI$3:$AI$319&gt;=R$3)*('NVRAM map'!$AJ$3:$AJ$319&lt;=R$3),0),2)),"-",INDEX('NVRAM map'!$AF$3:$AG$319,MATCH(1,('NVRAM map'!$AF$3:$AF$319=$A82)*('NVRAM map'!$AI$3:$AI$319&gt;=R$3)*('NVRAM map'!$AJ$3:$AJ$319&lt;=R$3),0),2))</f>
        <v>MADC_FORCE_CHOP_INT</v>
      </c>
      <c r="S82" s="87" t="str">
        <f t="array" aca="1" ref="S82" ca="1">IF(ISNA(INDEX('NVRAM map'!$AF$3:$AG$319,MATCH(1,('NVRAM map'!$AF$3:$AF$319=$A82)*('NVRAM map'!$AI$3:$AI$319&gt;=S$3)*('NVRAM map'!$AJ$3:$AJ$319&lt;=S$3),0),2)),"-",INDEX('NVRAM map'!$AF$3:$AG$319,MATCH(1,('NVRAM map'!$AF$3:$AF$319=$A82)*('NVRAM map'!$AI$3:$AI$319&gt;=S$3)*('NVRAM map'!$AJ$3:$AJ$319&lt;=S$3),0),2))</f>
        <v>MADC_FORCE_CHOP_INT</v>
      </c>
      <c r="T82" s="87" t="str">
        <f t="array" aca="1" ref="T82" ca="1">IF(ISNA(INDEX('NVRAM map'!$AF$3:$AG$319,MATCH(1,('NVRAM map'!$AF$3:$AF$319=$A82)*('NVRAM map'!$AI$3:$AI$319&gt;=T$3)*('NVRAM map'!$AJ$3:$AJ$319&lt;=T$3),0),2)),"-",INDEX('NVRAM map'!$AF$3:$AG$319,MATCH(1,('NVRAM map'!$AF$3:$AF$319=$A82)*('NVRAM map'!$AI$3:$AI$319&gt;=T$3)*('NVRAM map'!$AJ$3:$AJ$319&lt;=T$3),0),2))</f>
        <v>MADC_N_CHOP_INT</v>
      </c>
      <c r="U82" s="87" t="str">
        <f t="array" aca="1" ref="U82" ca="1">IF(ISNA(INDEX('NVRAM map'!$AF$3:$AG$319,MATCH(1,('NVRAM map'!$AF$3:$AF$319=$A82)*('NVRAM map'!$AI$3:$AI$319&gt;=U$3)*('NVRAM map'!$AJ$3:$AJ$319&lt;=U$3),0),2)),"-",INDEX('NVRAM map'!$AF$3:$AG$319,MATCH(1,('NVRAM map'!$AF$3:$AF$319=$A82)*('NVRAM map'!$AI$3:$AI$319&gt;=U$3)*('NVRAM map'!$AJ$3:$AJ$319&lt;=U$3),0),2))</f>
        <v>MADC_N_CHOP_INT</v>
      </c>
      <c r="V82" s="87" t="str">
        <f t="array" aca="1" ref="V82" ca="1">IF(ISNA(INDEX('NVRAM map'!$AF$3:$AG$319,MATCH(1,('NVRAM map'!$AF$3:$AF$319=$A82)*('NVRAM map'!$AI$3:$AI$319&gt;=V$3)*('NVRAM map'!$AJ$3:$AJ$319&lt;=V$3),0),2)),"-",INDEX('NVRAM map'!$AF$3:$AG$319,MATCH(1,('NVRAM map'!$AF$3:$AF$319=$A82)*('NVRAM map'!$AI$3:$AI$319&gt;=V$3)*('NVRAM map'!$AJ$3:$AJ$319&lt;=V$3),0),2))</f>
        <v>MADC_N_CHOP_INT</v>
      </c>
      <c r="W82" s="87" t="str">
        <f t="array" aca="1" ref="W82" ca="1">IF(ISNA(INDEX('NVRAM map'!$AF$3:$AG$319,MATCH(1,('NVRAM map'!$AF$3:$AF$319=$A82)*('NVRAM map'!$AI$3:$AI$319&gt;=W$3)*('NVRAM map'!$AJ$3:$AJ$319&lt;=W$3),0),2)),"-",INDEX('NVRAM map'!$AF$3:$AG$319,MATCH(1,('NVRAM map'!$AF$3:$AF$319=$A82)*('NVRAM map'!$AI$3:$AI$319&gt;=W$3)*('NVRAM map'!$AJ$3:$AJ$319&lt;=W$3),0),2))</f>
        <v>MADC_N_CHOP_INT</v>
      </c>
      <c r="X82" s="88" t="str">
        <f ca="1">INDEX('NVRAM map'!$B$3:$B$319,MATCH(A82,'NVRAM map'!$E$3:$E$319,0))</f>
        <v>MLX</v>
      </c>
      <c r="AB82" s="44">
        <f t="shared" ca="1" si="17"/>
        <v>41</v>
      </c>
      <c r="AC82" s="12" t="b">
        <f ca="1">COUNTIF('NVRAM map'!$AD$3:$AE$319,A82)&lt;2</f>
        <v>1</v>
      </c>
      <c r="AD82" s="12">
        <f ca="1">SUMIF('NVRAM map'!$AF$3:$AF$319,A82,'NVRAM map'!$AK$3:$AK$319)</f>
        <v>65535</v>
      </c>
      <c r="AE82" s="12" t="str">
        <f t="shared" ca="1" si="18"/>
        <v>FFFF</v>
      </c>
      <c r="AF82" s="12" t="str">
        <f t="shared" ca="1" si="19"/>
        <v>11111111</v>
      </c>
      <c r="AG82" s="12" t="str">
        <f t="shared" ca="1" si="20"/>
        <v>11111111</v>
      </c>
      <c r="AH82" s="12">
        <f t="shared" ca="1" si="21"/>
        <v>16</v>
      </c>
      <c r="AI82" s="12">
        <f ca="1">SUMIF('NVRAM map'!$AF$3:$AF$319,A82,'NVRAM map'!$AH$3:$AH$319)</f>
        <v>16</v>
      </c>
      <c r="AJ82" s="12" t="b">
        <f t="shared" ca="1" si="22"/>
        <v>1</v>
      </c>
      <c r="AK82" s="12">
        <f ca="1">COUNTIF('NVRAM map'!$AF$3:$AF$319,A82)</f>
        <v>7</v>
      </c>
      <c r="AM82" s="89">
        <v>0</v>
      </c>
      <c r="AN82" s="80">
        <f t="shared" ca="1" si="27"/>
        <v>0</v>
      </c>
      <c r="AO82" s="80">
        <f t="shared" ca="1" si="27"/>
        <v>1</v>
      </c>
      <c r="AP82" s="80">
        <f t="shared" ca="1" si="27"/>
        <v>1</v>
      </c>
      <c r="AQ82" s="80">
        <f t="shared" ca="1" si="27"/>
        <v>0</v>
      </c>
      <c r="AR82" s="80">
        <f t="shared" ca="1" si="27"/>
        <v>1</v>
      </c>
      <c r="AS82" s="80">
        <f t="shared" ca="1" si="27"/>
        <v>1</v>
      </c>
      <c r="AT82" s="80">
        <f t="shared" ca="1" si="27"/>
        <v>1</v>
      </c>
      <c r="AU82" s="80">
        <f t="shared" ca="1" si="27"/>
        <v>1</v>
      </c>
      <c r="AV82" s="80">
        <f t="shared" ca="1" si="27"/>
        <v>0</v>
      </c>
      <c r="AW82" s="80">
        <f t="shared" ca="1" si="27"/>
        <v>1</v>
      </c>
      <c r="AX82" s="80">
        <f t="shared" ca="1" si="27"/>
        <v>1</v>
      </c>
      <c r="AY82" s="80">
        <f t="shared" ca="1" si="27"/>
        <v>0</v>
      </c>
      <c r="AZ82" s="80">
        <f t="shared" ca="1" si="27"/>
        <v>0</v>
      </c>
      <c r="BA82" s="80">
        <f t="shared" ca="1" si="27"/>
        <v>0</v>
      </c>
      <c r="BB82" s="81">
        <f t="shared" ca="1" si="27"/>
        <v>0</v>
      </c>
      <c r="BD82" s="12" t="str">
        <f t="shared" si="23"/>
        <v>0x109C</v>
      </c>
      <c r="BE82" s="12" t="str">
        <f t="shared" ca="1" si="24"/>
        <v>0001101000001111</v>
      </c>
      <c r="BG82" s="53" t="str">
        <f t="shared" ca="1" si="25"/>
        <v>`define EE_AFE_DIG1 39</v>
      </c>
    </row>
    <row r="83" spans="1:59">
      <c r="A83" s="82" t="s">
        <v>349</v>
      </c>
      <c r="B83" s="82">
        <v>158</v>
      </c>
      <c r="C83" s="82">
        <v>39</v>
      </c>
      <c r="D83" s="83">
        <f ca="1">SUMIF('NVRAM map'!$AF$3:$AF$319,A83,'NVRAM map'!$AN$3:$AN$319)</f>
        <v>16365</v>
      </c>
      <c r="E83" s="84" t="str">
        <f t="shared" ca="1" si="16"/>
        <v>3FED</v>
      </c>
      <c r="F83" s="85" t="str">
        <f t="shared" ca="1" si="26"/>
        <v>3FED</v>
      </c>
      <c r="G83" s="86" t="str">
        <f ca="1">VLOOKUP(MemoryView!A83,'NVRAM map'!$AD$3:$AE$319,2,0)</f>
        <v>EE_MM0_HR</v>
      </c>
      <c r="H83" s="87" t="str">
        <f t="array" aca="1" ref="H83" ca="1">IF(ISNA(INDEX('NVRAM map'!$AF$3:$AG$319,MATCH(1,('NVRAM map'!$AF$3:$AF$319=$A83)*('NVRAM map'!$AI$3:$AI$319&gt;=H$3)*('NVRAM map'!$AJ$3:$AJ$319&lt;=H$3),0),2)),"-",INDEX('NVRAM map'!$AF$3:$AG$319,MATCH(1,('NVRAM map'!$AF$3:$AF$319=$A83)*('NVRAM map'!$AI$3:$AI$319&gt;=H$3)*('NVRAM map'!$AJ$3:$AJ$319&lt;=H$3),0),2))</f>
        <v>MM0_HR</v>
      </c>
      <c r="I83" s="87" t="str">
        <f t="array" aca="1" ref="I83" ca="1">IF(ISNA(INDEX('NVRAM map'!$AF$3:$AG$319,MATCH(1,('NVRAM map'!$AF$3:$AF$319=$A83)*('NVRAM map'!$AI$3:$AI$319&gt;=I$3)*('NVRAM map'!$AJ$3:$AJ$319&lt;=I$3),0),2)),"-",INDEX('NVRAM map'!$AF$3:$AG$319,MATCH(1,('NVRAM map'!$AF$3:$AF$319=$A83)*('NVRAM map'!$AI$3:$AI$319&gt;=I$3)*('NVRAM map'!$AJ$3:$AJ$319&lt;=I$3),0),2))</f>
        <v>MM0_HR</v>
      </c>
      <c r="J83" s="87" t="str">
        <f t="array" aca="1" ref="J83" ca="1">IF(ISNA(INDEX('NVRAM map'!$AF$3:$AG$319,MATCH(1,('NVRAM map'!$AF$3:$AF$319=$A83)*('NVRAM map'!$AI$3:$AI$319&gt;=J$3)*('NVRAM map'!$AJ$3:$AJ$319&lt;=J$3),0),2)),"-",INDEX('NVRAM map'!$AF$3:$AG$319,MATCH(1,('NVRAM map'!$AF$3:$AF$319=$A83)*('NVRAM map'!$AI$3:$AI$319&gt;=J$3)*('NVRAM map'!$AJ$3:$AJ$319&lt;=J$3),0),2))</f>
        <v>MM0_HR</v>
      </c>
      <c r="K83" s="87" t="str">
        <f t="array" aca="1" ref="K83" ca="1">IF(ISNA(INDEX('NVRAM map'!$AF$3:$AG$319,MATCH(1,('NVRAM map'!$AF$3:$AF$319=$A83)*('NVRAM map'!$AI$3:$AI$319&gt;=K$3)*('NVRAM map'!$AJ$3:$AJ$319&lt;=K$3),0),2)),"-",INDEX('NVRAM map'!$AF$3:$AG$319,MATCH(1,('NVRAM map'!$AF$3:$AF$319=$A83)*('NVRAM map'!$AI$3:$AI$319&gt;=K$3)*('NVRAM map'!$AJ$3:$AJ$319&lt;=K$3),0),2))</f>
        <v>MM0_HR</v>
      </c>
      <c r="L83" s="87" t="str">
        <f t="array" aca="1" ref="L83" ca="1">IF(ISNA(INDEX('NVRAM map'!$AF$3:$AG$319,MATCH(1,('NVRAM map'!$AF$3:$AF$319=$A83)*('NVRAM map'!$AI$3:$AI$319&gt;=L$3)*('NVRAM map'!$AJ$3:$AJ$319&lt;=L$3),0),2)),"-",INDEX('NVRAM map'!$AF$3:$AG$319,MATCH(1,('NVRAM map'!$AF$3:$AF$319=$A83)*('NVRAM map'!$AI$3:$AI$319&gt;=L$3)*('NVRAM map'!$AJ$3:$AJ$319&lt;=L$3),0),2))</f>
        <v>MM0_HR</v>
      </c>
      <c r="M83" s="87" t="str">
        <f t="array" aca="1" ref="M83" ca="1">IF(ISNA(INDEX('NVRAM map'!$AF$3:$AG$319,MATCH(1,('NVRAM map'!$AF$3:$AF$319=$A83)*('NVRAM map'!$AI$3:$AI$319&gt;=M$3)*('NVRAM map'!$AJ$3:$AJ$319&lt;=M$3),0),2)),"-",INDEX('NVRAM map'!$AF$3:$AG$319,MATCH(1,('NVRAM map'!$AF$3:$AF$319=$A83)*('NVRAM map'!$AI$3:$AI$319&gt;=M$3)*('NVRAM map'!$AJ$3:$AJ$319&lt;=M$3),0),2))</f>
        <v>MM0_HR</v>
      </c>
      <c r="N83" s="87" t="str">
        <f t="array" aca="1" ref="N83" ca="1">IF(ISNA(INDEX('NVRAM map'!$AF$3:$AG$319,MATCH(1,('NVRAM map'!$AF$3:$AF$319=$A83)*('NVRAM map'!$AI$3:$AI$319&gt;=N$3)*('NVRAM map'!$AJ$3:$AJ$319&lt;=N$3),0),2)),"-",INDEX('NVRAM map'!$AF$3:$AG$319,MATCH(1,('NVRAM map'!$AF$3:$AF$319=$A83)*('NVRAM map'!$AI$3:$AI$319&gt;=N$3)*('NVRAM map'!$AJ$3:$AJ$319&lt;=N$3),0),2))</f>
        <v>MM0_HR</v>
      </c>
      <c r="O83" s="87" t="str">
        <f t="array" aca="1" ref="O83" ca="1">IF(ISNA(INDEX('NVRAM map'!$AF$3:$AG$319,MATCH(1,('NVRAM map'!$AF$3:$AF$319=$A83)*('NVRAM map'!$AI$3:$AI$319&gt;=O$3)*('NVRAM map'!$AJ$3:$AJ$319&lt;=O$3),0),2)),"-",INDEX('NVRAM map'!$AF$3:$AG$319,MATCH(1,('NVRAM map'!$AF$3:$AF$319=$A83)*('NVRAM map'!$AI$3:$AI$319&gt;=O$3)*('NVRAM map'!$AJ$3:$AJ$319&lt;=O$3),0),2))</f>
        <v>MM0_HR</v>
      </c>
      <c r="P83" s="87" t="str">
        <f t="array" aca="1" ref="P83" ca="1">IF(ISNA(INDEX('NVRAM map'!$AF$3:$AG$319,MATCH(1,('NVRAM map'!$AF$3:$AF$319=$A83)*('NVRAM map'!$AI$3:$AI$319&gt;=P$3)*('NVRAM map'!$AJ$3:$AJ$319&lt;=P$3),0),2)),"-",INDEX('NVRAM map'!$AF$3:$AG$319,MATCH(1,('NVRAM map'!$AF$3:$AF$319=$A83)*('NVRAM map'!$AI$3:$AI$319&gt;=P$3)*('NVRAM map'!$AJ$3:$AJ$319&lt;=P$3),0),2))</f>
        <v>MM0_HR</v>
      </c>
      <c r="Q83" s="87" t="str">
        <f t="array" aca="1" ref="Q83" ca="1">IF(ISNA(INDEX('NVRAM map'!$AF$3:$AG$319,MATCH(1,('NVRAM map'!$AF$3:$AF$319=$A83)*('NVRAM map'!$AI$3:$AI$319&gt;=Q$3)*('NVRAM map'!$AJ$3:$AJ$319&lt;=Q$3),0),2)),"-",INDEX('NVRAM map'!$AF$3:$AG$319,MATCH(1,('NVRAM map'!$AF$3:$AF$319=$A83)*('NVRAM map'!$AI$3:$AI$319&gt;=Q$3)*('NVRAM map'!$AJ$3:$AJ$319&lt;=Q$3),0),2))</f>
        <v>MM0_HR</v>
      </c>
      <c r="R83" s="87" t="str">
        <f t="array" aca="1" ref="R83" ca="1">IF(ISNA(INDEX('NVRAM map'!$AF$3:$AG$319,MATCH(1,('NVRAM map'!$AF$3:$AF$319=$A83)*('NVRAM map'!$AI$3:$AI$319&gt;=R$3)*('NVRAM map'!$AJ$3:$AJ$319&lt;=R$3),0),2)),"-",INDEX('NVRAM map'!$AF$3:$AG$319,MATCH(1,('NVRAM map'!$AF$3:$AF$319=$A83)*('NVRAM map'!$AI$3:$AI$319&gt;=R$3)*('NVRAM map'!$AJ$3:$AJ$319&lt;=R$3),0),2))</f>
        <v>MM0_HR</v>
      </c>
      <c r="S83" s="87" t="str">
        <f t="array" aca="1" ref="S83" ca="1">IF(ISNA(INDEX('NVRAM map'!$AF$3:$AG$319,MATCH(1,('NVRAM map'!$AF$3:$AF$319=$A83)*('NVRAM map'!$AI$3:$AI$319&gt;=S$3)*('NVRAM map'!$AJ$3:$AJ$319&lt;=S$3),0),2)),"-",INDEX('NVRAM map'!$AF$3:$AG$319,MATCH(1,('NVRAM map'!$AF$3:$AF$319=$A83)*('NVRAM map'!$AI$3:$AI$319&gt;=S$3)*('NVRAM map'!$AJ$3:$AJ$319&lt;=S$3),0),2))</f>
        <v>MM0_HR</v>
      </c>
      <c r="T83" s="87" t="str">
        <f t="array" aca="1" ref="T83" ca="1">IF(ISNA(INDEX('NVRAM map'!$AF$3:$AG$319,MATCH(1,('NVRAM map'!$AF$3:$AF$319=$A83)*('NVRAM map'!$AI$3:$AI$319&gt;=T$3)*('NVRAM map'!$AJ$3:$AJ$319&lt;=T$3),0),2)),"-",INDEX('NVRAM map'!$AF$3:$AG$319,MATCH(1,('NVRAM map'!$AF$3:$AF$319=$A83)*('NVRAM map'!$AI$3:$AI$319&gt;=T$3)*('NVRAM map'!$AJ$3:$AJ$319&lt;=T$3),0),2))</f>
        <v>MM0_HR</v>
      </c>
      <c r="U83" s="87" t="str">
        <f t="array" aca="1" ref="U83" ca="1">IF(ISNA(INDEX('NVRAM map'!$AF$3:$AG$319,MATCH(1,('NVRAM map'!$AF$3:$AF$319=$A83)*('NVRAM map'!$AI$3:$AI$319&gt;=U$3)*('NVRAM map'!$AJ$3:$AJ$319&lt;=U$3),0),2)),"-",INDEX('NVRAM map'!$AF$3:$AG$319,MATCH(1,('NVRAM map'!$AF$3:$AF$319=$A83)*('NVRAM map'!$AI$3:$AI$319&gt;=U$3)*('NVRAM map'!$AJ$3:$AJ$319&lt;=U$3),0),2))</f>
        <v>MM0_HR</v>
      </c>
      <c r="V83" s="87" t="str">
        <f t="array" aca="1" ref="V83" ca="1">IF(ISNA(INDEX('NVRAM map'!$AF$3:$AG$319,MATCH(1,('NVRAM map'!$AF$3:$AF$319=$A83)*('NVRAM map'!$AI$3:$AI$319&gt;=V$3)*('NVRAM map'!$AJ$3:$AJ$319&lt;=V$3),0),2)),"-",INDEX('NVRAM map'!$AF$3:$AG$319,MATCH(1,('NVRAM map'!$AF$3:$AF$319=$A83)*('NVRAM map'!$AI$3:$AI$319&gt;=V$3)*('NVRAM map'!$AJ$3:$AJ$319&lt;=V$3),0),2))</f>
        <v>MM0_HR</v>
      </c>
      <c r="W83" s="87" t="str">
        <f t="array" aca="1" ref="W83" ca="1">IF(ISNA(INDEX('NVRAM map'!$AF$3:$AG$319,MATCH(1,('NVRAM map'!$AF$3:$AF$319=$A83)*('NVRAM map'!$AI$3:$AI$319&gt;=W$3)*('NVRAM map'!$AJ$3:$AJ$319&lt;=W$3),0),2)),"-",INDEX('NVRAM map'!$AF$3:$AG$319,MATCH(1,('NVRAM map'!$AF$3:$AF$319=$A83)*('NVRAM map'!$AI$3:$AI$319&gt;=W$3)*('NVRAM map'!$AJ$3:$AJ$319&lt;=W$3),0),2))</f>
        <v>MM0_HR</v>
      </c>
      <c r="X83" s="88" t="str">
        <f ca="1">INDEX('NVRAM map'!$B$3:$B$319,MATCH(A83,'NVRAM map'!$E$3:$E$319,0))</f>
        <v>MLX</v>
      </c>
      <c r="AB83" s="44">
        <f t="shared" ca="1" si="17"/>
        <v>300</v>
      </c>
      <c r="AC83" s="12" t="b">
        <f ca="1">COUNTIF('NVRAM map'!$AD$3:$AE$319,A83)&lt;2</f>
        <v>1</v>
      </c>
      <c r="AD83" s="12">
        <f ca="1">SUMIF('NVRAM map'!$AF$3:$AF$319,A83,'NVRAM map'!$AK$3:$AK$319)</f>
        <v>65535</v>
      </c>
      <c r="AE83" s="12" t="str">
        <f t="shared" ca="1" si="18"/>
        <v>FFFF</v>
      </c>
      <c r="AF83" s="12" t="str">
        <f t="shared" ca="1" si="19"/>
        <v>11111111</v>
      </c>
      <c r="AG83" s="12" t="str">
        <f t="shared" ca="1" si="20"/>
        <v>11111111</v>
      </c>
      <c r="AH83" s="12">
        <f t="shared" ca="1" si="21"/>
        <v>16</v>
      </c>
      <c r="AI83" s="12">
        <f ca="1">SUMIF('NVRAM map'!$AF$3:$AF$319,A83,'NVRAM map'!$AH$3:$AH$319)</f>
        <v>16</v>
      </c>
      <c r="AJ83" s="12" t="b">
        <f t="shared" ca="1" si="22"/>
        <v>1</v>
      </c>
      <c r="AK83" s="12">
        <f ca="1">COUNTIF('NVRAM map'!$AF$3:$AF$319,A83)</f>
        <v>1</v>
      </c>
      <c r="AM83" s="89">
        <v>0</v>
      </c>
      <c r="AN83" s="80">
        <f t="shared" ca="1" si="27"/>
        <v>0</v>
      </c>
      <c r="AO83" s="80">
        <f t="shared" ca="1" si="27"/>
        <v>0</v>
      </c>
      <c r="AP83" s="80">
        <f t="shared" ca="1" si="27"/>
        <v>0</v>
      </c>
      <c r="AQ83" s="80">
        <f t="shared" ca="1" si="27"/>
        <v>0</v>
      </c>
      <c r="AR83" s="80">
        <f t="shared" ca="1" si="27"/>
        <v>0</v>
      </c>
      <c r="AS83" s="80">
        <f t="shared" ca="1" si="27"/>
        <v>0</v>
      </c>
      <c r="AT83" s="80">
        <f t="shared" ca="1" si="27"/>
        <v>0</v>
      </c>
      <c r="AU83" s="80">
        <f t="shared" ca="1" si="27"/>
        <v>0</v>
      </c>
      <c r="AV83" s="80">
        <f t="shared" ca="1" si="27"/>
        <v>0</v>
      </c>
      <c r="AW83" s="80">
        <f t="shared" ca="1" si="27"/>
        <v>0</v>
      </c>
      <c r="AX83" s="80">
        <f t="shared" ca="1" si="27"/>
        <v>0</v>
      </c>
      <c r="AY83" s="80">
        <f t="shared" ca="1" si="27"/>
        <v>0</v>
      </c>
      <c r="AZ83" s="80">
        <f t="shared" ca="1" si="27"/>
        <v>0</v>
      </c>
      <c r="BA83" s="80">
        <f t="shared" ca="1" si="27"/>
        <v>0</v>
      </c>
      <c r="BB83" s="81">
        <f t="shared" ca="1" si="27"/>
        <v>0</v>
      </c>
      <c r="BD83" s="12" t="str">
        <f t="shared" si="23"/>
        <v>0x109E</v>
      </c>
      <c r="BE83" s="12" t="str">
        <f t="shared" ca="1" si="24"/>
        <v>0011111111101101</v>
      </c>
      <c r="BG83" s="53" t="str">
        <f t="shared" ca="1" si="25"/>
        <v>`define EE_MM0_HR 39</v>
      </c>
    </row>
    <row r="84" spans="1:59">
      <c r="A84" s="82" t="s">
        <v>350</v>
      </c>
      <c r="B84" s="82">
        <v>160</v>
      </c>
      <c r="C84" s="82">
        <v>40</v>
      </c>
      <c r="D84" s="83">
        <f ca="1">SUMIF('NVRAM map'!$AF$3:$AF$319,A84,'NVRAM map'!$AN$3:$AN$319)</f>
        <v>65418</v>
      </c>
      <c r="E84" s="84" t="str">
        <f t="shared" ca="1" si="16"/>
        <v>FF8A</v>
      </c>
      <c r="F84" s="85" t="str">
        <f t="shared" ca="1" si="26"/>
        <v>FF8A</v>
      </c>
      <c r="G84" s="86" t="str">
        <f ca="1">VLOOKUP(MemoryView!A84,'NVRAM map'!$AD$3:$AE$319,2,0)</f>
        <v>EE_MM1_HR</v>
      </c>
      <c r="H84" s="87" t="str">
        <f t="array" aca="1" ref="H84" ca="1">IF(ISNA(INDEX('NVRAM map'!$AF$3:$AG$319,MATCH(1,('NVRAM map'!$AF$3:$AF$319=$A84)*('NVRAM map'!$AI$3:$AI$319&gt;=H$3)*('NVRAM map'!$AJ$3:$AJ$319&lt;=H$3),0),2)),"-",INDEX('NVRAM map'!$AF$3:$AG$319,MATCH(1,('NVRAM map'!$AF$3:$AF$319=$A84)*('NVRAM map'!$AI$3:$AI$319&gt;=H$3)*('NVRAM map'!$AJ$3:$AJ$319&lt;=H$3),0),2))</f>
        <v>MM1_HR</v>
      </c>
      <c r="I84" s="87" t="str">
        <f t="array" aca="1" ref="I84" ca="1">IF(ISNA(INDEX('NVRAM map'!$AF$3:$AG$319,MATCH(1,('NVRAM map'!$AF$3:$AF$319=$A84)*('NVRAM map'!$AI$3:$AI$319&gt;=I$3)*('NVRAM map'!$AJ$3:$AJ$319&lt;=I$3),0),2)),"-",INDEX('NVRAM map'!$AF$3:$AG$319,MATCH(1,('NVRAM map'!$AF$3:$AF$319=$A84)*('NVRAM map'!$AI$3:$AI$319&gt;=I$3)*('NVRAM map'!$AJ$3:$AJ$319&lt;=I$3),0),2))</f>
        <v>MM1_HR</v>
      </c>
      <c r="J84" s="87" t="str">
        <f t="array" aca="1" ref="J84" ca="1">IF(ISNA(INDEX('NVRAM map'!$AF$3:$AG$319,MATCH(1,('NVRAM map'!$AF$3:$AF$319=$A84)*('NVRAM map'!$AI$3:$AI$319&gt;=J$3)*('NVRAM map'!$AJ$3:$AJ$319&lt;=J$3),0),2)),"-",INDEX('NVRAM map'!$AF$3:$AG$319,MATCH(1,('NVRAM map'!$AF$3:$AF$319=$A84)*('NVRAM map'!$AI$3:$AI$319&gt;=J$3)*('NVRAM map'!$AJ$3:$AJ$319&lt;=J$3),0),2))</f>
        <v>MM1_HR</v>
      </c>
      <c r="K84" s="87" t="str">
        <f t="array" aca="1" ref="K84" ca="1">IF(ISNA(INDEX('NVRAM map'!$AF$3:$AG$319,MATCH(1,('NVRAM map'!$AF$3:$AF$319=$A84)*('NVRAM map'!$AI$3:$AI$319&gt;=K$3)*('NVRAM map'!$AJ$3:$AJ$319&lt;=K$3),0),2)),"-",INDEX('NVRAM map'!$AF$3:$AG$319,MATCH(1,('NVRAM map'!$AF$3:$AF$319=$A84)*('NVRAM map'!$AI$3:$AI$319&gt;=K$3)*('NVRAM map'!$AJ$3:$AJ$319&lt;=K$3),0),2))</f>
        <v>MM1_HR</v>
      </c>
      <c r="L84" s="87" t="str">
        <f t="array" aca="1" ref="L84" ca="1">IF(ISNA(INDEX('NVRAM map'!$AF$3:$AG$319,MATCH(1,('NVRAM map'!$AF$3:$AF$319=$A84)*('NVRAM map'!$AI$3:$AI$319&gt;=L$3)*('NVRAM map'!$AJ$3:$AJ$319&lt;=L$3),0),2)),"-",INDEX('NVRAM map'!$AF$3:$AG$319,MATCH(1,('NVRAM map'!$AF$3:$AF$319=$A84)*('NVRAM map'!$AI$3:$AI$319&gt;=L$3)*('NVRAM map'!$AJ$3:$AJ$319&lt;=L$3),0),2))</f>
        <v>MM1_HR</v>
      </c>
      <c r="M84" s="87" t="str">
        <f t="array" aca="1" ref="M84" ca="1">IF(ISNA(INDEX('NVRAM map'!$AF$3:$AG$319,MATCH(1,('NVRAM map'!$AF$3:$AF$319=$A84)*('NVRAM map'!$AI$3:$AI$319&gt;=M$3)*('NVRAM map'!$AJ$3:$AJ$319&lt;=M$3),0),2)),"-",INDEX('NVRAM map'!$AF$3:$AG$319,MATCH(1,('NVRAM map'!$AF$3:$AF$319=$A84)*('NVRAM map'!$AI$3:$AI$319&gt;=M$3)*('NVRAM map'!$AJ$3:$AJ$319&lt;=M$3),0),2))</f>
        <v>MM1_HR</v>
      </c>
      <c r="N84" s="87" t="str">
        <f t="array" aca="1" ref="N84" ca="1">IF(ISNA(INDEX('NVRAM map'!$AF$3:$AG$319,MATCH(1,('NVRAM map'!$AF$3:$AF$319=$A84)*('NVRAM map'!$AI$3:$AI$319&gt;=N$3)*('NVRAM map'!$AJ$3:$AJ$319&lt;=N$3),0),2)),"-",INDEX('NVRAM map'!$AF$3:$AG$319,MATCH(1,('NVRAM map'!$AF$3:$AF$319=$A84)*('NVRAM map'!$AI$3:$AI$319&gt;=N$3)*('NVRAM map'!$AJ$3:$AJ$319&lt;=N$3),0),2))</f>
        <v>MM1_HR</v>
      </c>
      <c r="O84" s="87" t="str">
        <f t="array" aca="1" ref="O84" ca="1">IF(ISNA(INDEX('NVRAM map'!$AF$3:$AG$319,MATCH(1,('NVRAM map'!$AF$3:$AF$319=$A84)*('NVRAM map'!$AI$3:$AI$319&gt;=O$3)*('NVRAM map'!$AJ$3:$AJ$319&lt;=O$3),0),2)),"-",INDEX('NVRAM map'!$AF$3:$AG$319,MATCH(1,('NVRAM map'!$AF$3:$AF$319=$A84)*('NVRAM map'!$AI$3:$AI$319&gt;=O$3)*('NVRAM map'!$AJ$3:$AJ$319&lt;=O$3),0),2))</f>
        <v>MM1_HR</v>
      </c>
      <c r="P84" s="87" t="str">
        <f t="array" aca="1" ref="P84" ca="1">IF(ISNA(INDEX('NVRAM map'!$AF$3:$AG$319,MATCH(1,('NVRAM map'!$AF$3:$AF$319=$A84)*('NVRAM map'!$AI$3:$AI$319&gt;=P$3)*('NVRAM map'!$AJ$3:$AJ$319&lt;=P$3),0),2)),"-",INDEX('NVRAM map'!$AF$3:$AG$319,MATCH(1,('NVRAM map'!$AF$3:$AF$319=$A84)*('NVRAM map'!$AI$3:$AI$319&gt;=P$3)*('NVRAM map'!$AJ$3:$AJ$319&lt;=P$3),0),2))</f>
        <v>MM1_HR</v>
      </c>
      <c r="Q84" s="87" t="str">
        <f t="array" aca="1" ref="Q84" ca="1">IF(ISNA(INDEX('NVRAM map'!$AF$3:$AG$319,MATCH(1,('NVRAM map'!$AF$3:$AF$319=$A84)*('NVRAM map'!$AI$3:$AI$319&gt;=Q$3)*('NVRAM map'!$AJ$3:$AJ$319&lt;=Q$3),0),2)),"-",INDEX('NVRAM map'!$AF$3:$AG$319,MATCH(1,('NVRAM map'!$AF$3:$AF$319=$A84)*('NVRAM map'!$AI$3:$AI$319&gt;=Q$3)*('NVRAM map'!$AJ$3:$AJ$319&lt;=Q$3),0),2))</f>
        <v>MM1_HR</v>
      </c>
      <c r="R84" s="87" t="str">
        <f t="array" aca="1" ref="R84" ca="1">IF(ISNA(INDEX('NVRAM map'!$AF$3:$AG$319,MATCH(1,('NVRAM map'!$AF$3:$AF$319=$A84)*('NVRAM map'!$AI$3:$AI$319&gt;=R$3)*('NVRAM map'!$AJ$3:$AJ$319&lt;=R$3),0),2)),"-",INDEX('NVRAM map'!$AF$3:$AG$319,MATCH(1,('NVRAM map'!$AF$3:$AF$319=$A84)*('NVRAM map'!$AI$3:$AI$319&gt;=R$3)*('NVRAM map'!$AJ$3:$AJ$319&lt;=R$3),0),2))</f>
        <v>MM1_HR</v>
      </c>
      <c r="S84" s="87" t="str">
        <f t="array" aca="1" ref="S84" ca="1">IF(ISNA(INDEX('NVRAM map'!$AF$3:$AG$319,MATCH(1,('NVRAM map'!$AF$3:$AF$319=$A84)*('NVRAM map'!$AI$3:$AI$319&gt;=S$3)*('NVRAM map'!$AJ$3:$AJ$319&lt;=S$3),0),2)),"-",INDEX('NVRAM map'!$AF$3:$AG$319,MATCH(1,('NVRAM map'!$AF$3:$AF$319=$A84)*('NVRAM map'!$AI$3:$AI$319&gt;=S$3)*('NVRAM map'!$AJ$3:$AJ$319&lt;=S$3),0),2))</f>
        <v>MM1_HR</v>
      </c>
      <c r="T84" s="87" t="str">
        <f t="array" aca="1" ref="T84" ca="1">IF(ISNA(INDEX('NVRAM map'!$AF$3:$AG$319,MATCH(1,('NVRAM map'!$AF$3:$AF$319=$A84)*('NVRAM map'!$AI$3:$AI$319&gt;=T$3)*('NVRAM map'!$AJ$3:$AJ$319&lt;=T$3),0),2)),"-",INDEX('NVRAM map'!$AF$3:$AG$319,MATCH(1,('NVRAM map'!$AF$3:$AF$319=$A84)*('NVRAM map'!$AI$3:$AI$319&gt;=T$3)*('NVRAM map'!$AJ$3:$AJ$319&lt;=T$3),0),2))</f>
        <v>MM1_HR</v>
      </c>
      <c r="U84" s="87" t="str">
        <f t="array" aca="1" ref="U84" ca="1">IF(ISNA(INDEX('NVRAM map'!$AF$3:$AG$319,MATCH(1,('NVRAM map'!$AF$3:$AF$319=$A84)*('NVRAM map'!$AI$3:$AI$319&gt;=U$3)*('NVRAM map'!$AJ$3:$AJ$319&lt;=U$3),0),2)),"-",INDEX('NVRAM map'!$AF$3:$AG$319,MATCH(1,('NVRAM map'!$AF$3:$AF$319=$A84)*('NVRAM map'!$AI$3:$AI$319&gt;=U$3)*('NVRAM map'!$AJ$3:$AJ$319&lt;=U$3),0),2))</f>
        <v>MM1_HR</v>
      </c>
      <c r="V84" s="87" t="str">
        <f t="array" aca="1" ref="V84" ca="1">IF(ISNA(INDEX('NVRAM map'!$AF$3:$AG$319,MATCH(1,('NVRAM map'!$AF$3:$AF$319=$A84)*('NVRAM map'!$AI$3:$AI$319&gt;=V$3)*('NVRAM map'!$AJ$3:$AJ$319&lt;=V$3),0),2)),"-",INDEX('NVRAM map'!$AF$3:$AG$319,MATCH(1,('NVRAM map'!$AF$3:$AF$319=$A84)*('NVRAM map'!$AI$3:$AI$319&gt;=V$3)*('NVRAM map'!$AJ$3:$AJ$319&lt;=V$3),0),2))</f>
        <v>MM1_HR</v>
      </c>
      <c r="W84" s="87" t="str">
        <f t="array" aca="1" ref="W84" ca="1">IF(ISNA(INDEX('NVRAM map'!$AF$3:$AG$319,MATCH(1,('NVRAM map'!$AF$3:$AF$319=$A84)*('NVRAM map'!$AI$3:$AI$319&gt;=W$3)*('NVRAM map'!$AJ$3:$AJ$319&lt;=W$3),0),2)),"-",INDEX('NVRAM map'!$AF$3:$AG$319,MATCH(1,('NVRAM map'!$AF$3:$AF$319=$A84)*('NVRAM map'!$AI$3:$AI$319&gt;=W$3)*('NVRAM map'!$AJ$3:$AJ$319&lt;=W$3),0),2))</f>
        <v>MM1_HR</v>
      </c>
      <c r="X84" s="88" t="str">
        <f ca="1">INDEX('NVRAM map'!$B$3:$B$319,MATCH(A84,'NVRAM map'!$E$3:$E$319,0))</f>
        <v>MLX</v>
      </c>
      <c r="AB84" s="44">
        <f t="shared" ca="1" si="17"/>
        <v>393</v>
      </c>
      <c r="AC84" s="12" t="b">
        <f ca="1">COUNTIF('NVRAM map'!$AD$3:$AE$319,A84)&lt;2</f>
        <v>1</v>
      </c>
      <c r="AD84" s="12">
        <f ca="1">SUMIF('NVRAM map'!$AF$3:$AF$319,A84,'NVRAM map'!$AK$3:$AK$319)</f>
        <v>65535</v>
      </c>
      <c r="AE84" s="12" t="str">
        <f t="shared" ca="1" si="18"/>
        <v>FFFF</v>
      </c>
      <c r="AF84" s="12" t="str">
        <f t="shared" ca="1" si="19"/>
        <v>11111111</v>
      </c>
      <c r="AG84" s="12" t="str">
        <f t="shared" ca="1" si="20"/>
        <v>11111111</v>
      </c>
      <c r="AH84" s="12">
        <f t="shared" ca="1" si="21"/>
        <v>16</v>
      </c>
      <c r="AI84" s="12">
        <f ca="1">SUMIF('NVRAM map'!$AF$3:$AF$319,A84,'NVRAM map'!$AH$3:$AH$319)</f>
        <v>16</v>
      </c>
      <c r="AJ84" s="12" t="b">
        <f t="shared" ca="1" si="22"/>
        <v>1</v>
      </c>
      <c r="AK84" s="12">
        <f ca="1">COUNTIF('NVRAM map'!$AF$3:$AF$319,A84)</f>
        <v>1</v>
      </c>
      <c r="AM84" s="89">
        <v>0</v>
      </c>
      <c r="AN84" s="80">
        <f t="shared" ca="1" si="27"/>
        <v>0</v>
      </c>
      <c r="AO84" s="80">
        <f t="shared" ca="1" si="27"/>
        <v>0</v>
      </c>
      <c r="AP84" s="80">
        <f t="shared" ca="1" si="27"/>
        <v>0</v>
      </c>
      <c r="AQ84" s="80">
        <f t="shared" ca="1" si="27"/>
        <v>0</v>
      </c>
      <c r="AR84" s="80">
        <f t="shared" ca="1" si="27"/>
        <v>0</v>
      </c>
      <c r="AS84" s="80">
        <f t="shared" ca="1" si="27"/>
        <v>0</v>
      </c>
      <c r="AT84" s="80">
        <f t="shared" ca="1" si="27"/>
        <v>0</v>
      </c>
      <c r="AU84" s="80">
        <f t="shared" ca="1" si="27"/>
        <v>0</v>
      </c>
      <c r="AV84" s="80">
        <f t="shared" ca="1" si="27"/>
        <v>0</v>
      </c>
      <c r="AW84" s="80">
        <f t="shared" ca="1" si="27"/>
        <v>0</v>
      </c>
      <c r="AX84" s="80">
        <f t="shared" ca="1" si="27"/>
        <v>0</v>
      </c>
      <c r="AY84" s="80">
        <f t="shared" ca="1" si="27"/>
        <v>0</v>
      </c>
      <c r="AZ84" s="80">
        <f t="shared" ca="1" si="27"/>
        <v>0</v>
      </c>
      <c r="BA84" s="80">
        <f t="shared" ca="1" si="27"/>
        <v>0</v>
      </c>
      <c r="BB84" s="81">
        <f t="shared" ca="1" si="27"/>
        <v>0</v>
      </c>
      <c r="BD84" s="12" t="str">
        <f t="shared" si="23"/>
        <v>0x10A0</v>
      </c>
      <c r="BE84" s="12" t="str">
        <f t="shared" ca="1" si="24"/>
        <v>1111111110001010</v>
      </c>
      <c r="BG84" s="53" t="str">
        <f t="shared" ca="1" si="25"/>
        <v>`define EE_MM1_HR 40</v>
      </c>
    </row>
    <row r="85" spans="1:59">
      <c r="A85" s="82" t="s">
        <v>351</v>
      </c>
      <c r="B85" s="82">
        <v>162</v>
      </c>
      <c r="C85" s="82">
        <v>40</v>
      </c>
      <c r="D85" s="83">
        <f ca="1">SUMIF('NVRAM map'!$AF$3:$AF$319,A85,'NVRAM map'!$AN$3:$AN$319)</f>
        <v>65219</v>
      </c>
      <c r="E85" s="84" t="str">
        <f t="shared" ca="1" si="16"/>
        <v>FEC3</v>
      </c>
      <c r="F85" s="85" t="str">
        <f t="shared" ca="1" si="26"/>
        <v>FEC3</v>
      </c>
      <c r="G85" s="86" t="str">
        <f ca="1">VLOOKUP(MemoryView!A85,'NVRAM map'!$AD$3:$AE$319,2,0)</f>
        <v>EE_MM2_HR</v>
      </c>
      <c r="H85" s="87" t="str">
        <f t="array" aca="1" ref="H85" ca="1">IF(ISNA(INDEX('NVRAM map'!$AF$3:$AG$319,MATCH(1,('NVRAM map'!$AF$3:$AF$319=$A85)*('NVRAM map'!$AI$3:$AI$319&gt;=H$3)*('NVRAM map'!$AJ$3:$AJ$319&lt;=H$3),0),2)),"-",INDEX('NVRAM map'!$AF$3:$AG$319,MATCH(1,('NVRAM map'!$AF$3:$AF$319=$A85)*('NVRAM map'!$AI$3:$AI$319&gt;=H$3)*('NVRAM map'!$AJ$3:$AJ$319&lt;=H$3),0),2))</f>
        <v>MM2_HR</v>
      </c>
      <c r="I85" s="87" t="str">
        <f t="array" aca="1" ref="I85" ca="1">IF(ISNA(INDEX('NVRAM map'!$AF$3:$AG$319,MATCH(1,('NVRAM map'!$AF$3:$AF$319=$A85)*('NVRAM map'!$AI$3:$AI$319&gt;=I$3)*('NVRAM map'!$AJ$3:$AJ$319&lt;=I$3),0),2)),"-",INDEX('NVRAM map'!$AF$3:$AG$319,MATCH(1,('NVRAM map'!$AF$3:$AF$319=$A85)*('NVRAM map'!$AI$3:$AI$319&gt;=I$3)*('NVRAM map'!$AJ$3:$AJ$319&lt;=I$3),0),2))</f>
        <v>MM2_HR</v>
      </c>
      <c r="J85" s="87" t="str">
        <f t="array" aca="1" ref="J85" ca="1">IF(ISNA(INDEX('NVRAM map'!$AF$3:$AG$319,MATCH(1,('NVRAM map'!$AF$3:$AF$319=$A85)*('NVRAM map'!$AI$3:$AI$319&gt;=J$3)*('NVRAM map'!$AJ$3:$AJ$319&lt;=J$3),0),2)),"-",INDEX('NVRAM map'!$AF$3:$AG$319,MATCH(1,('NVRAM map'!$AF$3:$AF$319=$A85)*('NVRAM map'!$AI$3:$AI$319&gt;=J$3)*('NVRAM map'!$AJ$3:$AJ$319&lt;=J$3),0),2))</f>
        <v>MM2_HR</v>
      </c>
      <c r="K85" s="87" t="str">
        <f t="array" aca="1" ref="K85" ca="1">IF(ISNA(INDEX('NVRAM map'!$AF$3:$AG$319,MATCH(1,('NVRAM map'!$AF$3:$AF$319=$A85)*('NVRAM map'!$AI$3:$AI$319&gt;=K$3)*('NVRAM map'!$AJ$3:$AJ$319&lt;=K$3),0),2)),"-",INDEX('NVRAM map'!$AF$3:$AG$319,MATCH(1,('NVRAM map'!$AF$3:$AF$319=$A85)*('NVRAM map'!$AI$3:$AI$319&gt;=K$3)*('NVRAM map'!$AJ$3:$AJ$319&lt;=K$3),0),2))</f>
        <v>MM2_HR</v>
      </c>
      <c r="L85" s="87" t="str">
        <f t="array" aca="1" ref="L85" ca="1">IF(ISNA(INDEX('NVRAM map'!$AF$3:$AG$319,MATCH(1,('NVRAM map'!$AF$3:$AF$319=$A85)*('NVRAM map'!$AI$3:$AI$319&gt;=L$3)*('NVRAM map'!$AJ$3:$AJ$319&lt;=L$3),0),2)),"-",INDEX('NVRAM map'!$AF$3:$AG$319,MATCH(1,('NVRAM map'!$AF$3:$AF$319=$A85)*('NVRAM map'!$AI$3:$AI$319&gt;=L$3)*('NVRAM map'!$AJ$3:$AJ$319&lt;=L$3),0),2))</f>
        <v>MM2_HR</v>
      </c>
      <c r="M85" s="87" t="str">
        <f t="array" aca="1" ref="M85" ca="1">IF(ISNA(INDEX('NVRAM map'!$AF$3:$AG$319,MATCH(1,('NVRAM map'!$AF$3:$AF$319=$A85)*('NVRAM map'!$AI$3:$AI$319&gt;=M$3)*('NVRAM map'!$AJ$3:$AJ$319&lt;=M$3),0),2)),"-",INDEX('NVRAM map'!$AF$3:$AG$319,MATCH(1,('NVRAM map'!$AF$3:$AF$319=$A85)*('NVRAM map'!$AI$3:$AI$319&gt;=M$3)*('NVRAM map'!$AJ$3:$AJ$319&lt;=M$3),0),2))</f>
        <v>MM2_HR</v>
      </c>
      <c r="N85" s="87" t="str">
        <f t="array" aca="1" ref="N85" ca="1">IF(ISNA(INDEX('NVRAM map'!$AF$3:$AG$319,MATCH(1,('NVRAM map'!$AF$3:$AF$319=$A85)*('NVRAM map'!$AI$3:$AI$319&gt;=N$3)*('NVRAM map'!$AJ$3:$AJ$319&lt;=N$3),0),2)),"-",INDEX('NVRAM map'!$AF$3:$AG$319,MATCH(1,('NVRAM map'!$AF$3:$AF$319=$A85)*('NVRAM map'!$AI$3:$AI$319&gt;=N$3)*('NVRAM map'!$AJ$3:$AJ$319&lt;=N$3),0),2))</f>
        <v>MM2_HR</v>
      </c>
      <c r="O85" s="87" t="str">
        <f t="array" aca="1" ref="O85" ca="1">IF(ISNA(INDEX('NVRAM map'!$AF$3:$AG$319,MATCH(1,('NVRAM map'!$AF$3:$AF$319=$A85)*('NVRAM map'!$AI$3:$AI$319&gt;=O$3)*('NVRAM map'!$AJ$3:$AJ$319&lt;=O$3),0),2)),"-",INDEX('NVRAM map'!$AF$3:$AG$319,MATCH(1,('NVRAM map'!$AF$3:$AF$319=$A85)*('NVRAM map'!$AI$3:$AI$319&gt;=O$3)*('NVRAM map'!$AJ$3:$AJ$319&lt;=O$3),0),2))</f>
        <v>MM2_HR</v>
      </c>
      <c r="P85" s="87" t="str">
        <f t="array" aca="1" ref="P85" ca="1">IF(ISNA(INDEX('NVRAM map'!$AF$3:$AG$319,MATCH(1,('NVRAM map'!$AF$3:$AF$319=$A85)*('NVRAM map'!$AI$3:$AI$319&gt;=P$3)*('NVRAM map'!$AJ$3:$AJ$319&lt;=P$3),0),2)),"-",INDEX('NVRAM map'!$AF$3:$AG$319,MATCH(1,('NVRAM map'!$AF$3:$AF$319=$A85)*('NVRAM map'!$AI$3:$AI$319&gt;=P$3)*('NVRAM map'!$AJ$3:$AJ$319&lt;=P$3),0),2))</f>
        <v>MM2_HR</v>
      </c>
      <c r="Q85" s="87" t="str">
        <f t="array" aca="1" ref="Q85" ca="1">IF(ISNA(INDEX('NVRAM map'!$AF$3:$AG$319,MATCH(1,('NVRAM map'!$AF$3:$AF$319=$A85)*('NVRAM map'!$AI$3:$AI$319&gt;=Q$3)*('NVRAM map'!$AJ$3:$AJ$319&lt;=Q$3),0),2)),"-",INDEX('NVRAM map'!$AF$3:$AG$319,MATCH(1,('NVRAM map'!$AF$3:$AF$319=$A85)*('NVRAM map'!$AI$3:$AI$319&gt;=Q$3)*('NVRAM map'!$AJ$3:$AJ$319&lt;=Q$3),0),2))</f>
        <v>MM2_HR</v>
      </c>
      <c r="R85" s="87" t="str">
        <f t="array" aca="1" ref="R85" ca="1">IF(ISNA(INDEX('NVRAM map'!$AF$3:$AG$319,MATCH(1,('NVRAM map'!$AF$3:$AF$319=$A85)*('NVRAM map'!$AI$3:$AI$319&gt;=R$3)*('NVRAM map'!$AJ$3:$AJ$319&lt;=R$3),0),2)),"-",INDEX('NVRAM map'!$AF$3:$AG$319,MATCH(1,('NVRAM map'!$AF$3:$AF$319=$A85)*('NVRAM map'!$AI$3:$AI$319&gt;=R$3)*('NVRAM map'!$AJ$3:$AJ$319&lt;=R$3),0),2))</f>
        <v>MM2_HR</v>
      </c>
      <c r="S85" s="87" t="str">
        <f t="array" aca="1" ref="S85" ca="1">IF(ISNA(INDEX('NVRAM map'!$AF$3:$AG$319,MATCH(1,('NVRAM map'!$AF$3:$AF$319=$A85)*('NVRAM map'!$AI$3:$AI$319&gt;=S$3)*('NVRAM map'!$AJ$3:$AJ$319&lt;=S$3),0),2)),"-",INDEX('NVRAM map'!$AF$3:$AG$319,MATCH(1,('NVRAM map'!$AF$3:$AF$319=$A85)*('NVRAM map'!$AI$3:$AI$319&gt;=S$3)*('NVRAM map'!$AJ$3:$AJ$319&lt;=S$3),0),2))</f>
        <v>MM2_HR</v>
      </c>
      <c r="T85" s="87" t="str">
        <f t="array" aca="1" ref="T85" ca="1">IF(ISNA(INDEX('NVRAM map'!$AF$3:$AG$319,MATCH(1,('NVRAM map'!$AF$3:$AF$319=$A85)*('NVRAM map'!$AI$3:$AI$319&gt;=T$3)*('NVRAM map'!$AJ$3:$AJ$319&lt;=T$3),0),2)),"-",INDEX('NVRAM map'!$AF$3:$AG$319,MATCH(1,('NVRAM map'!$AF$3:$AF$319=$A85)*('NVRAM map'!$AI$3:$AI$319&gt;=T$3)*('NVRAM map'!$AJ$3:$AJ$319&lt;=T$3),0),2))</f>
        <v>MM2_HR</v>
      </c>
      <c r="U85" s="87" t="str">
        <f t="array" aca="1" ref="U85" ca="1">IF(ISNA(INDEX('NVRAM map'!$AF$3:$AG$319,MATCH(1,('NVRAM map'!$AF$3:$AF$319=$A85)*('NVRAM map'!$AI$3:$AI$319&gt;=U$3)*('NVRAM map'!$AJ$3:$AJ$319&lt;=U$3),0),2)),"-",INDEX('NVRAM map'!$AF$3:$AG$319,MATCH(1,('NVRAM map'!$AF$3:$AF$319=$A85)*('NVRAM map'!$AI$3:$AI$319&gt;=U$3)*('NVRAM map'!$AJ$3:$AJ$319&lt;=U$3),0),2))</f>
        <v>MM2_HR</v>
      </c>
      <c r="V85" s="87" t="str">
        <f t="array" aca="1" ref="V85" ca="1">IF(ISNA(INDEX('NVRAM map'!$AF$3:$AG$319,MATCH(1,('NVRAM map'!$AF$3:$AF$319=$A85)*('NVRAM map'!$AI$3:$AI$319&gt;=V$3)*('NVRAM map'!$AJ$3:$AJ$319&lt;=V$3),0),2)),"-",INDEX('NVRAM map'!$AF$3:$AG$319,MATCH(1,('NVRAM map'!$AF$3:$AF$319=$A85)*('NVRAM map'!$AI$3:$AI$319&gt;=V$3)*('NVRAM map'!$AJ$3:$AJ$319&lt;=V$3),0),2))</f>
        <v>MM2_HR</v>
      </c>
      <c r="W85" s="87" t="str">
        <f t="array" aca="1" ref="W85" ca="1">IF(ISNA(INDEX('NVRAM map'!$AF$3:$AG$319,MATCH(1,('NVRAM map'!$AF$3:$AF$319=$A85)*('NVRAM map'!$AI$3:$AI$319&gt;=W$3)*('NVRAM map'!$AJ$3:$AJ$319&lt;=W$3),0),2)),"-",INDEX('NVRAM map'!$AF$3:$AG$319,MATCH(1,('NVRAM map'!$AF$3:$AF$319=$A85)*('NVRAM map'!$AI$3:$AI$319&gt;=W$3)*('NVRAM map'!$AJ$3:$AJ$319&lt;=W$3),0),2))</f>
        <v>MM2_HR</v>
      </c>
      <c r="X85" s="88" t="str">
        <f ca="1">INDEX('NVRAM map'!$B$3:$B$319,MATCH(A85,'NVRAM map'!$E$3:$E$319,0))</f>
        <v>MLX</v>
      </c>
      <c r="AB85" s="44">
        <f t="shared" ca="1" si="17"/>
        <v>449</v>
      </c>
      <c r="AC85" s="12" t="b">
        <f ca="1">COUNTIF('NVRAM map'!$AD$3:$AE$319,A85)&lt;2</f>
        <v>1</v>
      </c>
      <c r="AD85" s="12">
        <f ca="1">SUMIF('NVRAM map'!$AF$3:$AF$319,A85,'NVRAM map'!$AK$3:$AK$319)</f>
        <v>65535</v>
      </c>
      <c r="AE85" s="12" t="str">
        <f t="shared" ca="1" si="18"/>
        <v>FFFF</v>
      </c>
      <c r="AF85" s="12" t="str">
        <f t="shared" ca="1" si="19"/>
        <v>11111111</v>
      </c>
      <c r="AG85" s="12" t="str">
        <f t="shared" ca="1" si="20"/>
        <v>11111111</v>
      </c>
      <c r="AH85" s="12">
        <f t="shared" ca="1" si="21"/>
        <v>16</v>
      </c>
      <c r="AI85" s="12">
        <f ca="1">SUMIF('NVRAM map'!$AF$3:$AF$319,A85,'NVRAM map'!$AH$3:$AH$319)</f>
        <v>16</v>
      </c>
      <c r="AJ85" s="12" t="b">
        <f t="shared" ca="1" si="22"/>
        <v>1</v>
      </c>
      <c r="AK85" s="12">
        <f ca="1">COUNTIF('NVRAM map'!$AF$3:$AF$319,A85)</f>
        <v>1</v>
      </c>
      <c r="AM85" s="89">
        <v>0</v>
      </c>
      <c r="AN85" s="80">
        <f t="shared" ca="1" si="27"/>
        <v>0</v>
      </c>
      <c r="AO85" s="80">
        <f t="shared" ca="1" si="27"/>
        <v>0</v>
      </c>
      <c r="AP85" s="80">
        <f t="shared" ca="1" si="27"/>
        <v>0</v>
      </c>
      <c r="AQ85" s="80">
        <f t="shared" ca="1" si="27"/>
        <v>0</v>
      </c>
      <c r="AR85" s="80">
        <f t="shared" ca="1" si="27"/>
        <v>0</v>
      </c>
      <c r="AS85" s="80">
        <f t="shared" ca="1" si="27"/>
        <v>0</v>
      </c>
      <c r="AT85" s="80">
        <f t="shared" ca="1" si="27"/>
        <v>0</v>
      </c>
      <c r="AU85" s="80">
        <f t="shared" ca="1" si="27"/>
        <v>0</v>
      </c>
      <c r="AV85" s="80">
        <f t="shared" ca="1" si="27"/>
        <v>0</v>
      </c>
      <c r="AW85" s="80">
        <f t="shared" ca="1" si="27"/>
        <v>0</v>
      </c>
      <c r="AX85" s="80">
        <f t="shared" ca="1" si="27"/>
        <v>0</v>
      </c>
      <c r="AY85" s="80">
        <f t="shared" ca="1" si="27"/>
        <v>0</v>
      </c>
      <c r="AZ85" s="80">
        <f t="shared" ca="1" si="27"/>
        <v>0</v>
      </c>
      <c r="BA85" s="80">
        <f t="shared" ca="1" si="27"/>
        <v>0</v>
      </c>
      <c r="BB85" s="81">
        <f t="shared" ca="1" si="27"/>
        <v>0</v>
      </c>
      <c r="BD85" s="12" t="str">
        <f t="shared" si="23"/>
        <v>0x10A2</v>
      </c>
      <c r="BE85" s="12" t="str">
        <f t="shared" ca="1" si="24"/>
        <v>1111111011000011</v>
      </c>
      <c r="BG85" s="53" t="str">
        <f t="shared" ca="1" si="25"/>
        <v>`define EE_MM2_HR 40</v>
      </c>
    </row>
    <row r="86" spans="1:59">
      <c r="A86" s="82" t="s">
        <v>352</v>
      </c>
      <c r="B86" s="82">
        <v>164</v>
      </c>
      <c r="C86" s="82">
        <v>41</v>
      </c>
      <c r="D86" s="83">
        <f ca="1">SUMIF('NVRAM map'!$AF$3:$AF$319,A86,'NVRAM map'!$AN$3:$AN$319)</f>
        <v>35</v>
      </c>
      <c r="E86" s="84" t="str">
        <f t="shared" ca="1" si="16"/>
        <v>0023</v>
      </c>
      <c r="F86" s="85" t="str">
        <f t="shared" ca="1" si="26"/>
        <v>0023</v>
      </c>
      <c r="G86" s="86" t="str">
        <f ca="1">VLOOKUP(MemoryView!A86,'NVRAM map'!$AD$3:$AE$319,2,0)</f>
        <v>EE_MM3_HR</v>
      </c>
      <c r="H86" s="87" t="str">
        <f t="array" aca="1" ref="H86" ca="1">IF(ISNA(INDEX('NVRAM map'!$AF$3:$AG$319,MATCH(1,('NVRAM map'!$AF$3:$AF$319=$A86)*('NVRAM map'!$AI$3:$AI$319&gt;=H$3)*('NVRAM map'!$AJ$3:$AJ$319&lt;=H$3),0),2)),"-",INDEX('NVRAM map'!$AF$3:$AG$319,MATCH(1,('NVRAM map'!$AF$3:$AF$319=$A86)*('NVRAM map'!$AI$3:$AI$319&gt;=H$3)*('NVRAM map'!$AJ$3:$AJ$319&lt;=H$3),0),2))</f>
        <v>MM3_HR</v>
      </c>
      <c r="I86" s="87" t="str">
        <f t="array" aca="1" ref="I86" ca="1">IF(ISNA(INDEX('NVRAM map'!$AF$3:$AG$319,MATCH(1,('NVRAM map'!$AF$3:$AF$319=$A86)*('NVRAM map'!$AI$3:$AI$319&gt;=I$3)*('NVRAM map'!$AJ$3:$AJ$319&lt;=I$3),0),2)),"-",INDEX('NVRAM map'!$AF$3:$AG$319,MATCH(1,('NVRAM map'!$AF$3:$AF$319=$A86)*('NVRAM map'!$AI$3:$AI$319&gt;=I$3)*('NVRAM map'!$AJ$3:$AJ$319&lt;=I$3),0),2))</f>
        <v>MM3_HR</v>
      </c>
      <c r="J86" s="87" t="str">
        <f t="array" aca="1" ref="J86" ca="1">IF(ISNA(INDEX('NVRAM map'!$AF$3:$AG$319,MATCH(1,('NVRAM map'!$AF$3:$AF$319=$A86)*('NVRAM map'!$AI$3:$AI$319&gt;=J$3)*('NVRAM map'!$AJ$3:$AJ$319&lt;=J$3),0),2)),"-",INDEX('NVRAM map'!$AF$3:$AG$319,MATCH(1,('NVRAM map'!$AF$3:$AF$319=$A86)*('NVRAM map'!$AI$3:$AI$319&gt;=J$3)*('NVRAM map'!$AJ$3:$AJ$319&lt;=J$3),0),2))</f>
        <v>MM3_HR</v>
      </c>
      <c r="K86" s="87" t="str">
        <f t="array" aca="1" ref="K86" ca="1">IF(ISNA(INDEX('NVRAM map'!$AF$3:$AG$319,MATCH(1,('NVRAM map'!$AF$3:$AF$319=$A86)*('NVRAM map'!$AI$3:$AI$319&gt;=K$3)*('NVRAM map'!$AJ$3:$AJ$319&lt;=K$3),0),2)),"-",INDEX('NVRAM map'!$AF$3:$AG$319,MATCH(1,('NVRAM map'!$AF$3:$AF$319=$A86)*('NVRAM map'!$AI$3:$AI$319&gt;=K$3)*('NVRAM map'!$AJ$3:$AJ$319&lt;=K$3),0),2))</f>
        <v>MM3_HR</v>
      </c>
      <c r="L86" s="87" t="str">
        <f t="array" aca="1" ref="L86" ca="1">IF(ISNA(INDEX('NVRAM map'!$AF$3:$AG$319,MATCH(1,('NVRAM map'!$AF$3:$AF$319=$A86)*('NVRAM map'!$AI$3:$AI$319&gt;=L$3)*('NVRAM map'!$AJ$3:$AJ$319&lt;=L$3),0),2)),"-",INDEX('NVRAM map'!$AF$3:$AG$319,MATCH(1,('NVRAM map'!$AF$3:$AF$319=$A86)*('NVRAM map'!$AI$3:$AI$319&gt;=L$3)*('NVRAM map'!$AJ$3:$AJ$319&lt;=L$3),0),2))</f>
        <v>MM3_HR</v>
      </c>
      <c r="M86" s="87" t="str">
        <f t="array" aca="1" ref="M86" ca="1">IF(ISNA(INDEX('NVRAM map'!$AF$3:$AG$319,MATCH(1,('NVRAM map'!$AF$3:$AF$319=$A86)*('NVRAM map'!$AI$3:$AI$319&gt;=M$3)*('NVRAM map'!$AJ$3:$AJ$319&lt;=M$3),0),2)),"-",INDEX('NVRAM map'!$AF$3:$AG$319,MATCH(1,('NVRAM map'!$AF$3:$AF$319=$A86)*('NVRAM map'!$AI$3:$AI$319&gt;=M$3)*('NVRAM map'!$AJ$3:$AJ$319&lt;=M$3),0),2))</f>
        <v>MM3_HR</v>
      </c>
      <c r="N86" s="87" t="str">
        <f t="array" aca="1" ref="N86" ca="1">IF(ISNA(INDEX('NVRAM map'!$AF$3:$AG$319,MATCH(1,('NVRAM map'!$AF$3:$AF$319=$A86)*('NVRAM map'!$AI$3:$AI$319&gt;=N$3)*('NVRAM map'!$AJ$3:$AJ$319&lt;=N$3),0),2)),"-",INDEX('NVRAM map'!$AF$3:$AG$319,MATCH(1,('NVRAM map'!$AF$3:$AF$319=$A86)*('NVRAM map'!$AI$3:$AI$319&gt;=N$3)*('NVRAM map'!$AJ$3:$AJ$319&lt;=N$3),0),2))</f>
        <v>MM3_HR</v>
      </c>
      <c r="O86" s="87" t="str">
        <f t="array" aca="1" ref="O86" ca="1">IF(ISNA(INDEX('NVRAM map'!$AF$3:$AG$319,MATCH(1,('NVRAM map'!$AF$3:$AF$319=$A86)*('NVRAM map'!$AI$3:$AI$319&gt;=O$3)*('NVRAM map'!$AJ$3:$AJ$319&lt;=O$3),0),2)),"-",INDEX('NVRAM map'!$AF$3:$AG$319,MATCH(1,('NVRAM map'!$AF$3:$AF$319=$A86)*('NVRAM map'!$AI$3:$AI$319&gt;=O$3)*('NVRAM map'!$AJ$3:$AJ$319&lt;=O$3),0),2))</f>
        <v>MM3_HR</v>
      </c>
      <c r="P86" s="87" t="str">
        <f t="array" aca="1" ref="P86" ca="1">IF(ISNA(INDEX('NVRAM map'!$AF$3:$AG$319,MATCH(1,('NVRAM map'!$AF$3:$AF$319=$A86)*('NVRAM map'!$AI$3:$AI$319&gt;=P$3)*('NVRAM map'!$AJ$3:$AJ$319&lt;=P$3),0),2)),"-",INDEX('NVRAM map'!$AF$3:$AG$319,MATCH(1,('NVRAM map'!$AF$3:$AF$319=$A86)*('NVRAM map'!$AI$3:$AI$319&gt;=P$3)*('NVRAM map'!$AJ$3:$AJ$319&lt;=P$3),0),2))</f>
        <v>MM3_HR</v>
      </c>
      <c r="Q86" s="87" t="str">
        <f t="array" aca="1" ref="Q86" ca="1">IF(ISNA(INDEX('NVRAM map'!$AF$3:$AG$319,MATCH(1,('NVRAM map'!$AF$3:$AF$319=$A86)*('NVRAM map'!$AI$3:$AI$319&gt;=Q$3)*('NVRAM map'!$AJ$3:$AJ$319&lt;=Q$3),0),2)),"-",INDEX('NVRAM map'!$AF$3:$AG$319,MATCH(1,('NVRAM map'!$AF$3:$AF$319=$A86)*('NVRAM map'!$AI$3:$AI$319&gt;=Q$3)*('NVRAM map'!$AJ$3:$AJ$319&lt;=Q$3),0),2))</f>
        <v>MM3_HR</v>
      </c>
      <c r="R86" s="87" t="str">
        <f t="array" aca="1" ref="R86" ca="1">IF(ISNA(INDEX('NVRAM map'!$AF$3:$AG$319,MATCH(1,('NVRAM map'!$AF$3:$AF$319=$A86)*('NVRAM map'!$AI$3:$AI$319&gt;=R$3)*('NVRAM map'!$AJ$3:$AJ$319&lt;=R$3),0),2)),"-",INDEX('NVRAM map'!$AF$3:$AG$319,MATCH(1,('NVRAM map'!$AF$3:$AF$319=$A86)*('NVRAM map'!$AI$3:$AI$319&gt;=R$3)*('NVRAM map'!$AJ$3:$AJ$319&lt;=R$3),0),2))</f>
        <v>MM3_HR</v>
      </c>
      <c r="S86" s="87" t="str">
        <f t="array" aca="1" ref="S86" ca="1">IF(ISNA(INDEX('NVRAM map'!$AF$3:$AG$319,MATCH(1,('NVRAM map'!$AF$3:$AF$319=$A86)*('NVRAM map'!$AI$3:$AI$319&gt;=S$3)*('NVRAM map'!$AJ$3:$AJ$319&lt;=S$3),0),2)),"-",INDEX('NVRAM map'!$AF$3:$AG$319,MATCH(1,('NVRAM map'!$AF$3:$AF$319=$A86)*('NVRAM map'!$AI$3:$AI$319&gt;=S$3)*('NVRAM map'!$AJ$3:$AJ$319&lt;=S$3),0),2))</f>
        <v>MM3_HR</v>
      </c>
      <c r="T86" s="87" t="str">
        <f t="array" aca="1" ref="T86" ca="1">IF(ISNA(INDEX('NVRAM map'!$AF$3:$AG$319,MATCH(1,('NVRAM map'!$AF$3:$AF$319=$A86)*('NVRAM map'!$AI$3:$AI$319&gt;=T$3)*('NVRAM map'!$AJ$3:$AJ$319&lt;=T$3),0),2)),"-",INDEX('NVRAM map'!$AF$3:$AG$319,MATCH(1,('NVRAM map'!$AF$3:$AF$319=$A86)*('NVRAM map'!$AI$3:$AI$319&gt;=T$3)*('NVRAM map'!$AJ$3:$AJ$319&lt;=T$3),0),2))</f>
        <v>MM3_HR</v>
      </c>
      <c r="U86" s="87" t="str">
        <f t="array" aca="1" ref="U86" ca="1">IF(ISNA(INDEX('NVRAM map'!$AF$3:$AG$319,MATCH(1,('NVRAM map'!$AF$3:$AF$319=$A86)*('NVRAM map'!$AI$3:$AI$319&gt;=U$3)*('NVRAM map'!$AJ$3:$AJ$319&lt;=U$3),0),2)),"-",INDEX('NVRAM map'!$AF$3:$AG$319,MATCH(1,('NVRAM map'!$AF$3:$AF$319=$A86)*('NVRAM map'!$AI$3:$AI$319&gt;=U$3)*('NVRAM map'!$AJ$3:$AJ$319&lt;=U$3),0),2))</f>
        <v>MM3_HR</v>
      </c>
      <c r="V86" s="87" t="str">
        <f t="array" aca="1" ref="V86" ca="1">IF(ISNA(INDEX('NVRAM map'!$AF$3:$AG$319,MATCH(1,('NVRAM map'!$AF$3:$AF$319=$A86)*('NVRAM map'!$AI$3:$AI$319&gt;=V$3)*('NVRAM map'!$AJ$3:$AJ$319&lt;=V$3),0),2)),"-",INDEX('NVRAM map'!$AF$3:$AG$319,MATCH(1,('NVRAM map'!$AF$3:$AF$319=$A86)*('NVRAM map'!$AI$3:$AI$319&gt;=V$3)*('NVRAM map'!$AJ$3:$AJ$319&lt;=V$3),0),2))</f>
        <v>MM3_HR</v>
      </c>
      <c r="W86" s="87" t="str">
        <f t="array" aca="1" ref="W86" ca="1">IF(ISNA(INDEX('NVRAM map'!$AF$3:$AG$319,MATCH(1,('NVRAM map'!$AF$3:$AF$319=$A86)*('NVRAM map'!$AI$3:$AI$319&gt;=W$3)*('NVRAM map'!$AJ$3:$AJ$319&lt;=W$3),0),2)),"-",INDEX('NVRAM map'!$AF$3:$AG$319,MATCH(1,('NVRAM map'!$AF$3:$AF$319=$A86)*('NVRAM map'!$AI$3:$AI$319&gt;=W$3)*('NVRAM map'!$AJ$3:$AJ$319&lt;=W$3),0),2))</f>
        <v>MM3_HR</v>
      </c>
      <c r="X86" s="88" t="str">
        <f ca="1">INDEX('NVRAM map'!$B$3:$B$319,MATCH(A86,'NVRAM map'!$E$3:$E$319,0))</f>
        <v>MLX</v>
      </c>
      <c r="AB86" s="44">
        <f t="shared" ca="1" si="17"/>
        <v>35</v>
      </c>
      <c r="AC86" s="12" t="b">
        <f ca="1">COUNTIF('NVRAM map'!$AD$3:$AE$319,A86)&lt;2</f>
        <v>1</v>
      </c>
      <c r="AD86" s="12">
        <f ca="1">SUMIF('NVRAM map'!$AF$3:$AF$319,A86,'NVRAM map'!$AK$3:$AK$319)</f>
        <v>65535</v>
      </c>
      <c r="AE86" s="12" t="str">
        <f t="shared" ca="1" si="18"/>
        <v>FFFF</v>
      </c>
      <c r="AF86" s="12" t="str">
        <f t="shared" ca="1" si="19"/>
        <v>11111111</v>
      </c>
      <c r="AG86" s="12" t="str">
        <f t="shared" ca="1" si="20"/>
        <v>11111111</v>
      </c>
      <c r="AH86" s="12">
        <f t="shared" ca="1" si="21"/>
        <v>16</v>
      </c>
      <c r="AI86" s="12">
        <f ca="1">SUMIF('NVRAM map'!$AF$3:$AF$319,A86,'NVRAM map'!$AH$3:$AH$319)</f>
        <v>16</v>
      </c>
      <c r="AJ86" s="12" t="b">
        <f t="shared" ca="1" si="22"/>
        <v>1</v>
      </c>
      <c r="AK86" s="12">
        <f ca="1">COUNTIF('NVRAM map'!$AF$3:$AF$319,A86)</f>
        <v>1</v>
      </c>
      <c r="AM86" s="89">
        <v>0</v>
      </c>
      <c r="AN86" s="80">
        <f t="shared" ca="1" si="27"/>
        <v>0</v>
      </c>
      <c r="AO86" s="80">
        <f t="shared" ca="1" si="27"/>
        <v>0</v>
      </c>
      <c r="AP86" s="80">
        <f t="shared" ca="1" si="27"/>
        <v>0</v>
      </c>
      <c r="AQ86" s="80">
        <f t="shared" ca="1" si="27"/>
        <v>0</v>
      </c>
      <c r="AR86" s="80">
        <f t="shared" ca="1" si="27"/>
        <v>0</v>
      </c>
      <c r="AS86" s="80">
        <f t="shared" ca="1" si="27"/>
        <v>0</v>
      </c>
      <c r="AT86" s="80">
        <f t="shared" ca="1" si="27"/>
        <v>0</v>
      </c>
      <c r="AU86" s="80">
        <f t="shared" ca="1" si="27"/>
        <v>0</v>
      </c>
      <c r="AV86" s="80">
        <f t="shared" ca="1" si="27"/>
        <v>0</v>
      </c>
      <c r="AW86" s="80">
        <f t="shared" ca="1" si="27"/>
        <v>0</v>
      </c>
      <c r="AX86" s="80">
        <f t="shared" ca="1" si="27"/>
        <v>0</v>
      </c>
      <c r="AY86" s="80">
        <f t="shared" ca="1" si="27"/>
        <v>0</v>
      </c>
      <c r="AZ86" s="80">
        <f t="shared" ca="1" si="27"/>
        <v>0</v>
      </c>
      <c r="BA86" s="80">
        <f t="shared" ca="1" si="27"/>
        <v>0</v>
      </c>
      <c r="BB86" s="81">
        <f t="shared" ca="1" si="27"/>
        <v>0</v>
      </c>
      <c r="BD86" s="12" t="str">
        <f t="shared" si="23"/>
        <v>0x10A4</v>
      </c>
      <c r="BE86" s="12" t="str">
        <f t="shared" ca="1" si="24"/>
        <v>0000000000100011</v>
      </c>
      <c r="BG86" s="53" t="str">
        <f t="shared" ca="1" si="25"/>
        <v>`define EE_MM3_HR 41</v>
      </c>
    </row>
    <row r="87" spans="1:59">
      <c r="A87" s="82" t="s">
        <v>353</v>
      </c>
      <c r="B87" s="82">
        <v>166</v>
      </c>
      <c r="C87" s="82">
        <v>41</v>
      </c>
      <c r="D87" s="83">
        <f ca="1">SUMIF('NVRAM map'!$AF$3:$AF$319,A87,'NVRAM map'!$AN$3:$AN$319)</f>
        <v>18535</v>
      </c>
      <c r="E87" s="84" t="str">
        <f t="shared" ca="1" si="16"/>
        <v>4867</v>
      </c>
      <c r="F87" s="85" t="str">
        <f t="shared" ca="1" si="26"/>
        <v>4867</v>
      </c>
      <c r="G87" s="86" t="str">
        <f ca="1">VLOOKUP(MemoryView!A87,'NVRAM map'!$AD$3:$AE$319,2,0)</f>
        <v>EE_MM0_LR</v>
      </c>
      <c r="H87" s="87" t="str">
        <f t="array" aca="1" ref="H87" ca="1">IF(ISNA(INDEX('NVRAM map'!$AF$3:$AG$319,MATCH(1,('NVRAM map'!$AF$3:$AF$319=$A87)*('NVRAM map'!$AI$3:$AI$319&gt;=H$3)*('NVRAM map'!$AJ$3:$AJ$319&lt;=H$3),0),2)),"-",INDEX('NVRAM map'!$AF$3:$AG$319,MATCH(1,('NVRAM map'!$AF$3:$AF$319=$A87)*('NVRAM map'!$AI$3:$AI$319&gt;=H$3)*('NVRAM map'!$AJ$3:$AJ$319&lt;=H$3),0),2))</f>
        <v>MM0_LR</v>
      </c>
      <c r="I87" s="87" t="str">
        <f t="array" aca="1" ref="I87" ca="1">IF(ISNA(INDEX('NVRAM map'!$AF$3:$AG$319,MATCH(1,('NVRAM map'!$AF$3:$AF$319=$A87)*('NVRAM map'!$AI$3:$AI$319&gt;=I$3)*('NVRAM map'!$AJ$3:$AJ$319&lt;=I$3),0),2)),"-",INDEX('NVRAM map'!$AF$3:$AG$319,MATCH(1,('NVRAM map'!$AF$3:$AF$319=$A87)*('NVRAM map'!$AI$3:$AI$319&gt;=I$3)*('NVRAM map'!$AJ$3:$AJ$319&lt;=I$3),0),2))</f>
        <v>MM0_LR</v>
      </c>
      <c r="J87" s="87" t="str">
        <f t="array" aca="1" ref="J87" ca="1">IF(ISNA(INDEX('NVRAM map'!$AF$3:$AG$319,MATCH(1,('NVRAM map'!$AF$3:$AF$319=$A87)*('NVRAM map'!$AI$3:$AI$319&gt;=J$3)*('NVRAM map'!$AJ$3:$AJ$319&lt;=J$3),0),2)),"-",INDEX('NVRAM map'!$AF$3:$AG$319,MATCH(1,('NVRAM map'!$AF$3:$AF$319=$A87)*('NVRAM map'!$AI$3:$AI$319&gt;=J$3)*('NVRAM map'!$AJ$3:$AJ$319&lt;=J$3),0),2))</f>
        <v>MM0_LR</v>
      </c>
      <c r="K87" s="87" t="str">
        <f t="array" aca="1" ref="K87" ca="1">IF(ISNA(INDEX('NVRAM map'!$AF$3:$AG$319,MATCH(1,('NVRAM map'!$AF$3:$AF$319=$A87)*('NVRAM map'!$AI$3:$AI$319&gt;=K$3)*('NVRAM map'!$AJ$3:$AJ$319&lt;=K$3),0),2)),"-",INDEX('NVRAM map'!$AF$3:$AG$319,MATCH(1,('NVRAM map'!$AF$3:$AF$319=$A87)*('NVRAM map'!$AI$3:$AI$319&gt;=K$3)*('NVRAM map'!$AJ$3:$AJ$319&lt;=K$3),0),2))</f>
        <v>MM0_LR</v>
      </c>
      <c r="L87" s="87" t="str">
        <f t="array" aca="1" ref="L87" ca="1">IF(ISNA(INDEX('NVRAM map'!$AF$3:$AG$319,MATCH(1,('NVRAM map'!$AF$3:$AF$319=$A87)*('NVRAM map'!$AI$3:$AI$319&gt;=L$3)*('NVRAM map'!$AJ$3:$AJ$319&lt;=L$3),0),2)),"-",INDEX('NVRAM map'!$AF$3:$AG$319,MATCH(1,('NVRAM map'!$AF$3:$AF$319=$A87)*('NVRAM map'!$AI$3:$AI$319&gt;=L$3)*('NVRAM map'!$AJ$3:$AJ$319&lt;=L$3),0),2))</f>
        <v>MM0_LR</v>
      </c>
      <c r="M87" s="87" t="str">
        <f t="array" aca="1" ref="M87" ca="1">IF(ISNA(INDEX('NVRAM map'!$AF$3:$AG$319,MATCH(1,('NVRAM map'!$AF$3:$AF$319=$A87)*('NVRAM map'!$AI$3:$AI$319&gt;=M$3)*('NVRAM map'!$AJ$3:$AJ$319&lt;=M$3),0),2)),"-",INDEX('NVRAM map'!$AF$3:$AG$319,MATCH(1,('NVRAM map'!$AF$3:$AF$319=$A87)*('NVRAM map'!$AI$3:$AI$319&gt;=M$3)*('NVRAM map'!$AJ$3:$AJ$319&lt;=M$3),0),2))</f>
        <v>MM0_LR</v>
      </c>
      <c r="N87" s="87" t="str">
        <f t="array" aca="1" ref="N87" ca="1">IF(ISNA(INDEX('NVRAM map'!$AF$3:$AG$319,MATCH(1,('NVRAM map'!$AF$3:$AF$319=$A87)*('NVRAM map'!$AI$3:$AI$319&gt;=N$3)*('NVRAM map'!$AJ$3:$AJ$319&lt;=N$3),0),2)),"-",INDEX('NVRAM map'!$AF$3:$AG$319,MATCH(1,('NVRAM map'!$AF$3:$AF$319=$A87)*('NVRAM map'!$AI$3:$AI$319&gt;=N$3)*('NVRAM map'!$AJ$3:$AJ$319&lt;=N$3),0),2))</f>
        <v>MM0_LR</v>
      </c>
      <c r="O87" s="87" t="str">
        <f t="array" aca="1" ref="O87" ca="1">IF(ISNA(INDEX('NVRAM map'!$AF$3:$AG$319,MATCH(1,('NVRAM map'!$AF$3:$AF$319=$A87)*('NVRAM map'!$AI$3:$AI$319&gt;=O$3)*('NVRAM map'!$AJ$3:$AJ$319&lt;=O$3),0),2)),"-",INDEX('NVRAM map'!$AF$3:$AG$319,MATCH(1,('NVRAM map'!$AF$3:$AF$319=$A87)*('NVRAM map'!$AI$3:$AI$319&gt;=O$3)*('NVRAM map'!$AJ$3:$AJ$319&lt;=O$3),0),2))</f>
        <v>MM0_LR</v>
      </c>
      <c r="P87" s="87" t="str">
        <f t="array" aca="1" ref="P87" ca="1">IF(ISNA(INDEX('NVRAM map'!$AF$3:$AG$319,MATCH(1,('NVRAM map'!$AF$3:$AF$319=$A87)*('NVRAM map'!$AI$3:$AI$319&gt;=P$3)*('NVRAM map'!$AJ$3:$AJ$319&lt;=P$3),0),2)),"-",INDEX('NVRAM map'!$AF$3:$AG$319,MATCH(1,('NVRAM map'!$AF$3:$AF$319=$A87)*('NVRAM map'!$AI$3:$AI$319&gt;=P$3)*('NVRAM map'!$AJ$3:$AJ$319&lt;=P$3),0),2))</f>
        <v>MM0_LR</v>
      </c>
      <c r="Q87" s="87" t="str">
        <f t="array" aca="1" ref="Q87" ca="1">IF(ISNA(INDEX('NVRAM map'!$AF$3:$AG$319,MATCH(1,('NVRAM map'!$AF$3:$AF$319=$A87)*('NVRAM map'!$AI$3:$AI$319&gt;=Q$3)*('NVRAM map'!$AJ$3:$AJ$319&lt;=Q$3),0),2)),"-",INDEX('NVRAM map'!$AF$3:$AG$319,MATCH(1,('NVRAM map'!$AF$3:$AF$319=$A87)*('NVRAM map'!$AI$3:$AI$319&gt;=Q$3)*('NVRAM map'!$AJ$3:$AJ$319&lt;=Q$3),0),2))</f>
        <v>MM0_LR</v>
      </c>
      <c r="R87" s="87" t="str">
        <f t="array" aca="1" ref="R87" ca="1">IF(ISNA(INDEX('NVRAM map'!$AF$3:$AG$319,MATCH(1,('NVRAM map'!$AF$3:$AF$319=$A87)*('NVRAM map'!$AI$3:$AI$319&gt;=R$3)*('NVRAM map'!$AJ$3:$AJ$319&lt;=R$3),0),2)),"-",INDEX('NVRAM map'!$AF$3:$AG$319,MATCH(1,('NVRAM map'!$AF$3:$AF$319=$A87)*('NVRAM map'!$AI$3:$AI$319&gt;=R$3)*('NVRAM map'!$AJ$3:$AJ$319&lt;=R$3),0),2))</f>
        <v>MM0_LR</v>
      </c>
      <c r="S87" s="87" t="str">
        <f t="array" aca="1" ref="S87" ca="1">IF(ISNA(INDEX('NVRAM map'!$AF$3:$AG$319,MATCH(1,('NVRAM map'!$AF$3:$AF$319=$A87)*('NVRAM map'!$AI$3:$AI$319&gt;=S$3)*('NVRAM map'!$AJ$3:$AJ$319&lt;=S$3),0),2)),"-",INDEX('NVRAM map'!$AF$3:$AG$319,MATCH(1,('NVRAM map'!$AF$3:$AF$319=$A87)*('NVRAM map'!$AI$3:$AI$319&gt;=S$3)*('NVRAM map'!$AJ$3:$AJ$319&lt;=S$3),0),2))</f>
        <v>MM0_LR</v>
      </c>
      <c r="T87" s="87" t="str">
        <f t="array" aca="1" ref="T87" ca="1">IF(ISNA(INDEX('NVRAM map'!$AF$3:$AG$319,MATCH(1,('NVRAM map'!$AF$3:$AF$319=$A87)*('NVRAM map'!$AI$3:$AI$319&gt;=T$3)*('NVRAM map'!$AJ$3:$AJ$319&lt;=T$3),0),2)),"-",INDEX('NVRAM map'!$AF$3:$AG$319,MATCH(1,('NVRAM map'!$AF$3:$AF$319=$A87)*('NVRAM map'!$AI$3:$AI$319&gt;=T$3)*('NVRAM map'!$AJ$3:$AJ$319&lt;=T$3),0),2))</f>
        <v>MM0_LR</v>
      </c>
      <c r="U87" s="87" t="str">
        <f t="array" aca="1" ref="U87" ca="1">IF(ISNA(INDEX('NVRAM map'!$AF$3:$AG$319,MATCH(1,('NVRAM map'!$AF$3:$AF$319=$A87)*('NVRAM map'!$AI$3:$AI$319&gt;=U$3)*('NVRAM map'!$AJ$3:$AJ$319&lt;=U$3),0),2)),"-",INDEX('NVRAM map'!$AF$3:$AG$319,MATCH(1,('NVRAM map'!$AF$3:$AF$319=$A87)*('NVRAM map'!$AI$3:$AI$319&gt;=U$3)*('NVRAM map'!$AJ$3:$AJ$319&lt;=U$3),0),2))</f>
        <v>MM0_LR</v>
      </c>
      <c r="V87" s="87" t="str">
        <f t="array" aca="1" ref="V87" ca="1">IF(ISNA(INDEX('NVRAM map'!$AF$3:$AG$319,MATCH(1,('NVRAM map'!$AF$3:$AF$319=$A87)*('NVRAM map'!$AI$3:$AI$319&gt;=V$3)*('NVRAM map'!$AJ$3:$AJ$319&lt;=V$3),0),2)),"-",INDEX('NVRAM map'!$AF$3:$AG$319,MATCH(1,('NVRAM map'!$AF$3:$AF$319=$A87)*('NVRAM map'!$AI$3:$AI$319&gt;=V$3)*('NVRAM map'!$AJ$3:$AJ$319&lt;=V$3),0),2))</f>
        <v>MM0_LR</v>
      </c>
      <c r="W87" s="87" t="str">
        <f t="array" aca="1" ref="W87" ca="1">IF(ISNA(INDEX('NVRAM map'!$AF$3:$AG$319,MATCH(1,('NVRAM map'!$AF$3:$AF$319=$A87)*('NVRAM map'!$AI$3:$AI$319&gt;=W$3)*('NVRAM map'!$AJ$3:$AJ$319&lt;=W$3),0),2)),"-",INDEX('NVRAM map'!$AF$3:$AG$319,MATCH(1,('NVRAM map'!$AF$3:$AF$319=$A87)*('NVRAM map'!$AI$3:$AI$319&gt;=W$3)*('NVRAM map'!$AJ$3:$AJ$319&lt;=W$3),0),2))</f>
        <v>MM0_LR</v>
      </c>
      <c r="X87" s="88" t="str">
        <f ca="1">INDEX('NVRAM map'!$B$3:$B$319,MATCH(A87,'NVRAM map'!$E$3:$E$319,0))</f>
        <v>MLX</v>
      </c>
      <c r="AB87" s="44">
        <f t="shared" ca="1" si="17"/>
        <v>175</v>
      </c>
      <c r="AC87" s="12" t="b">
        <f ca="1">COUNTIF('NVRAM map'!$AD$3:$AE$319,A87)&lt;2</f>
        <v>1</v>
      </c>
      <c r="AD87" s="12">
        <f ca="1">SUMIF('NVRAM map'!$AF$3:$AF$319,A87,'NVRAM map'!$AK$3:$AK$319)</f>
        <v>65535</v>
      </c>
      <c r="AE87" s="12" t="str">
        <f t="shared" ca="1" si="18"/>
        <v>FFFF</v>
      </c>
      <c r="AF87" s="12" t="str">
        <f t="shared" ca="1" si="19"/>
        <v>11111111</v>
      </c>
      <c r="AG87" s="12" t="str">
        <f t="shared" ca="1" si="20"/>
        <v>11111111</v>
      </c>
      <c r="AH87" s="12">
        <f t="shared" ca="1" si="21"/>
        <v>16</v>
      </c>
      <c r="AI87" s="12">
        <f ca="1">SUMIF('NVRAM map'!$AF$3:$AF$319,A87,'NVRAM map'!$AH$3:$AH$319)</f>
        <v>16</v>
      </c>
      <c r="AJ87" s="12" t="b">
        <f t="shared" ca="1" si="22"/>
        <v>1</v>
      </c>
      <c r="AK87" s="12">
        <f ca="1">COUNTIF('NVRAM map'!$AF$3:$AF$319,A87)</f>
        <v>1</v>
      </c>
      <c r="AM87" s="89">
        <v>0</v>
      </c>
      <c r="AN87" s="80">
        <f t="shared" ca="1" si="27"/>
        <v>0</v>
      </c>
      <c r="AO87" s="80">
        <f t="shared" ca="1" si="27"/>
        <v>0</v>
      </c>
      <c r="AP87" s="80">
        <f t="shared" ca="1" si="27"/>
        <v>0</v>
      </c>
      <c r="AQ87" s="80">
        <f t="shared" ca="1" si="27"/>
        <v>0</v>
      </c>
      <c r="AR87" s="80">
        <f t="shared" ca="1" si="27"/>
        <v>0</v>
      </c>
      <c r="AS87" s="80">
        <f t="shared" ca="1" si="27"/>
        <v>0</v>
      </c>
      <c r="AT87" s="80">
        <f t="shared" ca="1" si="27"/>
        <v>0</v>
      </c>
      <c r="AU87" s="80">
        <f t="shared" ca="1" si="27"/>
        <v>0</v>
      </c>
      <c r="AV87" s="80">
        <f t="shared" ca="1" si="27"/>
        <v>0</v>
      </c>
      <c r="AW87" s="80">
        <f t="shared" ca="1" si="27"/>
        <v>0</v>
      </c>
      <c r="AX87" s="80">
        <f t="shared" ca="1" si="27"/>
        <v>0</v>
      </c>
      <c r="AY87" s="80">
        <f t="shared" ca="1" si="27"/>
        <v>0</v>
      </c>
      <c r="AZ87" s="80">
        <f t="shared" ca="1" si="27"/>
        <v>0</v>
      </c>
      <c r="BA87" s="80">
        <f t="shared" ca="1" si="27"/>
        <v>0</v>
      </c>
      <c r="BB87" s="81">
        <f t="shared" ca="1" si="27"/>
        <v>0</v>
      </c>
      <c r="BD87" s="12" t="str">
        <f t="shared" si="23"/>
        <v>0x10A6</v>
      </c>
      <c r="BE87" s="12" t="str">
        <f t="shared" ca="1" si="24"/>
        <v>0100100001100111</v>
      </c>
      <c r="BG87" s="53" t="str">
        <f t="shared" ca="1" si="25"/>
        <v>`define EE_MM0_LR 41</v>
      </c>
    </row>
    <row r="88" spans="1:59">
      <c r="A88" s="82" t="s">
        <v>354</v>
      </c>
      <c r="B88" s="82">
        <v>168</v>
      </c>
      <c r="C88" s="82">
        <v>42</v>
      </c>
      <c r="D88" s="83">
        <f ca="1">SUMIF('NVRAM map'!$AF$3:$AF$319,A88,'NVRAM map'!$AN$3:$AN$319)</f>
        <v>169</v>
      </c>
      <c r="E88" s="84" t="str">
        <f t="shared" ca="1" si="16"/>
        <v>00A9</v>
      </c>
      <c r="F88" s="85" t="str">
        <f t="shared" ca="1" si="26"/>
        <v>00A9</v>
      </c>
      <c r="G88" s="86" t="str">
        <f ca="1">VLOOKUP(MemoryView!A88,'NVRAM map'!$AD$3:$AE$319,2,0)</f>
        <v>EE_MM1_LR</v>
      </c>
      <c r="H88" s="87" t="str">
        <f t="array" aca="1" ref="H88" ca="1">IF(ISNA(INDEX('NVRAM map'!$AF$3:$AG$319,MATCH(1,('NVRAM map'!$AF$3:$AF$319=$A88)*('NVRAM map'!$AI$3:$AI$319&gt;=H$3)*('NVRAM map'!$AJ$3:$AJ$319&lt;=H$3),0),2)),"-",INDEX('NVRAM map'!$AF$3:$AG$319,MATCH(1,('NVRAM map'!$AF$3:$AF$319=$A88)*('NVRAM map'!$AI$3:$AI$319&gt;=H$3)*('NVRAM map'!$AJ$3:$AJ$319&lt;=H$3),0),2))</f>
        <v>MM1_LR</v>
      </c>
      <c r="I88" s="87" t="str">
        <f t="array" aca="1" ref="I88" ca="1">IF(ISNA(INDEX('NVRAM map'!$AF$3:$AG$319,MATCH(1,('NVRAM map'!$AF$3:$AF$319=$A88)*('NVRAM map'!$AI$3:$AI$319&gt;=I$3)*('NVRAM map'!$AJ$3:$AJ$319&lt;=I$3),0),2)),"-",INDEX('NVRAM map'!$AF$3:$AG$319,MATCH(1,('NVRAM map'!$AF$3:$AF$319=$A88)*('NVRAM map'!$AI$3:$AI$319&gt;=I$3)*('NVRAM map'!$AJ$3:$AJ$319&lt;=I$3),0),2))</f>
        <v>MM1_LR</v>
      </c>
      <c r="J88" s="87" t="str">
        <f t="array" aca="1" ref="J88" ca="1">IF(ISNA(INDEX('NVRAM map'!$AF$3:$AG$319,MATCH(1,('NVRAM map'!$AF$3:$AF$319=$A88)*('NVRAM map'!$AI$3:$AI$319&gt;=J$3)*('NVRAM map'!$AJ$3:$AJ$319&lt;=J$3),0),2)),"-",INDEX('NVRAM map'!$AF$3:$AG$319,MATCH(1,('NVRAM map'!$AF$3:$AF$319=$A88)*('NVRAM map'!$AI$3:$AI$319&gt;=J$3)*('NVRAM map'!$AJ$3:$AJ$319&lt;=J$3),0),2))</f>
        <v>MM1_LR</v>
      </c>
      <c r="K88" s="87" t="str">
        <f t="array" aca="1" ref="K88" ca="1">IF(ISNA(INDEX('NVRAM map'!$AF$3:$AG$319,MATCH(1,('NVRAM map'!$AF$3:$AF$319=$A88)*('NVRAM map'!$AI$3:$AI$319&gt;=K$3)*('NVRAM map'!$AJ$3:$AJ$319&lt;=K$3),0),2)),"-",INDEX('NVRAM map'!$AF$3:$AG$319,MATCH(1,('NVRAM map'!$AF$3:$AF$319=$A88)*('NVRAM map'!$AI$3:$AI$319&gt;=K$3)*('NVRAM map'!$AJ$3:$AJ$319&lt;=K$3),0),2))</f>
        <v>MM1_LR</v>
      </c>
      <c r="L88" s="87" t="str">
        <f t="array" aca="1" ref="L88" ca="1">IF(ISNA(INDEX('NVRAM map'!$AF$3:$AG$319,MATCH(1,('NVRAM map'!$AF$3:$AF$319=$A88)*('NVRAM map'!$AI$3:$AI$319&gt;=L$3)*('NVRAM map'!$AJ$3:$AJ$319&lt;=L$3),0),2)),"-",INDEX('NVRAM map'!$AF$3:$AG$319,MATCH(1,('NVRAM map'!$AF$3:$AF$319=$A88)*('NVRAM map'!$AI$3:$AI$319&gt;=L$3)*('NVRAM map'!$AJ$3:$AJ$319&lt;=L$3),0),2))</f>
        <v>MM1_LR</v>
      </c>
      <c r="M88" s="87" t="str">
        <f t="array" aca="1" ref="M88" ca="1">IF(ISNA(INDEX('NVRAM map'!$AF$3:$AG$319,MATCH(1,('NVRAM map'!$AF$3:$AF$319=$A88)*('NVRAM map'!$AI$3:$AI$319&gt;=M$3)*('NVRAM map'!$AJ$3:$AJ$319&lt;=M$3),0),2)),"-",INDEX('NVRAM map'!$AF$3:$AG$319,MATCH(1,('NVRAM map'!$AF$3:$AF$319=$A88)*('NVRAM map'!$AI$3:$AI$319&gt;=M$3)*('NVRAM map'!$AJ$3:$AJ$319&lt;=M$3),0),2))</f>
        <v>MM1_LR</v>
      </c>
      <c r="N88" s="87" t="str">
        <f t="array" aca="1" ref="N88" ca="1">IF(ISNA(INDEX('NVRAM map'!$AF$3:$AG$319,MATCH(1,('NVRAM map'!$AF$3:$AF$319=$A88)*('NVRAM map'!$AI$3:$AI$319&gt;=N$3)*('NVRAM map'!$AJ$3:$AJ$319&lt;=N$3),0),2)),"-",INDEX('NVRAM map'!$AF$3:$AG$319,MATCH(1,('NVRAM map'!$AF$3:$AF$319=$A88)*('NVRAM map'!$AI$3:$AI$319&gt;=N$3)*('NVRAM map'!$AJ$3:$AJ$319&lt;=N$3),0),2))</f>
        <v>MM1_LR</v>
      </c>
      <c r="O88" s="87" t="str">
        <f t="array" aca="1" ref="O88" ca="1">IF(ISNA(INDEX('NVRAM map'!$AF$3:$AG$319,MATCH(1,('NVRAM map'!$AF$3:$AF$319=$A88)*('NVRAM map'!$AI$3:$AI$319&gt;=O$3)*('NVRAM map'!$AJ$3:$AJ$319&lt;=O$3),0),2)),"-",INDEX('NVRAM map'!$AF$3:$AG$319,MATCH(1,('NVRAM map'!$AF$3:$AF$319=$A88)*('NVRAM map'!$AI$3:$AI$319&gt;=O$3)*('NVRAM map'!$AJ$3:$AJ$319&lt;=O$3),0),2))</f>
        <v>MM1_LR</v>
      </c>
      <c r="P88" s="87" t="str">
        <f t="array" aca="1" ref="P88" ca="1">IF(ISNA(INDEX('NVRAM map'!$AF$3:$AG$319,MATCH(1,('NVRAM map'!$AF$3:$AF$319=$A88)*('NVRAM map'!$AI$3:$AI$319&gt;=P$3)*('NVRAM map'!$AJ$3:$AJ$319&lt;=P$3),0),2)),"-",INDEX('NVRAM map'!$AF$3:$AG$319,MATCH(1,('NVRAM map'!$AF$3:$AF$319=$A88)*('NVRAM map'!$AI$3:$AI$319&gt;=P$3)*('NVRAM map'!$AJ$3:$AJ$319&lt;=P$3),0),2))</f>
        <v>MM1_LR</v>
      </c>
      <c r="Q88" s="87" t="str">
        <f t="array" aca="1" ref="Q88" ca="1">IF(ISNA(INDEX('NVRAM map'!$AF$3:$AG$319,MATCH(1,('NVRAM map'!$AF$3:$AF$319=$A88)*('NVRAM map'!$AI$3:$AI$319&gt;=Q$3)*('NVRAM map'!$AJ$3:$AJ$319&lt;=Q$3),0),2)),"-",INDEX('NVRAM map'!$AF$3:$AG$319,MATCH(1,('NVRAM map'!$AF$3:$AF$319=$A88)*('NVRAM map'!$AI$3:$AI$319&gt;=Q$3)*('NVRAM map'!$AJ$3:$AJ$319&lt;=Q$3),0),2))</f>
        <v>MM1_LR</v>
      </c>
      <c r="R88" s="87" t="str">
        <f t="array" aca="1" ref="R88" ca="1">IF(ISNA(INDEX('NVRAM map'!$AF$3:$AG$319,MATCH(1,('NVRAM map'!$AF$3:$AF$319=$A88)*('NVRAM map'!$AI$3:$AI$319&gt;=R$3)*('NVRAM map'!$AJ$3:$AJ$319&lt;=R$3),0),2)),"-",INDEX('NVRAM map'!$AF$3:$AG$319,MATCH(1,('NVRAM map'!$AF$3:$AF$319=$A88)*('NVRAM map'!$AI$3:$AI$319&gt;=R$3)*('NVRAM map'!$AJ$3:$AJ$319&lt;=R$3),0),2))</f>
        <v>MM1_LR</v>
      </c>
      <c r="S88" s="87" t="str">
        <f t="array" aca="1" ref="S88" ca="1">IF(ISNA(INDEX('NVRAM map'!$AF$3:$AG$319,MATCH(1,('NVRAM map'!$AF$3:$AF$319=$A88)*('NVRAM map'!$AI$3:$AI$319&gt;=S$3)*('NVRAM map'!$AJ$3:$AJ$319&lt;=S$3),0),2)),"-",INDEX('NVRAM map'!$AF$3:$AG$319,MATCH(1,('NVRAM map'!$AF$3:$AF$319=$A88)*('NVRAM map'!$AI$3:$AI$319&gt;=S$3)*('NVRAM map'!$AJ$3:$AJ$319&lt;=S$3),0),2))</f>
        <v>MM1_LR</v>
      </c>
      <c r="T88" s="87" t="str">
        <f t="array" aca="1" ref="T88" ca="1">IF(ISNA(INDEX('NVRAM map'!$AF$3:$AG$319,MATCH(1,('NVRAM map'!$AF$3:$AF$319=$A88)*('NVRAM map'!$AI$3:$AI$319&gt;=T$3)*('NVRAM map'!$AJ$3:$AJ$319&lt;=T$3),0),2)),"-",INDEX('NVRAM map'!$AF$3:$AG$319,MATCH(1,('NVRAM map'!$AF$3:$AF$319=$A88)*('NVRAM map'!$AI$3:$AI$319&gt;=T$3)*('NVRAM map'!$AJ$3:$AJ$319&lt;=T$3),0),2))</f>
        <v>MM1_LR</v>
      </c>
      <c r="U88" s="87" t="str">
        <f t="array" aca="1" ref="U88" ca="1">IF(ISNA(INDEX('NVRAM map'!$AF$3:$AG$319,MATCH(1,('NVRAM map'!$AF$3:$AF$319=$A88)*('NVRAM map'!$AI$3:$AI$319&gt;=U$3)*('NVRAM map'!$AJ$3:$AJ$319&lt;=U$3),0),2)),"-",INDEX('NVRAM map'!$AF$3:$AG$319,MATCH(1,('NVRAM map'!$AF$3:$AF$319=$A88)*('NVRAM map'!$AI$3:$AI$319&gt;=U$3)*('NVRAM map'!$AJ$3:$AJ$319&lt;=U$3),0),2))</f>
        <v>MM1_LR</v>
      </c>
      <c r="V88" s="87" t="str">
        <f t="array" aca="1" ref="V88" ca="1">IF(ISNA(INDEX('NVRAM map'!$AF$3:$AG$319,MATCH(1,('NVRAM map'!$AF$3:$AF$319=$A88)*('NVRAM map'!$AI$3:$AI$319&gt;=V$3)*('NVRAM map'!$AJ$3:$AJ$319&lt;=V$3),0),2)),"-",INDEX('NVRAM map'!$AF$3:$AG$319,MATCH(1,('NVRAM map'!$AF$3:$AF$319=$A88)*('NVRAM map'!$AI$3:$AI$319&gt;=V$3)*('NVRAM map'!$AJ$3:$AJ$319&lt;=V$3),0),2))</f>
        <v>MM1_LR</v>
      </c>
      <c r="W88" s="87" t="str">
        <f t="array" aca="1" ref="W88" ca="1">IF(ISNA(INDEX('NVRAM map'!$AF$3:$AG$319,MATCH(1,('NVRAM map'!$AF$3:$AF$319=$A88)*('NVRAM map'!$AI$3:$AI$319&gt;=W$3)*('NVRAM map'!$AJ$3:$AJ$319&lt;=W$3),0),2)),"-",INDEX('NVRAM map'!$AF$3:$AG$319,MATCH(1,('NVRAM map'!$AF$3:$AF$319=$A88)*('NVRAM map'!$AI$3:$AI$319&gt;=W$3)*('NVRAM map'!$AJ$3:$AJ$319&lt;=W$3),0),2))</f>
        <v>MM1_LR</v>
      </c>
      <c r="X88" s="88" t="str">
        <f ca="1">INDEX('NVRAM map'!$B$3:$B$319,MATCH(A88,'NVRAM map'!$E$3:$E$319,0))</f>
        <v>MLX</v>
      </c>
      <c r="AB88" s="44">
        <f t="shared" ca="1" si="17"/>
        <v>169</v>
      </c>
      <c r="AC88" s="12" t="b">
        <f ca="1">COUNTIF('NVRAM map'!$AD$3:$AE$319,A88)&lt;2</f>
        <v>1</v>
      </c>
      <c r="AD88" s="12">
        <f ca="1">SUMIF('NVRAM map'!$AF$3:$AF$319,A88,'NVRAM map'!$AK$3:$AK$319)</f>
        <v>65535</v>
      </c>
      <c r="AE88" s="12" t="str">
        <f t="shared" ca="1" si="18"/>
        <v>FFFF</v>
      </c>
      <c r="AF88" s="12" t="str">
        <f t="shared" ca="1" si="19"/>
        <v>11111111</v>
      </c>
      <c r="AG88" s="12" t="str">
        <f t="shared" ca="1" si="20"/>
        <v>11111111</v>
      </c>
      <c r="AH88" s="12">
        <f t="shared" ca="1" si="21"/>
        <v>16</v>
      </c>
      <c r="AI88" s="12">
        <f ca="1">SUMIF('NVRAM map'!$AF$3:$AF$319,A88,'NVRAM map'!$AH$3:$AH$319)</f>
        <v>16</v>
      </c>
      <c r="AJ88" s="12" t="b">
        <f t="shared" ca="1" si="22"/>
        <v>1</v>
      </c>
      <c r="AK88" s="12">
        <f ca="1">COUNTIF('NVRAM map'!$AF$3:$AF$319,A88)</f>
        <v>1</v>
      </c>
      <c r="AM88" s="89">
        <v>0</v>
      </c>
      <c r="AN88" s="80">
        <f t="shared" ca="1" si="27"/>
        <v>0</v>
      </c>
      <c r="AO88" s="80">
        <f t="shared" ca="1" si="27"/>
        <v>0</v>
      </c>
      <c r="AP88" s="80">
        <f t="shared" ca="1" si="27"/>
        <v>0</v>
      </c>
      <c r="AQ88" s="80">
        <f t="shared" ca="1" si="27"/>
        <v>0</v>
      </c>
      <c r="AR88" s="80">
        <f t="shared" ca="1" si="27"/>
        <v>0</v>
      </c>
      <c r="AS88" s="80">
        <f t="shared" ca="1" si="27"/>
        <v>0</v>
      </c>
      <c r="AT88" s="80">
        <f t="shared" ca="1" si="27"/>
        <v>0</v>
      </c>
      <c r="AU88" s="80">
        <f t="shared" ca="1" si="27"/>
        <v>0</v>
      </c>
      <c r="AV88" s="80">
        <f t="shared" ca="1" si="27"/>
        <v>0</v>
      </c>
      <c r="AW88" s="80">
        <f t="shared" ca="1" si="27"/>
        <v>0</v>
      </c>
      <c r="AX88" s="80">
        <f t="shared" ca="1" si="27"/>
        <v>0</v>
      </c>
      <c r="AY88" s="80">
        <f t="shared" ca="1" si="27"/>
        <v>0</v>
      </c>
      <c r="AZ88" s="80">
        <f t="shared" ca="1" si="27"/>
        <v>0</v>
      </c>
      <c r="BA88" s="80">
        <f t="shared" ca="1" si="27"/>
        <v>0</v>
      </c>
      <c r="BB88" s="81">
        <f t="shared" ca="1" si="27"/>
        <v>0</v>
      </c>
      <c r="BD88" s="12" t="str">
        <f t="shared" si="23"/>
        <v>0x10A8</v>
      </c>
      <c r="BE88" s="12" t="str">
        <f t="shared" ca="1" si="24"/>
        <v>0000000010101001</v>
      </c>
      <c r="BG88" s="53" t="str">
        <f t="shared" ca="1" si="25"/>
        <v>`define EE_MM1_LR 42</v>
      </c>
    </row>
    <row r="89" spans="1:59">
      <c r="A89" s="82" t="s">
        <v>355</v>
      </c>
      <c r="B89" s="82">
        <v>170</v>
      </c>
      <c r="C89" s="82">
        <v>42</v>
      </c>
      <c r="D89" s="83">
        <f ca="1">SUMIF('NVRAM map'!$AF$3:$AF$319,A89,'NVRAM map'!$AN$3:$AN$319)</f>
        <v>1086</v>
      </c>
      <c r="E89" s="84" t="str">
        <f t="shared" ca="1" si="16"/>
        <v>043E</v>
      </c>
      <c r="F89" s="85" t="str">
        <f t="shared" ca="1" si="26"/>
        <v>043E</v>
      </c>
      <c r="G89" s="86" t="str">
        <f ca="1">VLOOKUP(MemoryView!A89,'NVRAM map'!$AD$3:$AE$319,2,0)</f>
        <v>EE_MM2_LR</v>
      </c>
      <c r="H89" s="87" t="str">
        <f t="array" aca="1" ref="H89" ca="1">IF(ISNA(INDEX('NVRAM map'!$AF$3:$AG$319,MATCH(1,('NVRAM map'!$AF$3:$AF$319=$A89)*('NVRAM map'!$AI$3:$AI$319&gt;=H$3)*('NVRAM map'!$AJ$3:$AJ$319&lt;=H$3),0),2)),"-",INDEX('NVRAM map'!$AF$3:$AG$319,MATCH(1,('NVRAM map'!$AF$3:$AF$319=$A89)*('NVRAM map'!$AI$3:$AI$319&gt;=H$3)*('NVRAM map'!$AJ$3:$AJ$319&lt;=H$3),0),2))</f>
        <v>MM2_LR</v>
      </c>
      <c r="I89" s="87" t="str">
        <f t="array" aca="1" ref="I89" ca="1">IF(ISNA(INDEX('NVRAM map'!$AF$3:$AG$319,MATCH(1,('NVRAM map'!$AF$3:$AF$319=$A89)*('NVRAM map'!$AI$3:$AI$319&gt;=I$3)*('NVRAM map'!$AJ$3:$AJ$319&lt;=I$3),0),2)),"-",INDEX('NVRAM map'!$AF$3:$AG$319,MATCH(1,('NVRAM map'!$AF$3:$AF$319=$A89)*('NVRAM map'!$AI$3:$AI$319&gt;=I$3)*('NVRAM map'!$AJ$3:$AJ$319&lt;=I$3),0),2))</f>
        <v>MM2_LR</v>
      </c>
      <c r="J89" s="87" t="str">
        <f t="array" aca="1" ref="J89" ca="1">IF(ISNA(INDEX('NVRAM map'!$AF$3:$AG$319,MATCH(1,('NVRAM map'!$AF$3:$AF$319=$A89)*('NVRAM map'!$AI$3:$AI$319&gt;=J$3)*('NVRAM map'!$AJ$3:$AJ$319&lt;=J$3),0),2)),"-",INDEX('NVRAM map'!$AF$3:$AG$319,MATCH(1,('NVRAM map'!$AF$3:$AF$319=$A89)*('NVRAM map'!$AI$3:$AI$319&gt;=J$3)*('NVRAM map'!$AJ$3:$AJ$319&lt;=J$3),0),2))</f>
        <v>MM2_LR</v>
      </c>
      <c r="K89" s="87" t="str">
        <f t="array" aca="1" ref="K89" ca="1">IF(ISNA(INDEX('NVRAM map'!$AF$3:$AG$319,MATCH(1,('NVRAM map'!$AF$3:$AF$319=$A89)*('NVRAM map'!$AI$3:$AI$319&gt;=K$3)*('NVRAM map'!$AJ$3:$AJ$319&lt;=K$3),0),2)),"-",INDEX('NVRAM map'!$AF$3:$AG$319,MATCH(1,('NVRAM map'!$AF$3:$AF$319=$A89)*('NVRAM map'!$AI$3:$AI$319&gt;=K$3)*('NVRAM map'!$AJ$3:$AJ$319&lt;=K$3),0),2))</f>
        <v>MM2_LR</v>
      </c>
      <c r="L89" s="87" t="str">
        <f t="array" aca="1" ref="L89" ca="1">IF(ISNA(INDEX('NVRAM map'!$AF$3:$AG$319,MATCH(1,('NVRAM map'!$AF$3:$AF$319=$A89)*('NVRAM map'!$AI$3:$AI$319&gt;=L$3)*('NVRAM map'!$AJ$3:$AJ$319&lt;=L$3),0),2)),"-",INDEX('NVRAM map'!$AF$3:$AG$319,MATCH(1,('NVRAM map'!$AF$3:$AF$319=$A89)*('NVRAM map'!$AI$3:$AI$319&gt;=L$3)*('NVRAM map'!$AJ$3:$AJ$319&lt;=L$3),0),2))</f>
        <v>MM2_LR</v>
      </c>
      <c r="M89" s="87" t="str">
        <f t="array" aca="1" ref="M89" ca="1">IF(ISNA(INDEX('NVRAM map'!$AF$3:$AG$319,MATCH(1,('NVRAM map'!$AF$3:$AF$319=$A89)*('NVRAM map'!$AI$3:$AI$319&gt;=M$3)*('NVRAM map'!$AJ$3:$AJ$319&lt;=M$3),0),2)),"-",INDEX('NVRAM map'!$AF$3:$AG$319,MATCH(1,('NVRAM map'!$AF$3:$AF$319=$A89)*('NVRAM map'!$AI$3:$AI$319&gt;=M$3)*('NVRAM map'!$AJ$3:$AJ$319&lt;=M$3),0),2))</f>
        <v>MM2_LR</v>
      </c>
      <c r="N89" s="87" t="str">
        <f t="array" aca="1" ref="N89" ca="1">IF(ISNA(INDEX('NVRAM map'!$AF$3:$AG$319,MATCH(1,('NVRAM map'!$AF$3:$AF$319=$A89)*('NVRAM map'!$AI$3:$AI$319&gt;=N$3)*('NVRAM map'!$AJ$3:$AJ$319&lt;=N$3),0),2)),"-",INDEX('NVRAM map'!$AF$3:$AG$319,MATCH(1,('NVRAM map'!$AF$3:$AF$319=$A89)*('NVRAM map'!$AI$3:$AI$319&gt;=N$3)*('NVRAM map'!$AJ$3:$AJ$319&lt;=N$3),0),2))</f>
        <v>MM2_LR</v>
      </c>
      <c r="O89" s="87" t="str">
        <f t="array" aca="1" ref="O89" ca="1">IF(ISNA(INDEX('NVRAM map'!$AF$3:$AG$319,MATCH(1,('NVRAM map'!$AF$3:$AF$319=$A89)*('NVRAM map'!$AI$3:$AI$319&gt;=O$3)*('NVRAM map'!$AJ$3:$AJ$319&lt;=O$3),0),2)),"-",INDEX('NVRAM map'!$AF$3:$AG$319,MATCH(1,('NVRAM map'!$AF$3:$AF$319=$A89)*('NVRAM map'!$AI$3:$AI$319&gt;=O$3)*('NVRAM map'!$AJ$3:$AJ$319&lt;=O$3),0),2))</f>
        <v>MM2_LR</v>
      </c>
      <c r="P89" s="87" t="str">
        <f t="array" aca="1" ref="P89" ca="1">IF(ISNA(INDEX('NVRAM map'!$AF$3:$AG$319,MATCH(1,('NVRAM map'!$AF$3:$AF$319=$A89)*('NVRAM map'!$AI$3:$AI$319&gt;=P$3)*('NVRAM map'!$AJ$3:$AJ$319&lt;=P$3),0),2)),"-",INDEX('NVRAM map'!$AF$3:$AG$319,MATCH(1,('NVRAM map'!$AF$3:$AF$319=$A89)*('NVRAM map'!$AI$3:$AI$319&gt;=P$3)*('NVRAM map'!$AJ$3:$AJ$319&lt;=P$3),0),2))</f>
        <v>MM2_LR</v>
      </c>
      <c r="Q89" s="87" t="str">
        <f t="array" aca="1" ref="Q89" ca="1">IF(ISNA(INDEX('NVRAM map'!$AF$3:$AG$319,MATCH(1,('NVRAM map'!$AF$3:$AF$319=$A89)*('NVRAM map'!$AI$3:$AI$319&gt;=Q$3)*('NVRAM map'!$AJ$3:$AJ$319&lt;=Q$3),0),2)),"-",INDEX('NVRAM map'!$AF$3:$AG$319,MATCH(1,('NVRAM map'!$AF$3:$AF$319=$A89)*('NVRAM map'!$AI$3:$AI$319&gt;=Q$3)*('NVRAM map'!$AJ$3:$AJ$319&lt;=Q$3),0),2))</f>
        <v>MM2_LR</v>
      </c>
      <c r="R89" s="87" t="str">
        <f t="array" aca="1" ref="R89" ca="1">IF(ISNA(INDEX('NVRAM map'!$AF$3:$AG$319,MATCH(1,('NVRAM map'!$AF$3:$AF$319=$A89)*('NVRAM map'!$AI$3:$AI$319&gt;=R$3)*('NVRAM map'!$AJ$3:$AJ$319&lt;=R$3),0),2)),"-",INDEX('NVRAM map'!$AF$3:$AG$319,MATCH(1,('NVRAM map'!$AF$3:$AF$319=$A89)*('NVRAM map'!$AI$3:$AI$319&gt;=R$3)*('NVRAM map'!$AJ$3:$AJ$319&lt;=R$3),0),2))</f>
        <v>MM2_LR</v>
      </c>
      <c r="S89" s="87" t="str">
        <f t="array" aca="1" ref="S89" ca="1">IF(ISNA(INDEX('NVRAM map'!$AF$3:$AG$319,MATCH(1,('NVRAM map'!$AF$3:$AF$319=$A89)*('NVRAM map'!$AI$3:$AI$319&gt;=S$3)*('NVRAM map'!$AJ$3:$AJ$319&lt;=S$3),0),2)),"-",INDEX('NVRAM map'!$AF$3:$AG$319,MATCH(1,('NVRAM map'!$AF$3:$AF$319=$A89)*('NVRAM map'!$AI$3:$AI$319&gt;=S$3)*('NVRAM map'!$AJ$3:$AJ$319&lt;=S$3),0),2))</f>
        <v>MM2_LR</v>
      </c>
      <c r="T89" s="87" t="str">
        <f t="array" aca="1" ref="T89" ca="1">IF(ISNA(INDEX('NVRAM map'!$AF$3:$AG$319,MATCH(1,('NVRAM map'!$AF$3:$AF$319=$A89)*('NVRAM map'!$AI$3:$AI$319&gt;=T$3)*('NVRAM map'!$AJ$3:$AJ$319&lt;=T$3),0),2)),"-",INDEX('NVRAM map'!$AF$3:$AG$319,MATCH(1,('NVRAM map'!$AF$3:$AF$319=$A89)*('NVRAM map'!$AI$3:$AI$319&gt;=T$3)*('NVRAM map'!$AJ$3:$AJ$319&lt;=T$3),0),2))</f>
        <v>MM2_LR</v>
      </c>
      <c r="U89" s="87" t="str">
        <f t="array" aca="1" ref="U89" ca="1">IF(ISNA(INDEX('NVRAM map'!$AF$3:$AG$319,MATCH(1,('NVRAM map'!$AF$3:$AF$319=$A89)*('NVRAM map'!$AI$3:$AI$319&gt;=U$3)*('NVRAM map'!$AJ$3:$AJ$319&lt;=U$3),0),2)),"-",INDEX('NVRAM map'!$AF$3:$AG$319,MATCH(1,('NVRAM map'!$AF$3:$AF$319=$A89)*('NVRAM map'!$AI$3:$AI$319&gt;=U$3)*('NVRAM map'!$AJ$3:$AJ$319&lt;=U$3),0),2))</f>
        <v>MM2_LR</v>
      </c>
      <c r="V89" s="87" t="str">
        <f t="array" aca="1" ref="V89" ca="1">IF(ISNA(INDEX('NVRAM map'!$AF$3:$AG$319,MATCH(1,('NVRAM map'!$AF$3:$AF$319=$A89)*('NVRAM map'!$AI$3:$AI$319&gt;=V$3)*('NVRAM map'!$AJ$3:$AJ$319&lt;=V$3),0),2)),"-",INDEX('NVRAM map'!$AF$3:$AG$319,MATCH(1,('NVRAM map'!$AF$3:$AF$319=$A89)*('NVRAM map'!$AI$3:$AI$319&gt;=V$3)*('NVRAM map'!$AJ$3:$AJ$319&lt;=V$3),0),2))</f>
        <v>MM2_LR</v>
      </c>
      <c r="W89" s="87" t="str">
        <f t="array" aca="1" ref="W89" ca="1">IF(ISNA(INDEX('NVRAM map'!$AF$3:$AG$319,MATCH(1,('NVRAM map'!$AF$3:$AF$319=$A89)*('NVRAM map'!$AI$3:$AI$319&gt;=W$3)*('NVRAM map'!$AJ$3:$AJ$319&lt;=W$3),0),2)),"-",INDEX('NVRAM map'!$AF$3:$AG$319,MATCH(1,('NVRAM map'!$AF$3:$AF$319=$A89)*('NVRAM map'!$AI$3:$AI$319&gt;=W$3)*('NVRAM map'!$AJ$3:$AJ$319&lt;=W$3),0),2))</f>
        <v>MM2_LR</v>
      </c>
      <c r="X89" s="88" t="str">
        <f ca="1">INDEX('NVRAM map'!$B$3:$B$319,MATCH(A89,'NVRAM map'!$E$3:$E$319,0))</f>
        <v>MLX</v>
      </c>
      <c r="AB89" s="44">
        <f t="shared" ca="1" si="17"/>
        <v>66</v>
      </c>
      <c r="AC89" s="12" t="b">
        <f ca="1">COUNTIF('NVRAM map'!$AD$3:$AE$319,A89)&lt;2</f>
        <v>1</v>
      </c>
      <c r="AD89" s="12">
        <f ca="1">SUMIF('NVRAM map'!$AF$3:$AF$319,A89,'NVRAM map'!$AK$3:$AK$319)</f>
        <v>65535</v>
      </c>
      <c r="AE89" s="12" t="str">
        <f t="shared" ca="1" si="18"/>
        <v>FFFF</v>
      </c>
      <c r="AF89" s="12" t="str">
        <f t="shared" ca="1" si="19"/>
        <v>11111111</v>
      </c>
      <c r="AG89" s="12" t="str">
        <f t="shared" ca="1" si="20"/>
        <v>11111111</v>
      </c>
      <c r="AH89" s="12">
        <f t="shared" ca="1" si="21"/>
        <v>16</v>
      </c>
      <c r="AI89" s="12">
        <f ca="1">SUMIF('NVRAM map'!$AF$3:$AF$319,A89,'NVRAM map'!$AH$3:$AH$319)</f>
        <v>16</v>
      </c>
      <c r="AJ89" s="12" t="b">
        <f t="shared" ca="1" si="22"/>
        <v>1</v>
      </c>
      <c r="AK89" s="12">
        <f ca="1">COUNTIF('NVRAM map'!$AF$3:$AF$319,A89)</f>
        <v>1</v>
      </c>
      <c r="AM89" s="89">
        <v>0</v>
      </c>
      <c r="AN89" s="80">
        <f t="shared" ref="AN89:BB103" ca="1" si="28">IF(I89=H89,AM89,IF(AM89=1,0,1))</f>
        <v>0</v>
      </c>
      <c r="AO89" s="80">
        <f t="shared" ca="1" si="28"/>
        <v>0</v>
      </c>
      <c r="AP89" s="80">
        <f t="shared" ca="1" si="28"/>
        <v>0</v>
      </c>
      <c r="AQ89" s="80">
        <f t="shared" ca="1" si="28"/>
        <v>0</v>
      </c>
      <c r="AR89" s="80">
        <f t="shared" ca="1" si="28"/>
        <v>0</v>
      </c>
      <c r="AS89" s="80">
        <f t="shared" ca="1" si="28"/>
        <v>0</v>
      </c>
      <c r="AT89" s="80">
        <f t="shared" ca="1" si="28"/>
        <v>0</v>
      </c>
      <c r="AU89" s="80">
        <f t="shared" ca="1" si="28"/>
        <v>0</v>
      </c>
      <c r="AV89" s="80">
        <f t="shared" ca="1" si="28"/>
        <v>0</v>
      </c>
      <c r="AW89" s="80">
        <f t="shared" ca="1" si="28"/>
        <v>0</v>
      </c>
      <c r="AX89" s="80">
        <f t="shared" ca="1" si="28"/>
        <v>0</v>
      </c>
      <c r="AY89" s="80">
        <f t="shared" ca="1" si="28"/>
        <v>0</v>
      </c>
      <c r="AZ89" s="80">
        <f t="shared" ca="1" si="28"/>
        <v>0</v>
      </c>
      <c r="BA89" s="80">
        <f t="shared" ca="1" si="28"/>
        <v>0</v>
      </c>
      <c r="BB89" s="81">
        <f t="shared" ca="1" si="28"/>
        <v>0</v>
      </c>
      <c r="BD89" s="12" t="str">
        <f t="shared" si="23"/>
        <v>0x10AA</v>
      </c>
      <c r="BE89" s="12" t="str">
        <f t="shared" ca="1" si="24"/>
        <v>0000010000111110</v>
      </c>
      <c r="BG89" s="53" t="str">
        <f t="shared" ca="1" si="25"/>
        <v>`define EE_MM2_LR 42</v>
      </c>
    </row>
    <row r="90" spans="1:59">
      <c r="A90" s="82" t="s">
        <v>356</v>
      </c>
      <c r="B90" s="82">
        <v>172</v>
      </c>
      <c r="C90" s="82">
        <v>43</v>
      </c>
      <c r="D90" s="83">
        <f ca="1">SUMIF('NVRAM map'!$AF$3:$AF$319,A90,'NVRAM map'!$AN$3:$AN$319)</f>
        <v>65496</v>
      </c>
      <c r="E90" s="84" t="str">
        <f t="shared" ca="1" si="16"/>
        <v>FFD8</v>
      </c>
      <c r="F90" s="85" t="str">
        <f t="shared" ca="1" si="26"/>
        <v>FFD8</v>
      </c>
      <c r="G90" s="86" t="str">
        <f ca="1">VLOOKUP(MemoryView!A90,'NVRAM map'!$AD$3:$AE$319,2,0)</f>
        <v>EE_MM3_LR</v>
      </c>
      <c r="H90" s="87" t="str">
        <f t="array" aca="1" ref="H90" ca="1">IF(ISNA(INDEX('NVRAM map'!$AF$3:$AG$319,MATCH(1,('NVRAM map'!$AF$3:$AF$319=$A90)*('NVRAM map'!$AI$3:$AI$319&gt;=H$3)*('NVRAM map'!$AJ$3:$AJ$319&lt;=H$3),0),2)),"-",INDEX('NVRAM map'!$AF$3:$AG$319,MATCH(1,('NVRAM map'!$AF$3:$AF$319=$A90)*('NVRAM map'!$AI$3:$AI$319&gt;=H$3)*('NVRAM map'!$AJ$3:$AJ$319&lt;=H$3),0),2))</f>
        <v>MM3_LR</v>
      </c>
      <c r="I90" s="87" t="str">
        <f t="array" aca="1" ref="I90" ca="1">IF(ISNA(INDEX('NVRAM map'!$AF$3:$AG$319,MATCH(1,('NVRAM map'!$AF$3:$AF$319=$A90)*('NVRAM map'!$AI$3:$AI$319&gt;=I$3)*('NVRAM map'!$AJ$3:$AJ$319&lt;=I$3),0),2)),"-",INDEX('NVRAM map'!$AF$3:$AG$319,MATCH(1,('NVRAM map'!$AF$3:$AF$319=$A90)*('NVRAM map'!$AI$3:$AI$319&gt;=I$3)*('NVRAM map'!$AJ$3:$AJ$319&lt;=I$3),0),2))</f>
        <v>MM3_LR</v>
      </c>
      <c r="J90" s="87" t="str">
        <f t="array" aca="1" ref="J90" ca="1">IF(ISNA(INDEX('NVRAM map'!$AF$3:$AG$319,MATCH(1,('NVRAM map'!$AF$3:$AF$319=$A90)*('NVRAM map'!$AI$3:$AI$319&gt;=J$3)*('NVRAM map'!$AJ$3:$AJ$319&lt;=J$3),0),2)),"-",INDEX('NVRAM map'!$AF$3:$AG$319,MATCH(1,('NVRAM map'!$AF$3:$AF$319=$A90)*('NVRAM map'!$AI$3:$AI$319&gt;=J$3)*('NVRAM map'!$AJ$3:$AJ$319&lt;=J$3),0),2))</f>
        <v>MM3_LR</v>
      </c>
      <c r="K90" s="87" t="str">
        <f t="array" aca="1" ref="K90" ca="1">IF(ISNA(INDEX('NVRAM map'!$AF$3:$AG$319,MATCH(1,('NVRAM map'!$AF$3:$AF$319=$A90)*('NVRAM map'!$AI$3:$AI$319&gt;=K$3)*('NVRAM map'!$AJ$3:$AJ$319&lt;=K$3),0),2)),"-",INDEX('NVRAM map'!$AF$3:$AG$319,MATCH(1,('NVRAM map'!$AF$3:$AF$319=$A90)*('NVRAM map'!$AI$3:$AI$319&gt;=K$3)*('NVRAM map'!$AJ$3:$AJ$319&lt;=K$3),0),2))</f>
        <v>MM3_LR</v>
      </c>
      <c r="L90" s="87" t="str">
        <f t="array" aca="1" ref="L90" ca="1">IF(ISNA(INDEX('NVRAM map'!$AF$3:$AG$319,MATCH(1,('NVRAM map'!$AF$3:$AF$319=$A90)*('NVRAM map'!$AI$3:$AI$319&gt;=L$3)*('NVRAM map'!$AJ$3:$AJ$319&lt;=L$3),0),2)),"-",INDEX('NVRAM map'!$AF$3:$AG$319,MATCH(1,('NVRAM map'!$AF$3:$AF$319=$A90)*('NVRAM map'!$AI$3:$AI$319&gt;=L$3)*('NVRAM map'!$AJ$3:$AJ$319&lt;=L$3),0),2))</f>
        <v>MM3_LR</v>
      </c>
      <c r="M90" s="87" t="str">
        <f t="array" aca="1" ref="M90" ca="1">IF(ISNA(INDEX('NVRAM map'!$AF$3:$AG$319,MATCH(1,('NVRAM map'!$AF$3:$AF$319=$A90)*('NVRAM map'!$AI$3:$AI$319&gt;=M$3)*('NVRAM map'!$AJ$3:$AJ$319&lt;=M$3),0),2)),"-",INDEX('NVRAM map'!$AF$3:$AG$319,MATCH(1,('NVRAM map'!$AF$3:$AF$319=$A90)*('NVRAM map'!$AI$3:$AI$319&gt;=M$3)*('NVRAM map'!$AJ$3:$AJ$319&lt;=M$3),0),2))</f>
        <v>MM3_LR</v>
      </c>
      <c r="N90" s="87" t="str">
        <f t="array" aca="1" ref="N90" ca="1">IF(ISNA(INDEX('NVRAM map'!$AF$3:$AG$319,MATCH(1,('NVRAM map'!$AF$3:$AF$319=$A90)*('NVRAM map'!$AI$3:$AI$319&gt;=N$3)*('NVRAM map'!$AJ$3:$AJ$319&lt;=N$3),0),2)),"-",INDEX('NVRAM map'!$AF$3:$AG$319,MATCH(1,('NVRAM map'!$AF$3:$AF$319=$A90)*('NVRAM map'!$AI$3:$AI$319&gt;=N$3)*('NVRAM map'!$AJ$3:$AJ$319&lt;=N$3),0),2))</f>
        <v>MM3_LR</v>
      </c>
      <c r="O90" s="87" t="str">
        <f t="array" aca="1" ref="O90" ca="1">IF(ISNA(INDEX('NVRAM map'!$AF$3:$AG$319,MATCH(1,('NVRAM map'!$AF$3:$AF$319=$A90)*('NVRAM map'!$AI$3:$AI$319&gt;=O$3)*('NVRAM map'!$AJ$3:$AJ$319&lt;=O$3),0),2)),"-",INDEX('NVRAM map'!$AF$3:$AG$319,MATCH(1,('NVRAM map'!$AF$3:$AF$319=$A90)*('NVRAM map'!$AI$3:$AI$319&gt;=O$3)*('NVRAM map'!$AJ$3:$AJ$319&lt;=O$3),0),2))</f>
        <v>MM3_LR</v>
      </c>
      <c r="P90" s="87" t="str">
        <f t="array" aca="1" ref="P90" ca="1">IF(ISNA(INDEX('NVRAM map'!$AF$3:$AG$319,MATCH(1,('NVRAM map'!$AF$3:$AF$319=$A90)*('NVRAM map'!$AI$3:$AI$319&gt;=P$3)*('NVRAM map'!$AJ$3:$AJ$319&lt;=P$3),0),2)),"-",INDEX('NVRAM map'!$AF$3:$AG$319,MATCH(1,('NVRAM map'!$AF$3:$AF$319=$A90)*('NVRAM map'!$AI$3:$AI$319&gt;=P$3)*('NVRAM map'!$AJ$3:$AJ$319&lt;=P$3),0),2))</f>
        <v>MM3_LR</v>
      </c>
      <c r="Q90" s="87" t="str">
        <f t="array" aca="1" ref="Q90" ca="1">IF(ISNA(INDEX('NVRAM map'!$AF$3:$AG$319,MATCH(1,('NVRAM map'!$AF$3:$AF$319=$A90)*('NVRAM map'!$AI$3:$AI$319&gt;=Q$3)*('NVRAM map'!$AJ$3:$AJ$319&lt;=Q$3),0),2)),"-",INDEX('NVRAM map'!$AF$3:$AG$319,MATCH(1,('NVRAM map'!$AF$3:$AF$319=$A90)*('NVRAM map'!$AI$3:$AI$319&gt;=Q$3)*('NVRAM map'!$AJ$3:$AJ$319&lt;=Q$3),0),2))</f>
        <v>MM3_LR</v>
      </c>
      <c r="R90" s="87" t="str">
        <f t="array" aca="1" ref="R90" ca="1">IF(ISNA(INDEX('NVRAM map'!$AF$3:$AG$319,MATCH(1,('NVRAM map'!$AF$3:$AF$319=$A90)*('NVRAM map'!$AI$3:$AI$319&gt;=R$3)*('NVRAM map'!$AJ$3:$AJ$319&lt;=R$3),0),2)),"-",INDEX('NVRAM map'!$AF$3:$AG$319,MATCH(1,('NVRAM map'!$AF$3:$AF$319=$A90)*('NVRAM map'!$AI$3:$AI$319&gt;=R$3)*('NVRAM map'!$AJ$3:$AJ$319&lt;=R$3),0),2))</f>
        <v>MM3_LR</v>
      </c>
      <c r="S90" s="87" t="str">
        <f t="array" aca="1" ref="S90" ca="1">IF(ISNA(INDEX('NVRAM map'!$AF$3:$AG$319,MATCH(1,('NVRAM map'!$AF$3:$AF$319=$A90)*('NVRAM map'!$AI$3:$AI$319&gt;=S$3)*('NVRAM map'!$AJ$3:$AJ$319&lt;=S$3),0),2)),"-",INDEX('NVRAM map'!$AF$3:$AG$319,MATCH(1,('NVRAM map'!$AF$3:$AF$319=$A90)*('NVRAM map'!$AI$3:$AI$319&gt;=S$3)*('NVRAM map'!$AJ$3:$AJ$319&lt;=S$3),0),2))</f>
        <v>MM3_LR</v>
      </c>
      <c r="T90" s="87" t="str">
        <f t="array" aca="1" ref="T90" ca="1">IF(ISNA(INDEX('NVRAM map'!$AF$3:$AG$319,MATCH(1,('NVRAM map'!$AF$3:$AF$319=$A90)*('NVRAM map'!$AI$3:$AI$319&gt;=T$3)*('NVRAM map'!$AJ$3:$AJ$319&lt;=T$3),0),2)),"-",INDEX('NVRAM map'!$AF$3:$AG$319,MATCH(1,('NVRAM map'!$AF$3:$AF$319=$A90)*('NVRAM map'!$AI$3:$AI$319&gt;=T$3)*('NVRAM map'!$AJ$3:$AJ$319&lt;=T$3),0),2))</f>
        <v>MM3_LR</v>
      </c>
      <c r="U90" s="87" t="str">
        <f t="array" aca="1" ref="U90" ca="1">IF(ISNA(INDEX('NVRAM map'!$AF$3:$AG$319,MATCH(1,('NVRAM map'!$AF$3:$AF$319=$A90)*('NVRAM map'!$AI$3:$AI$319&gt;=U$3)*('NVRAM map'!$AJ$3:$AJ$319&lt;=U$3),0),2)),"-",INDEX('NVRAM map'!$AF$3:$AG$319,MATCH(1,('NVRAM map'!$AF$3:$AF$319=$A90)*('NVRAM map'!$AI$3:$AI$319&gt;=U$3)*('NVRAM map'!$AJ$3:$AJ$319&lt;=U$3),0),2))</f>
        <v>MM3_LR</v>
      </c>
      <c r="V90" s="87" t="str">
        <f t="array" aca="1" ref="V90" ca="1">IF(ISNA(INDEX('NVRAM map'!$AF$3:$AG$319,MATCH(1,('NVRAM map'!$AF$3:$AF$319=$A90)*('NVRAM map'!$AI$3:$AI$319&gt;=V$3)*('NVRAM map'!$AJ$3:$AJ$319&lt;=V$3),0),2)),"-",INDEX('NVRAM map'!$AF$3:$AG$319,MATCH(1,('NVRAM map'!$AF$3:$AF$319=$A90)*('NVRAM map'!$AI$3:$AI$319&gt;=V$3)*('NVRAM map'!$AJ$3:$AJ$319&lt;=V$3),0),2))</f>
        <v>MM3_LR</v>
      </c>
      <c r="W90" s="87" t="str">
        <f t="array" aca="1" ref="W90" ca="1">IF(ISNA(INDEX('NVRAM map'!$AF$3:$AG$319,MATCH(1,('NVRAM map'!$AF$3:$AF$319=$A90)*('NVRAM map'!$AI$3:$AI$319&gt;=W$3)*('NVRAM map'!$AJ$3:$AJ$319&lt;=W$3),0),2)),"-",INDEX('NVRAM map'!$AF$3:$AG$319,MATCH(1,('NVRAM map'!$AF$3:$AF$319=$A90)*('NVRAM map'!$AI$3:$AI$319&gt;=W$3)*('NVRAM map'!$AJ$3:$AJ$319&lt;=W$3),0),2))</f>
        <v>MM3_LR</v>
      </c>
      <c r="X90" s="88" t="str">
        <f ca="1">INDEX('NVRAM map'!$B$3:$B$319,MATCH(A90,'NVRAM map'!$E$3:$E$319,0))</f>
        <v>MLX</v>
      </c>
      <c r="AB90" s="44">
        <f t="shared" ca="1" si="17"/>
        <v>471</v>
      </c>
      <c r="AC90" s="12" t="b">
        <f ca="1">COUNTIF('NVRAM map'!$AD$3:$AE$319,A90)&lt;2</f>
        <v>1</v>
      </c>
      <c r="AD90" s="12">
        <f ca="1">SUMIF('NVRAM map'!$AF$3:$AF$319,A90,'NVRAM map'!$AK$3:$AK$319)</f>
        <v>65535</v>
      </c>
      <c r="AE90" s="12" t="str">
        <f t="shared" ca="1" si="18"/>
        <v>FFFF</v>
      </c>
      <c r="AF90" s="12" t="str">
        <f t="shared" ca="1" si="19"/>
        <v>11111111</v>
      </c>
      <c r="AG90" s="12" t="str">
        <f t="shared" ca="1" si="20"/>
        <v>11111111</v>
      </c>
      <c r="AH90" s="12">
        <f t="shared" ca="1" si="21"/>
        <v>16</v>
      </c>
      <c r="AI90" s="12">
        <f ca="1">SUMIF('NVRAM map'!$AF$3:$AF$319,A90,'NVRAM map'!$AH$3:$AH$319)</f>
        <v>16</v>
      </c>
      <c r="AJ90" s="12" t="b">
        <f t="shared" ca="1" si="22"/>
        <v>1</v>
      </c>
      <c r="AK90" s="12">
        <f ca="1">COUNTIF('NVRAM map'!$AF$3:$AF$319,A90)</f>
        <v>1</v>
      </c>
      <c r="AM90" s="89">
        <v>0</v>
      </c>
      <c r="AN90" s="80">
        <f t="shared" ca="1" si="28"/>
        <v>0</v>
      </c>
      <c r="AO90" s="80">
        <f t="shared" ca="1" si="28"/>
        <v>0</v>
      </c>
      <c r="AP90" s="80">
        <f t="shared" ca="1" si="28"/>
        <v>0</v>
      </c>
      <c r="AQ90" s="80">
        <f t="shared" ca="1" si="28"/>
        <v>0</v>
      </c>
      <c r="AR90" s="80">
        <f t="shared" ca="1" si="28"/>
        <v>0</v>
      </c>
      <c r="AS90" s="80">
        <f t="shared" ca="1" si="28"/>
        <v>0</v>
      </c>
      <c r="AT90" s="80">
        <f t="shared" ca="1" si="28"/>
        <v>0</v>
      </c>
      <c r="AU90" s="80">
        <f t="shared" ca="1" si="28"/>
        <v>0</v>
      </c>
      <c r="AV90" s="80">
        <f t="shared" ca="1" si="28"/>
        <v>0</v>
      </c>
      <c r="AW90" s="80">
        <f t="shared" ca="1" si="28"/>
        <v>0</v>
      </c>
      <c r="AX90" s="80">
        <f t="shared" ca="1" si="28"/>
        <v>0</v>
      </c>
      <c r="AY90" s="80">
        <f t="shared" ca="1" si="28"/>
        <v>0</v>
      </c>
      <c r="AZ90" s="80">
        <f t="shared" ca="1" si="28"/>
        <v>0</v>
      </c>
      <c r="BA90" s="80">
        <f t="shared" ca="1" si="28"/>
        <v>0</v>
      </c>
      <c r="BB90" s="81">
        <f t="shared" ca="1" si="28"/>
        <v>0</v>
      </c>
      <c r="BD90" s="12" t="str">
        <f t="shared" si="23"/>
        <v>0x10AC</v>
      </c>
      <c r="BE90" s="12" t="str">
        <f t="shared" ca="1" si="24"/>
        <v>1111111111011000</v>
      </c>
      <c r="BG90" s="53" t="str">
        <f t="shared" ca="1" si="25"/>
        <v>`define EE_MM3_LR 43</v>
      </c>
    </row>
    <row r="91" spans="1:59">
      <c r="A91" s="82" t="s">
        <v>357</v>
      </c>
      <c r="B91" s="82">
        <v>174</v>
      </c>
      <c r="C91" s="82">
        <v>43</v>
      </c>
      <c r="D91" s="83">
        <f ca="1">SUMIF('NVRAM map'!$AF$3:$AF$319,A91,'NVRAM map'!$AN$3:$AN$319)</f>
        <v>19989</v>
      </c>
      <c r="E91" s="84" t="str">
        <f t="shared" ca="1" si="16"/>
        <v>4E15</v>
      </c>
      <c r="F91" s="85" t="str">
        <f t="shared" ca="1" si="26"/>
        <v>4E15</v>
      </c>
      <c r="G91" s="86" t="str">
        <f ca="1">VLOOKUP(MemoryView!A91,'NVRAM map'!$AD$3:$AE$319,2,0)</f>
        <v>EE_RP0</v>
      </c>
      <c r="H91" s="87" t="str">
        <f t="array" aca="1" ref="H91" ca="1">IF(ISNA(INDEX('NVRAM map'!$AF$3:$AG$319,MATCH(1,('NVRAM map'!$AF$3:$AF$319=$A91)*('NVRAM map'!$AI$3:$AI$319&gt;=H$3)*('NVRAM map'!$AJ$3:$AJ$319&lt;=H$3),0),2)),"-",INDEX('NVRAM map'!$AF$3:$AG$319,MATCH(1,('NVRAM map'!$AF$3:$AF$319=$A91)*('NVRAM map'!$AI$3:$AI$319&gt;=H$3)*('NVRAM map'!$AJ$3:$AJ$319&lt;=H$3),0),2))</f>
        <v>RP0</v>
      </c>
      <c r="I91" s="87" t="str">
        <f t="array" aca="1" ref="I91" ca="1">IF(ISNA(INDEX('NVRAM map'!$AF$3:$AG$319,MATCH(1,('NVRAM map'!$AF$3:$AF$319=$A91)*('NVRAM map'!$AI$3:$AI$319&gt;=I$3)*('NVRAM map'!$AJ$3:$AJ$319&lt;=I$3),0),2)),"-",INDEX('NVRAM map'!$AF$3:$AG$319,MATCH(1,('NVRAM map'!$AF$3:$AF$319=$A91)*('NVRAM map'!$AI$3:$AI$319&gt;=I$3)*('NVRAM map'!$AJ$3:$AJ$319&lt;=I$3),0),2))</f>
        <v>RP0</v>
      </c>
      <c r="J91" s="87" t="str">
        <f t="array" aca="1" ref="J91" ca="1">IF(ISNA(INDEX('NVRAM map'!$AF$3:$AG$319,MATCH(1,('NVRAM map'!$AF$3:$AF$319=$A91)*('NVRAM map'!$AI$3:$AI$319&gt;=J$3)*('NVRAM map'!$AJ$3:$AJ$319&lt;=J$3),0),2)),"-",INDEX('NVRAM map'!$AF$3:$AG$319,MATCH(1,('NVRAM map'!$AF$3:$AF$319=$A91)*('NVRAM map'!$AI$3:$AI$319&gt;=J$3)*('NVRAM map'!$AJ$3:$AJ$319&lt;=J$3),0),2))</f>
        <v>RP0</v>
      </c>
      <c r="K91" s="87" t="str">
        <f t="array" aca="1" ref="K91" ca="1">IF(ISNA(INDEX('NVRAM map'!$AF$3:$AG$319,MATCH(1,('NVRAM map'!$AF$3:$AF$319=$A91)*('NVRAM map'!$AI$3:$AI$319&gt;=K$3)*('NVRAM map'!$AJ$3:$AJ$319&lt;=K$3),0),2)),"-",INDEX('NVRAM map'!$AF$3:$AG$319,MATCH(1,('NVRAM map'!$AF$3:$AF$319=$A91)*('NVRAM map'!$AI$3:$AI$319&gt;=K$3)*('NVRAM map'!$AJ$3:$AJ$319&lt;=K$3),0),2))</f>
        <v>RP0</v>
      </c>
      <c r="L91" s="87" t="str">
        <f t="array" aca="1" ref="L91" ca="1">IF(ISNA(INDEX('NVRAM map'!$AF$3:$AG$319,MATCH(1,('NVRAM map'!$AF$3:$AF$319=$A91)*('NVRAM map'!$AI$3:$AI$319&gt;=L$3)*('NVRAM map'!$AJ$3:$AJ$319&lt;=L$3),0),2)),"-",INDEX('NVRAM map'!$AF$3:$AG$319,MATCH(1,('NVRAM map'!$AF$3:$AF$319=$A91)*('NVRAM map'!$AI$3:$AI$319&gt;=L$3)*('NVRAM map'!$AJ$3:$AJ$319&lt;=L$3),0),2))</f>
        <v>RP0</v>
      </c>
      <c r="M91" s="87" t="str">
        <f t="array" aca="1" ref="M91" ca="1">IF(ISNA(INDEX('NVRAM map'!$AF$3:$AG$319,MATCH(1,('NVRAM map'!$AF$3:$AF$319=$A91)*('NVRAM map'!$AI$3:$AI$319&gt;=M$3)*('NVRAM map'!$AJ$3:$AJ$319&lt;=M$3),0),2)),"-",INDEX('NVRAM map'!$AF$3:$AG$319,MATCH(1,('NVRAM map'!$AF$3:$AF$319=$A91)*('NVRAM map'!$AI$3:$AI$319&gt;=M$3)*('NVRAM map'!$AJ$3:$AJ$319&lt;=M$3),0),2))</f>
        <v>RP0</v>
      </c>
      <c r="N91" s="87" t="str">
        <f t="array" aca="1" ref="N91" ca="1">IF(ISNA(INDEX('NVRAM map'!$AF$3:$AG$319,MATCH(1,('NVRAM map'!$AF$3:$AF$319=$A91)*('NVRAM map'!$AI$3:$AI$319&gt;=N$3)*('NVRAM map'!$AJ$3:$AJ$319&lt;=N$3),0),2)),"-",INDEX('NVRAM map'!$AF$3:$AG$319,MATCH(1,('NVRAM map'!$AF$3:$AF$319=$A91)*('NVRAM map'!$AI$3:$AI$319&gt;=N$3)*('NVRAM map'!$AJ$3:$AJ$319&lt;=N$3),0),2))</f>
        <v>RP0</v>
      </c>
      <c r="O91" s="87" t="str">
        <f t="array" aca="1" ref="O91" ca="1">IF(ISNA(INDEX('NVRAM map'!$AF$3:$AG$319,MATCH(1,('NVRAM map'!$AF$3:$AF$319=$A91)*('NVRAM map'!$AI$3:$AI$319&gt;=O$3)*('NVRAM map'!$AJ$3:$AJ$319&lt;=O$3),0),2)),"-",INDEX('NVRAM map'!$AF$3:$AG$319,MATCH(1,('NVRAM map'!$AF$3:$AF$319=$A91)*('NVRAM map'!$AI$3:$AI$319&gt;=O$3)*('NVRAM map'!$AJ$3:$AJ$319&lt;=O$3),0),2))</f>
        <v>RP0</v>
      </c>
      <c r="P91" s="87" t="str">
        <f t="array" aca="1" ref="P91" ca="1">IF(ISNA(INDEX('NVRAM map'!$AF$3:$AG$319,MATCH(1,('NVRAM map'!$AF$3:$AF$319=$A91)*('NVRAM map'!$AI$3:$AI$319&gt;=P$3)*('NVRAM map'!$AJ$3:$AJ$319&lt;=P$3),0),2)),"-",INDEX('NVRAM map'!$AF$3:$AG$319,MATCH(1,('NVRAM map'!$AF$3:$AF$319=$A91)*('NVRAM map'!$AI$3:$AI$319&gt;=P$3)*('NVRAM map'!$AJ$3:$AJ$319&lt;=P$3),0),2))</f>
        <v>RP0</v>
      </c>
      <c r="Q91" s="87" t="str">
        <f t="array" aca="1" ref="Q91" ca="1">IF(ISNA(INDEX('NVRAM map'!$AF$3:$AG$319,MATCH(1,('NVRAM map'!$AF$3:$AF$319=$A91)*('NVRAM map'!$AI$3:$AI$319&gt;=Q$3)*('NVRAM map'!$AJ$3:$AJ$319&lt;=Q$3),0),2)),"-",INDEX('NVRAM map'!$AF$3:$AG$319,MATCH(1,('NVRAM map'!$AF$3:$AF$319=$A91)*('NVRAM map'!$AI$3:$AI$319&gt;=Q$3)*('NVRAM map'!$AJ$3:$AJ$319&lt;=Q$3),0),2))</f>
        <v>RP0</v>
      </c>
      <c r="R91" s="87" t="str">
        <f t="array" aca="1" ref="R91" ca="1">IF(ISNA(INDEX('NVRAM map'!$AF$3:$AG$319,MATCH(1,('NVRAM map'!$AF$3:$AF$319=$A91)*('NVRAM map'!$AI$3:$AI$319&gt;=R$3)*('NVRAM map'!$AJ$3:$AJ$319&lt;=R$3),0),2)),"-",INDEX('NVRAM map'!$AF$3:$AG$319,MATCH(1,('NVRAM map'!$AF$3:$AF$319=$A91)*('NVRAM map'!$AI$3:$AI$319&gt;=R$3)*('NVRAM map'!$AJ$3:$AJ$319&lt;=R$3),0),2))</f>
        <v>RP0</v>
      </c>
      <c r="S91" s="87" t="str">
        <f t="array" aca="1" ref="S91" ca="1">IF(ISNA(INDEX('NVRAM map'!$AF$3:$AG$319,MATCH(1,('NVRAM map'!$AF$3:$AF$319=$A91)*('NVRAM map'!$AI$3:$AI$319&gt;=S$3)*('NVRAM map'!$AJ$3:$AJ$319&lt;=S$3),0),2)),"-",INDEX('NVRAM map'!$AF$3:$AG$319,MATCH(1,('NVRAM map'!$AF$3:$AF$319=$A91)*('NVRAM map'!$AI$3:$AI$319&gt;=S$3)*('NVRAM map'!$AJ$3:$AJ$319&lt;=S$3),0),2))</f>
        <v>RP0</v>
      </c>
      <c r="T91" s="87" t="str">
        <f t="array" aca="1" ref="T91" ca="1">IF(ISNA(INDEX('NVRAM map'!$AF$3:$AG$319,MATCH(1,('NVRAM map'!$AF$3:$AF$319=$A91)*('NVRAM map'!$AI$3:$AI$319&gt;=T$3)*('NVRAM map'!$AJ$3:$AJ$319&lt;=T$3),0),2)),"-",INDEX('NVRAM map'!$AF$3:$AG$319,MATCH(1,('NVRAM map'!$AF$3:$AF$319=$A91)*('NVRAM map'!$AI$3:$AI$319&gt;=T$3)*('NVRAM map'!$AJ$3:$AJ$319&lt;=T$3),0),2))</f>
        <v>RP0</v>
      </c>
      <c r="U91" s="87" t="str">
        <f t="array" aca="1" ref="U91" ca="1">IF(ISNA(INDEX('NVRAM map'!$AF$3:$AG$319,MATCH(1,('NVRAM map'!$AF$3:$AF$319=$A91)*('NVRAM map'!$AI$3:$AI$319&gt;=U$3)*('NVRAM map'!$AJ$3:$AJ$319&lt;=U$3),0),2)),"-",INDEX('NVRAM map'!$AF$3:$AG$319,MATCH(1,('NVRAM map'!$AF$3:$AF$319=$A91)*('NVRAM map'!$AI$3:$AI$319&gt;=U$3)*('NVRAM map'!$AJ$3:$AJ$319&lt;=U$3),0),2))</f>
        <v>RP0</v>
      </c>
      <c r="V91" s="87" t="str">
        <f t="array" aca="1" ref="V91" ca="1">IF(ISNA(INDEX('NVRAM map'!$AF$3:$AG$319,MATCH(1,('NVRAM map'!$AF$3:$AF$319=$A91)*('NVRAM map'!$AI$3:$AI$319&gt;=V$3)*('NVRAM map'!$AJ$3:$AJ$319&lt;=V$3),0),2)),"-",INDEX('NVRAM map'!$AF$3:$AG$319,MATCH(1,('NVRAM map'!$AF$3:$AF$319=$A91)*('NVRAM map'!$AI$3:$AI$319&gt;=V$3)*('NVRAM map'!$AJ$3:$AJ$319&lt;=V$3),0),2))</f>
        <v>RP0</v>
      </c>
      <c r="W91" s="87" t="str">
        <f t="array" aca="1" ref="W91" ca="1">IF(ISNA(INDEX('NVRAM map'!$AF$3:$AG$319,MATCH(1,('NVRAM map'!$AF$3:$AF$319=$A91)*('NVRAM map'!$AI$3:$AI$319&gt;=W$3)*('NVRAM map'!$AJ$3:$AJ$319&lt;=W$3),0),2)),"-",INDEX('NVRAM map'!$AF$3:$AG$319,MATCH(1,('NVRAM map'!$AF$3:$AF$319=$A91)*('NVRAM map'!$AI$3:$AI$319&gt;=W$3)*('NVRAM map'!$AJ$3:$AJ$319&lt;=W$3),0),2))</f>
        <v>RP0</v>
      </c>
      <c r="X91" s="88" t="str">
        <f ca="1">INDEX('NVRAM map'!$B$3:$B$319,MATCH(A91,'NVRAM map'!$E$3:$E$319,0))</f>
        <v>MLX</v>
      </c>
      <c r="AB91" s="44">
        <f t="shared" ca="1" si="17"/>
        <v>99</v>
      </c>
      <c r="AC91" s="12" t="b">
        <f ca="1">COUNTIF('NVRAM map'!$AD$3:$AE$319,A91)&lt;2</f>
        <v>1</v>
      </c>
      <c r="AD91" s="12">
        <f ca="1">SUMIF('NVRAM map'!$AF$3:$AF$319,A91,'NVRAM map'!$AK$3:$AK$319)</f>
        <v>65535</v>
      </c>
      <c r="AE91" s="12" t="str">
        <f t="shared" ca="1" si="18"/>
        <v>FFFF</v>
      </c>
      <c r="AF91" s="12" t="str">
        <f t="shared" ca="1" si="19"/>
        <v>11111111</v>
      </c>
      <c r="AG91" s="12" t="str">
        <f t="shared" ca="1" si="20"/>
        <v>11111111</v>
      </c>
      <c r="AH91" s="12">
        <f t="shared" ca="1" si="21"/>
        <v>16</v>
      </c>
      <c r="AI91" s="12">
        <f ca="1">SUMIF('NVRAM map'!$AF$3:$AF$319,A91,'NVRAM map'!$AH$3:$AH$319)</f>
        <v>16</v>
      </c>
      <c r="AJ91" s="12" t="b">
        <f t="shared" ca="1" si="22"/>
        <v>1</v>
      </c>
      <c r="AK91" s="12">
        <f ca="1">COUNTIF('NVRAM map'!$AF$3:$AF$319,A91)</f>
        <v>1</v>
      </c>
      <c r="AM91" s="89">
        <v>0</v>
      </c>
      <c r="AN91" s="80">
        <f t="shared" ca="1" si="28"/>
        <v>0</v>
      </c>
      <c r="AO91" s="80">
        <f t="shared" ca="1" si="28"/>
        <v>0</v>
      </c>
      <c r="AP91" s="80">
        <f t="shared" ca="1" si="28"/>
        <v>0</v>
      </c>
      <c r="AQ91" s="80">
        <f t="shared" ca="1" si="28"/>
        <v>0</v>
      </c>
      <c r="AR91" s="80">
        <f t="shared" ca="1" si="28"/>
        <v>0</v>
      </c>
      <c r="AS91" s="80">
        <f t="shared" ca="1" si="28"/>
        <v>0</v>
      </c>
      <c r="AT91" s="80">
        <f t="shared" ca="1" si="28"/>
        <v>0</v>
      </c>
      <c r="AU91" s="80">
        <f t="shared" ca="1" si="28"/>
        <v>0</v>
      </c>
      <c r="AV91" s="80">
        <f t="shared" ca="1" si="28"/>
        <v>0</v>
      </c>
      <c r="AW91" s="80">
        <f t="shared" ca="1" si="28"/>
        <v>0</v>
      </c>
      <c r="AX91" s="80">
        <f t="shared" ca="1" si="28"/>
        <v>0</v>
      </c>
      <c r="AY91" s="80">
        <f t="shared" ca="1" si="28"/>
        <v>0</v>
      </c>
      <c r="AZ91" s="80">
        <f t="shared" ca="1" si="28"/>
        <v>0</v>
      </c>
      <c r="BA91" s="80">
        <f t="shared" ca="1" si="28"/>
        <v>0</v>
      </c>
      <c r="BB91" s="81">
        <f t="shared" ca="1" si="28"/>
        <v>0</v>
      </c>
      <c r="BD91" s="12" t="str">
        <f t="shared" si="23"/>
        <v>0x10AE</v>
      </c>
      <c r="BE91" s="12" t="str">
        <f t="shared" ca="1" si="24"/>
        <v>0100111000010101</v>
      </c>
      <c r="BG91" s="53" t="str">
        <f t="shared" ca="1" si="25"/>
        <v>`define EE_RP0 43</v>
      </c>
    </row>
    <row r="92" spans="1:59">
      <c r="A92" s="82" t="s">
        <v>358</v>
      </c>
      <c r="B92" s="82">
        <v>176</v>
      </c>
      <c r="C92" s="82">
        <v>44</v>
      </c>
      <c r="D92" s="83">
        <f ca="1">SUMIF('NVRAM map'!$AF$3:$AF$319,A92,'NVRAM map'!$AN$3:$AN$319)</f>
        <v>65103</v>
      </c>
      <c r="E92" s="84" t="str">
        <f t="shared" ca="1" si="16"/>
        <v>FE4F</v>
      </c>
      <c r="F92" s="85" t="str">
        <f t="shared" ca="1" si="26"/>
        <v>FE4F</v>
      </c>
      <c r="G92" s="86" t="str">
        <f ca="1">VLOOKUP(MemoryView!A92,'NVRAM map'!$AD$3:$AE$319,2,0)</f>
        <v>EE_RP1</v>
      </c>
      <c r="H92" s="87" t="str">
        <f t="array" aca="1" ref="H92" ca="1">IF(ISNA(INDEX('NVRAM map'!$AF$3:$AG$319,MATCH(1,('NVRAM map'!$AF$3:$AF$319=$A92)*('NVRAM map'!$AI$3:$AI$319&gt;=H$3)*('NVRAM map'!$AJ$3:$AJ$319&lt;=H$3),0),2)),"-",INDEX('NVRAM map'!$AF$3:$AG$319,MATCH(1,('NVRAM map'!$AF$3:$AF$319=$A92)*('NVRAM map'!$AI$3:$AI$319&gt;=H$3)*('NVRAM map'!$AJ$3:$AJ$319&lt;=H$3),0),2))</f>
        <v>RP1</v>
      </c>
      <c r="I92" s="87" t="str">
        <f t="array" aca="1" ref="I92" ca="1">IF(ISNA(INDEX('NVRAM map'!$AF$3:$AG$319,MATCH(1,('NVRAM map'!$AF$3:$AF$319=$A92)*('NVRAM map'!$AI$3:$AI$319&gt;=I$3)*('NVRAM map'!$AJ$3:$AJ$319&lt;=I$3),0),2)),"-",INDEX('NVRAM map'!$AF$3:$AG$319,MATCH(1,('NVRAM map'!$AF$3:$AF$319=$A92)*('NVRAM map'!$AI$3:$AI$319&gt;=I$3)*('NVRAM map'!$AJ$3:$AJ$319&lt;=I$3),0),2))</f>
        <v>RP1</v>
      </c>
      <c r="J92" s="87" t="str">
        <f t="array" aca="1" ref="J92" ca="1">IF(ISNA(INDEX('NVRAM map'!$AF$3:$AG$319,MATCH(1,('NVRAM map'!$AF$3:$AF$319=$A92)*('NVRAM map'!$AI$3:$AI$319&gt;=J$3)*('NVRAM map'!$AJ$3:$AJ$319&lt;=J$3),0),2)),"-",INDEX('NVRAM map'!$AF$3:$AG$319,MATCH(1,('NVRAM map'!$AF$3:$AF$319=$A92)*('NVRAM map'!$AI$3:$AI$319&gt;=J$3)*('NVRAM map'!$AJ$3:$AJ$319&lt;=J$3),0),2))</f>
        <v>RP1</v>
      </c>
      <c r="K92" s="87" t="str">
        <f t="array" aca="1" ref="K92" ca="1">IF(ISNA(INDEX('NVRAM map'!$AF$3:$AG$319,MATCH(1,('NVRAM map'!$AF$3:$AF$319=$A92)*('NVRAM map'!$AI$3:$AI$319&gt;=K$3)*('NVRAM map'!$AJ$3:$AJ$319&lt;=K$3),0),2)),"-",INDEX('NVRAM map'!$AF$3:$AG$319,MATCH(1,('NVRAM map'!$AF$3:$AF$319=$A92)*('NVRAM map'!$AI$3:$AI$319&gt;=K$3)*('NVRAM map'!$AJ$3:$AJ$319&lt;=K$3),0),2))</f>
        <v>RP1</v>
      </c>
      <c r="L92" s="87" t="str">
        <f t="array" aca="1" ref="L92" ca="1">IF(ISNA(INDEX('NVRAM map'!$AF$3:$AG$319,MATCH(1,('NVRAM map'!$AF$3:$AF$319=$A92)*('NVRAM map'!$AI$3:$AI$319&gt;=L$3)*('NVRAM map'!$AJ$3:$AJ$319&lt;=L$3),0),2)),"-",INDEX('NVRAM map'!$AF$3:$AG$319,MATCH(1,('NVRAM map'!$AF$3:$AF$319=$A92)*('NVRAM map'!$AI$3:$AI$319&gt;=L$3)*('NVRAM map'!$AJ$3:$AJ$319&lt;=L$3),0),2))</f>
        <v>RP1</v>
      </c>
      <c r="M92" s="87" t="str">
        <f t="array" aca="1" ref="M92" ca="1">IF(ISNA(INDEX('NVRAM map'!$AF$3:$AG$319,MATCH(1,('NVRAM map'!$AF$3:$AF$319=$A92)*('NVRAM map'!$AI$3:$AI$319&gt;=M$3)*('NVRAM map'!$AJ$3:$AJ$319&lt;=M$3),0),2)),"-",INDEX('NVRAM map'!$AF$3:$AG$319,MATCH(1,('NVRAM map'!$AF$3:$AF$319=$A92)*('NVRAM map'!$AI$3:$AI$319&gt;=M$3)*('NVRAM map'!$AJ$3:$AJ$319&lt;=M$3),0),2))</f>
        <v>RP1</v>
      </c>
      <c r="N92" s="87" t="str">
        <f t="array" aca="1" ref="N92" ca="1">IF(ISNA(INDEX('NVRAM map'!$AF$3:$AG$319,MATCH(1,('NVRAM map'!$AF$3:$AF$319=$A92)*('NVRAM map'!$AI$3:$AI$319&gt;=N$3)*('NVRAM map'!$AJ$3:$AJ$319&lt;=N$3),0),2)),"-",INDEX('NVRAM map'!$AF$3:$AG$319,MATCH(1,('NVRAM map'!$AF$3:$AF$319=$A92)*('NVRAM map'!$AI$3:$AI$319&gt;=N$3)*('NVRAM map'!$AJ$3:$AJ$319&lt;=N$3),0),2))</f>
        <v>RP1</v>
      </c>
      <c r="O92" s="87" t="str">
        <f t="array" aca="1" ref="O92" ca="1">IF(ISNA(INDEX('NVRAM map'!$AF$3:$AG$319,MATCH(1,('NVRAM map'!$AF$3:$AF$319=$A92)*('NVRAM map'!$AI$3:$AI$319&gt;=O$3)*('NVRAM map'!$AJ$3:$AJ$319&lt;=O$3),0),2)),"-",INDEX('NVRAM map'!$AF$3:$AG$319,MATCH(1,('NVRAM map'!$AF$3:$AF$319=$A92)*('NVRAM map'!$AI$3:$AI$319&gt;=O$3)*('NVRAM map'!$AJ$3:$AJ$319&lt;=O$3),0),2))</f>
        <v>RP1</v>
      </c>
      <c r="P92" s="87" t="str">
        <f t="array" aca="1" ref="P92" ca="1">IF(ISNA(INDEX('NVRAM map'!$AF$3:$AG$319,MATCH(1,('NVRAM map'!$AF$3:$AF$319=$A92)*('NVRAM map'!$AI$3:$AI$319&gt;=P$3)*('NVRAM map'!$AJ$3:$AJ$319&lt;=P$3),0),2)),"-",INDEX('NVRAM map'!$AF$3:$AG$319,MATCH(1,('NVRAM map'!$AF$3:$AF$319=$A92)*('NVRAM map'!$AI$3:$AI$319&gt;=P$3)*('NVRAM map'!$AJ$3:$AJ$319&lt;=P$3),0),2))</f>
        <v>RP1</v>
      </c>
      <c r="Q92" s="87" t="str">
        <f t="array" aca="1" ref="Q92" ca="1">IF(ISNA(INDEX('NVRAM map'!$AF$3:$AG$319,MATCH(1,('NVRAM map'!$AF$3:$AF$319=$A92)*('NVRAM map'!$AI$3:$AI$319&gt;=Q$3)*('NVRAM map'!$AJ$3:$AJ$319&lt;=Q$3),0),2)),"-",INDEX('NVRAM map'!$AF$3:$AG$319,MATCH(1,('NVRAM map'!$AF$3:$AF$319=$A92)*('NVRAM map'!$AI$3:$AI$319&gt;=Q$3)*('NVRAM map'!$AJ$3:$AJ$319&lt;=Q$3),0),2))</f>
        <v>RP1</v>
      </c>
      <c r="R92" s="87" t="str">
        <f t="array" aca="1" ref="R92" ca="1">IF(ISNA(INDEX('NVRAM map'!$AF$3:$AG$319,MATCH(1,('NVRAM map'!$AF$3:$AF$319=$A92)*('NVRAM map'!$AI$3:$AI$319&gt;=R$3)*('NVRAM map'!$AJ$3:$AJ$319&lt;=R$3),0),2)),"-",INDEX('NVRAM map'!$AF$3:$AG$319,MATCH(1,('NVRAM map'!$AF$3:$AF$319=$A92)*('NVRAM map'!$AI$3:$AI$319&gt;=R$3)*('NVRAM map'!$AJ$3:$AJ$319&lt;=R$3),0),2))</f>
        <v>RP1</v>
      </c>
      <c r="S92" s="87" t="str">
        <f t="array" aca="1" ref="S92" ca="1">IF(ISNA(INDEX('NVRAM map'!$AF$3:$AG$319,MATCH(1,('NVRAM map'!$AF$3:$AF$319=$A92)*('NVRAM map'!$AI$3:$AI$319&gt;=S$3)*('NVRAM map'!$AJ$3:$AJ$319&lt;=S$3),0),2)),"-",INDEX('NVRAM map'!$AF$3:$AG$319,MATCH(1,('NVRAM map'!$AF$3:$AF$319=$A92)*('NVRAM map'!$AI$3:$AI$319&gt;=S$3)*('NVRAM map'!$AJ$3:$AJ$319&lt;=S$3),0),2))</f>
        <v>RP1</v>
      </c>
      <c r="T92" s="87" t="str">
        <f t="array" aca="1" ref="T92" ca="1">IF(ISNA(INDEX('NVRAM map'!$AF$3:$AG$319,MATCH(1,('NVRAM map'!$AF$3:$AF$319=$A92)*('NVRAM map'!$AI$3:$AI$319&gt;=T$3)*('NVRAM map'!$AJ$3:$AJ$319&lt;=T$3),0),2)),"-",INDEX('NVRAM map'!$AF$3:$AG$319,MATCH(1,('NVRAM map'!$AF$3:$AF$319=$A92)*('NVRAM map'!$AI$3:$AI$319&gt;=T$3)*('NVRAM map'!$AJ$3:$AJ$319&lt;=T$3),0),2))</f>
        <v>RP1</v>
      </c>
      <c r="U92" s="87" t="str">
        <f t="array" aca="1" ref="U92" ca="1">IF(ISNA(INDEX('NVRAM map'!$AF$3:$AG$319,MATCH(1,('NVRAM map'!$AF$3:$AF$319=$A92)*('NVRAM map'!$AI$3:$AI$319&gt;=U$3)*('NVRAM map'!$AJ$3:$AJ$319&lt;=U$3),0),2)),"-",INDEX('NVRAM map'!$AF$3:$AG$319,MATCH(1,('NVRAM map'!$AF$3:$AF$319=$A92)*('NVRAM map'!$AI$3:$AI$319&gt;=U$3)*('NVRAM map'!$AJ$3:$AJ$319&lt;=U$3),0),2))</f>
        <v>RP1</v>
      </c>
      <c r="V92" s="87" t="str">
        <f t="array" aca="1" ref="V92" ca="1">IF(ISNA(INDEX('NVRAM map'!$AF$3:$AG$319,MATCH(1,('NVRAM map'!$AF$3:$AF$319=$A92)*('NVRAM map'!$AI$3:$AI$319&gt;=V$3)*('NVRAM map'!$AJ$3:$AJ$319&lt;=V$3),0),2)),"-",INDEX('NVRAM map'!$AF$3:$AG$319,MATCH(1,('NVRAM map'!$AF$3:$AF$319=$A92)*('NVRAM map'!$AI$3:$AI$319&gt;=V$3)*('NVRAM map'!$AJ$3:$AJ$319&lt;=V$3),0),2))</f>
        <v>RP1</v>
      </c>
      <c r="W92" s="87" t="str">
        <f t="array" aca="1" ref="W92" ca="1">IF(ISNA(INDEX('NVRAM map'!$AF$3:$AG$319,MATCH(1,('NVRAM map'!$AF$3:$AF$319=$A92)*('NVRAM map'!$AI$3:$AI$319&gt;=W$3)*('NVRAM map'!$AJ$3:$AJ$319&lt;=W$3),0),2)),"-",INDEX('NVRAM map'!$AF$3:$AG$319,MATCH(1,('NVRAM map'!$AF$3:$AF$319=$A92)*('NVRAM map'!$AI$3:$AI$319&gt;=W$3)*('NVRAM map'!$AJ$3:$AJ$319&lt;=W$3),0),2))</f>
        <v>RP1</v>
      </c>
      <c r="X92" s="88" t="str">
        <f ca="1">INDEX('NVRAM map'!$B$3:$B$319,MATCH(A92,'NVRAM map'!$E$3:$E$319,0))</f>
        <v>MLX</v>
      </c>
      <c r="AB92" s="44">
        <f t="shared" ca="1" si="17"/>
        <v>333</v>
      </c>
      <c r="AC92" s="12" t="b">
        <f ca="1">COUNTIF('NVRAM map'!$AD$3:$AE$319,A92)&lt;2</f>
        <v>1</v>
      </c>
      <c r="AD92" s="12">
        <f ca="1">SUMIF('NVRAM map'!$AF$3:$AF$319,A92,'NVRAM map'!$AK$3:$AK$319)</f>
        <v>65535</v>
      </c>
      <c r="AE92" s="12" t="str">
        <f t="shared" ca="1" si="18"/>
        <v>FFFF</v>
      </c>
      <c r="AF92" s="12" t="str">
        <f t="shared" ca="1" si="19"/>
        <v>11111111</v>
      </c>
      <c r="AG92" s="12" t="str">
        <f t="shared" ca="1" si="20"/>
        <v>11111111</v>
      </c>
      <c r="AH92" s="12">
        <f t="shared" ca="1" si="21"/>
        <v>16</v>
      </c>
      <c r="AI92" s="12">
        <f ca="1">SUMIF('NVRAM map'!$AF$3:$AF$319,A92,'NVRAM map'!$AH$3:$AH$319)</f>
        <v>16</v>
      </c>
      <c r="AJ92" s="12" t="b">
        <f t="shared" ca="1" si="22"/>
        <v>1</v>
      </c>
      <c r="AK92" s="12">
        <f ca="1">COUNTIF('NVRAM map'!$AF$3:$AF$319,A92)</f>
        <v>1</v>
      </c>
      <c r="AM92" s="89">
        <v>0</v>
      </c>
      <c r="AN92" s="80">
        <f t="shared" ca="1" si="28"/>
        <v>0</v>
      </c>
      <c r="AO92" s="80">
        <f t="shared" ca="1" si="28"/>
        <v>0</v>
      </c>
      <c r="AP92" s="80">
        <f t="shared" ca="1" si="28"/>
        <v>0</v>
      </c>
      <c r="AQ92" s="80">
        <f t="shared" ca="1" si="28"/>
        <v>0</v>
      </c>
      <c r="AR92" s="80">
        <f t="shared" ca="1" si="28"/>
        <v>0</v>
      </c>
      <c r="AS92" s="80">
        <f t="shared" ca="1" si="28"/>
        <v>0</v>
      </c>
      <c r="AT92" s="80">
        <f t="shared" ca="1" si="28"/>
        <v>0</v>
      </c>
      <c r="AU92" s="80">
        <f t="shared" ca="1" si="28"/>
        <v>0</v>
      </c>
      <c r="AV92" s="80">
        <f t="shared" ca="1" si="28"/>
        <v>0</v>
      </c>
      <c r="AW92" s="80">
        <f t="shared" ca="1" si="28"/>
        <v>0</v>
      </c>
      <c r="AX92" s="80">
        <f t="shared" ca="1" si="28"/>
        <v>0</v>
      </c>
      <c r="AY92" s="80">
        <f t="shared" ca="1" si="28"/>
        <v>0</v>
      </c>
      <c r="AZ92" s="80">
        <f t="shared" ca="1" si="28"/>
        <v>0</v>
      </c>
      <c r="BA92" s="80">
        <f t="shared" ca="1" si="28"/>
        <v>0</v>
      </c>
      <c r="BB92" s="81">
        <f t="shared" ca="1" si="28"/>
        <v>0</v>
      </c>
      <c r="BD92" s="12" t="str">
        <f t="shared" si="23"/>
        <v>0x10B0</v>
      </c>
      <c r="BE92" s="12" t="str">
        <f t="shared" ca="1" si="24"/>
        <v>1111111001001111</v>
      </c>
      <c r="BG92" s="53" t="str">
        <f t="shared" ca="1" si="25"/>
        <v>`define EE_RP1 44</v>
      </c>
    </row>
    <row r="93" spans="1:59">
      <c r="A93" s="82" t="s">
        <v>359</v>
      </c>
      <c r="B93" s="82">
        <v>178</v>
      </c>
      <c r="C93" s="82">
        <v>44</v>
      </c>
      <c r="D93" s="83">
        <f ca="1">SUMIF('NVRAM map'!$AF$3:$AF$319,A93,'NVRAM map'!$AN$3:$AN$319)</f>
        <v>1374</v>
      </c>
      <c r="E93" s="84" t="str">
        <f t="shared" ca="1" si="16"/>
        <v>055E</v>
      </c>
      <c r="F93" s="85" t="str">
        <f t="shared" ca="1" si="26"/>
        <v>055E</v>
      </c>
      <c r="G93" s="86" t="str">
        <f ca="1">VLOOKUP(MemoryView!A93,'NVRAM map'!$AD$3:$AE$319,2,0)</f>
        <v>EE_RP2</v>
      </c>
      <c r="H93" s="87" t="str">
        <f t="array" aca="1" ref="H93" ca="1">IF(ISNA(INDEX('NVRAM map'!$AF$3:$AG$319,MATCH(1,('NVRAM map'!$AF$3:$AF$319=$A93)*('NVRAM map'!$AI$3:$AI$319&gt;=H$3)*('NVRAM map'!$AJ$3:$AJ$319&lt;=H$3),0),2)),"-",INDEX('NVRAM map'!$AF$3:$AG$319,MATCH(1,('NVRAM map'!$AF$3:$AF$319=$A93)*('NVRAM map'!$AI$3:$AI$319&gt;=H$3)*('NVRAM map'!$AJ$3:$AJ$319&lt;=H$3),0),2))</f>
        <v>RP2</v>
      </c>
      <c r="I93" s="87" t="str">
        <f t="array" aca="1" ref="I93" ca="1">IF(ISNA(INDEX('NVRAM map'!$AF$3:$AG$319,MATCH(1,('NVRAM map'!$AF$3:$AF$319=$A93)*('NVRAM map'!$AI$3:$AI$319&gt;=I$3)*('NVRAM map'!$AJ$3:$AJ$319&lt;=I$3),0),2)),"-",INDEX('NVRAM map'!$AF$3:$AG$319,MATCH(1,('NVRAM map'!$AF$3:$AF$319=$A93)*('NVRAM map'!$AI$3:$AI$319&gt;=I$3)*('NVRAM map'!$AJ$3:$AJ$319&lt;=I$3),0),2))</f>
        <v>RP2</v>
      </c>
      <c r="J93" s="87" t="str">
        <f t="array" aca="1" ref="J93" ca="1">IF(ISNA(INDEX('NVRAM map'!$AF$3:$AG$319,MATCH(1,('NVRAM map'!$AF$3:$AF$319=$A93)*('NVRAM map'!$AI$3:$AI$319&gt;=J$3)*('NVRAM map'!$AJ$3:$AJ$319&lt;=J$3),0),2)),"-",INDEX('NVRAM map'!$AF$3:$AG$319,MATCH(1,('NVRAM map'!$AF$3:$AF$319=$A93)*('NVRAM map'!$AI$3:$AI$319&gt;=J$3)*('NVRAM map'!$AJ$3:$AJ$319&lt;=J$3),0),2))</f>
        <v>RP2</v>
      </c>
      <c r="K93" s="87" t="str">
        <f t="array" aca="1" ref="K93" ca="1">IF(ISNA(INDEX('NVRAM map'!$AF$3:$AG$319,MATCH(1,('NVRAM map'!$AF$3:$AF$319=$A93)*('NVRAM map'!$AI$3:$AI$319&gt;=K$3)*('NVRAM map'!$AJ$3:$AJ$319&lt;=K$3),0),2)),"-",INDEX('NVRAM map'!$AF$3:$AG$319,MATCH(1,('NVRAM map'!$AF$3:$AF$319=$A93)*('NVRAM map'!$AI$3:$AI$319&gt;=K$3)*('NVRAM map'!$AJ$3:$AJ$319&lt;=K$3),0),2))</f>
        <v>RP2</v>
      </c>
      <c r="L93" s="87" t="str">
        <f t="array" aca="1" ref="L93" ca="1">IF(ISNA(INDEX('NVRAM map'!$AF$3:$AG$319,MATCH(1,('NVRAM map'!$AF$3:$AF$319=$A93)*('NVRAM map'!$AI$3:$AI$319&gt;=L$3)*('NVRAM map'!$AJ$3:$AJ$319&lt;=L$3),0),2)),"-",INDEX('NVRAM map'!$AF$3:$AG$319,MATCH(1,('NVRAM map'!$AF$3:$AF$319=$A93)*('NVRAM map'!$AI$3:$AI$319&gt;=L$3)*('NVRAM map'!$AJ$3:$AJ$319&lt;=L$3),0),2))</f>
        <v>RP2</v>
      </c>
      <c r="M93" s="87" t="str">
        <f t="array" aca="1" ref="M93" ca="1">IF(ISNA(INDEX('NVRAM map'!$AF$3:$AG$319,MATCH(1,('NVRAM map'!$AF$3:$AF$319=$A93)*('NVRAM map'!$AI$3:$AI$319&gt;=M$3)*('NVRAM map'!$AJ$3:$AJ$319&lt;=M$3),0),2)),"-",INDEX('NVRAM map'!$AF$3:$AG$319,MATCH(1,('NVRAM map'!$AF$3:$AF$319=$A93)*('NVRAM map'!$AI$3:$AI$319&gt;=M$3)*('NVRAM map'!$AJ$3:$AJ$319&lt;=M$3),0),2))</f>
        <v>RP2</v>
      </c>
      <c r="N93" s="87" t="str">
        <f t="array" aca="1" ref="N93" ca="1">IF(ISNA(INDEX('NVRAM map'!$AF$3:$AG$319,MATCH(1,('NVRAM map'!$AF$3:$AF$319=$A93)*('NVRAM map'!$AI$3:$AI$319&gt;=N$3)*('NVRAM map'!$AJ$3:$AJ$319&lt;=N$3),0),2)),"-",INDEX('NVRAM map'!$AF$3:$AG$319,MATCH(1,('NVRAM map'!$AF$3:$AF$319=$A93)*('NVRAM map'!$AI$3:$AI$319&gt;=N$3)*('NVRAM map'!$AJ$3:$AJ$319&lt;=N$3),0),2))</f>
        <v>RP2</v>
      </c>
      <c r="O93" s="87" t="str">
        <f t="array" aca="1" ref="O93" ca="1">IF(ISNA(INDEX('NVRAM map'!$AF$3:$AG$319,MATCH(1,('NVRAM map'!$AF$3:$AF$319=$A93)*('NVRAM map'!$AI$3:$AI$319&gt;=O$3)*('NVRAM map'!$AJ$3:$AJ$319&lt;=O$3),0),2)),"-",INDEX('NVRAM map'!$AF$3:$AG$319,MATCH(1,('NVRAM map'!$AF$3:$AF$319=$A93)*('NVRAM map'!$AI$3:$AI$319&gt;=O$3)*('NVRAM map'!$AJ$3:$AJ$319&lt;=O$3),0),2))</f>
        <v>RP2</v>
      </c>
      <c r="P93" s="87" t="str">
        <f t="array" aca="1" ref="P93" ca="1">IF(ISNA(INDEX('NVRAM map'!$AF$3:$AG$319,MATCH(1,('NVRAM map'!$AF$3:$AF$319=$A93)*('NVRAM map'!$AI$3:$AI$319&gt;=P$3)*('NVRAM map'!$AJ$3:$AJ$319&lt;=P$3),0),2)),"-",INDEX('NVRAM map'!$AF$3:$AG$319,MATCH(1,('NVRAM map'!$AF$3:$AF$319=$A93)*('NVRAM map'!$AI$3:$AI$319&gt;=P$3)*('NVRAM map'!$AJ$3:$AJ$319&lt;=P$3),0),2))</f>
        <v>RP2</v>
      </c>
      <c r="Q93" s="87" t="str">
        <f t="array" aca="1" ref="Q93" ca="1">IF(ISNA(INDEX('NVRAM map'!$AF$3:$AG$319,MATCH(1,('NVRAM map'!$AF$3:$AF$319=$A93)*('NVRAM map'!$AI$3:$AI$319&gt;=Q$3)*('NVRAM map'!$AJ$3:$AJ$319&lt;=Q$3),0),2)),"-",INDEX('NVRAM map'!$AF$3:$AG$319,MATCH(1,('NVRAM map'!$AF$3:$AF$319=$A93)*('NVRAM map'!$AI$3:$AI$319&gt;=Q$3)*('NVRAM map'!$AJ$3:$AJ$319&lt;=Q$3),0),2))</f>
        <v>RP2</v>
      </c>
      <c r="R93" s="87" t="str">
        <f t="array" aca="1" ref="R93" ca="1">IF(ISNA(INDEX('NVRAM map'!$AF$3:$AG$319,MATCH(1,('NVRAM map'!$AF$3:$AF$319=$A93)*('NVRAM map'!$AI$3:$AI$319&gt;=R$3)*('NVRAM map'!$AJ$3:$AJ$319&lt;=R$3),0),2)),"-",INDEX('NVRAM map'!$AF$3:$AG$319,MATCH(1,('NVRAM map'!$AF$3:$AF$319=$A93)*('NVRAM map'!$AI$3:$AI$319&gt;=R$3)*('NVRAM map'!$AJ$3:$AJ$319&lt;=R$3),0),2))</f>
        <v>RP2</v>
      </c>
      <c r="S93" s="87" t="str">
        <f t="array" aca="1" ref="S93" ca="1">IF(ISNA(INDEX('NVRAM map'!$AF$3:$AG$319,MATCH(1,('NVRAM map'!$AF$3:$AF$319=$A93)*('NVRAM map'!$AI$3:$AI$319&gt;=S$3)*('NVRAM map'!$AJ$3:$AJ$319&lt;=S$3),0),2)),"-",INDEX('NVRAM map'!$AF$3:$AG$319,MATCH(1,('NVRAM map'!$AF$3:$AF$319=$A93)*('NVRAM map'!$AI$3:$AI$319&gt;=S$3)*('NVRAM map'!$AJ$3:$AJ$319&lt;=S$3),0),2))</f>
        <v>RP2</v>
      </c>
      <c r="T93" s="87" t="str">
        <f t="array" aca="1" ref="T93" ca="1">IF(ISNA(INDEX('NVRAM map'!$AF$3:$AG$319,MATCH(1,('NVRAM map'!$AF$3:$AF$319=$A93)*('NVRAM map'!$AI$3:$AI$319&gt;=T$3)*('NVRAM map'!$AJ$3:$AJ$319&lt;=T$3),0),2)),"-",INDEX('NVRAM map'!$AF$3:$AG$319,MATCH(1,('NVRAM map'!$AF$3:$AF$319=$A93)*('NVRAM map'!$AI$3:$AI$319&gt;=T$3)*('NVRAM map'!$AJ$3:$AJ$319&lt;=T$3),0),2))</f>
        <v>RP2</v>
      </c>
      <c r="U93" s="87" t="str">
        <f t="array" aca="1" ref="U93" ca="1">IF(ISNA(INDEX('NVRAM map'!$AF$3:$AG$319,MATCH(1,('NVRAM map'!$AF$3:$AF$319=$A93)*('NVRAM map'!$AI$3:$AI$319&gt;=U$3)*('NVRAM map'!$AJ$3:$AJ$319&lt;=U$3),0),2)),"-",INDEX('NVRAM map'!$AF$3:$AG$319,MATCH(1,('NVRAM map'!$AF$3:$AF$319=$A93)*('NVRAM map'!$AI$3:$AI$319&gt;=U$3)*('NVRAM map'!$AJ$3:$AJ$319&lt;=U$3),0),2))</f>
        <v>RP2</v>
      </c>
      <c r="V93" s="87" t="str">
        <f t="array" aca="1" ref="V93" ca="1">IF(ISNA(INDEX('NVRAM map'!$AF$3:$AG$319,MATCH(1,('NVRAM map'!$AF$3:$AF$319=$A93)*('NVRAM map'!$AI$3:$AI$319&gt;=V$3)*('NVRAM map'!$AJ$3:$AJ$319&lt;=V$3),0),2)),"-",INDEX('NVRAM map'!$AF$3:$AG$319,MATCH(1,('NVRAM map'!$AF$3:$AF$319=$A93)*('NVRAM map'!$AI$3:$AI$319&gt;=V$3)*('NVRAM map'!$AJ$3:$AJ$319&lt;=V$3),0),2))</f>
        <v>RP2</v>
      </c>
      <c r="W93" s="87" t="str">
        <f t="array" aca="1" ref="W93" ca="1">IF(ISNA(INDEX('NVRAM map'!$AF$3:$AG$319,MATCH(1,('NVRAM map'!$AF$3:$AF$319=$A93)*('NVRAM map'!$AI$3:$AI$319&gt;=W$3)*('NVRAM map'!$AJ$3:$AJ$319&lt;=W$3),0),2)),"-",INDEX('NVRAM map'!$AF$3:$AG$319,MATCH(1,('NVRAM map'!$AF$3:$AF$319=$A93)*('NVRAM map'!$AI$3:$AI$319&gt;=W$3)*('NVRAM map'!$AJ$3:$AJ$319&lt;=W$3),0),2))</f>
        <v>RP2</v>
      </c>
      <c r="X93" s="88" t="str">
        <f ca="1">INDEX('NVRAM map'!$B$3:$B$319,MATCH(A93,'NVRAM map'!$E$3:$E$319,0))</f>
        <v>MLX</v>
      </c>
      <c r="AB93" s="44">
        <f t="shared" ca="1" si="17"/>
        <v>99</v>
      </c>
      <c r="AC93" s="12" t="b">
        <f ca="1">COUNTIF('NVRAM map'!$AD$3:$AE$319,A93)&lt;2</f>
        <v>1</v>
      </c>
      <c r="AD93" s="12">
        <f ca="1">SUMIF('NVRAM map'!$AF$3:$AF$319,A93,'NVRAM map'!$AK$3:$AK$319)</f>
        <v>65535</v>
      </c>
      <c r="AE93" s="12" t="str">
        <f t="shared" ca="1" si="18"/>
        <v>FFFF</v>
      </c>
      <c r="AF93" s="12" t="str">
        <f t="shared" ca="1" si="19"/>
        <v>11111111</v>
      </c>
      <c r="AG93" s="12" t="str">
        <f t="shared" ca="1" si="20"/>
        <v>11111111</v>
      </c>
      <c r="AH93" s="12">
        <f t="shared" ca="1" si="21"/>
        <v>16</v>
      </c>
      <c r="AI93" s="12">
        <f ca="1">SUMIF('NVRAM map'!$AF$3:$AF$319,A93,'NVRAM map'!$AH$3:$AH$319)</f>
        <v>16</v>
      </c>
      <c r="AJ93" s="12" t="b">
        <f t="shared" ca="1" si="22"/>
        <v>1</v>
      </c>
      <c r="AK93" s="12">
        <f ca="1">COUNTIF('NVRAM map'!$AF$3:$AF$319,A93)</f>
        <v>1</v>
      </c>
      <c r="AM93" s="89">
        <v>0</v>
      </c>
      <c r="AN93" s="80">
        <f t="shared" ca="1" si="28"/>
        <v>0</v>
      </c>
      <c r="AO93" s="80">
        <f t="shared" ca="1" si="28"/>
        <v>0</v>
      </c>
      <c r="AP93" s="80">
        <f t="shared" ca="1" si="28"/>
        <v>0</v>
      </c>
      <c r="AQ93" s="80">
        <f t="shared" ca="1" si="28"/>
        <v>0</v>
      </c>
      <c r="AR93" s="80">
        <f t="shared" ca="1" si="28"/>
        <v>0</v>
      </c>
      <c r="AS93" s="80">
        <f t="shared" ca="1" si="28"/>
        <v>0</v>
      </c>
      <c r="AT93" s="80">
        <f t="shared" ca="1" si="28"/>
        <v>0</v>
      </c>
      <c r="AU93" s="80">
        <f t="shared" ca="1" si="28"/>
        <v>0</v>
      </c>
      <c r="AV93" s="80">
        <f t="shared" ca="1" si="28"/>
        <v>0</v>
      </c>
      <c r="AW93" s="80">
        <f t="shared" ca="1" si="28"/>
        <v>0</v>
      </c>
      <c r="AX93" s="80">
        <f t="shared" ca="1" si="28"/>
        <v>0</v>
      </c>
      <c r="AY93" s="80">
        <f t="shared" ca="1" si="28"/>
        <v>0</v>
      </c>
      <c r="AZ93" s="80">
        <f t="shared" ca="1" si="28"/>
        <v>0</v>
      </c>
      <c r="BA93" s="80">
        <f t="shared" ca="1" si="28"/>
        <v>0</v>
      </c>
      <c r="BB93" s="81">
        <f t="shared" ca="1" si="28"/>
        <v>0</v>
      </c>
      <c r="BD93" s="12" t="str">
        <f t="shared" si="23"/>
        <v>0x10B2</v>
      </c>
      <c r="BE93" s="12" t="str">
        <f t="shared" ca="1" si="24"/>
        <v>0000010101011110</v>
      </c>
      <c r="BG93" s="53" t="str">
        <f t="shared" ca="1" si="25"/>
        <v>`define EE_RP2 44</v>
      </c>
    </row>
    <row r="94" spans="1:59">
      <c r="A94" s="82" t="s">
        <v>360</v>
      </c>
      <c r="B94" s="82">
        <v>180</v>
      </c>
      <c r="C94" s="82">
        <v>45</v>
      </c>
      <c r="D94" s="83">
        <f ca="1">SUMIF('NVRAM map'!$AF$3:$AF$319,A94,'NVRAM map'!$AN$3:$AN$319)</f>
        <v>65469</v>
      </c>
      <c r="E94" s="84" t="str">
        <f t="shared" ca="1" si="16"/>
        <v>FFBD</v>
      </c>
      <c r="F94" s="85" t="str">
        <f t="shared" ca="1" si="26"/>
        <v>FFBD</v>
      </c>
      <c r="G94" s="86" t="str">
        <f ca="1">VLOOKUP(MemoryView!A94,'NVRAM map'!$AD$3:$AE$319,2,0)</f>
        <v>EE_RP3</v>
      </c>
      <c r="H94" s="87" t="str">
        <f t="array" aca="1" ref="H94" ca="1">IF(ISNA(INDEX('NVRAM map'!$AF$3:$AG$319,MATCH(1,('NVRAM map'!$AF$3:$AF$319=$A94)*('NVRAM map'!$AI$3:$AI$319&gt;=H$3)*('NVRAM map'!$AJ$3:$AJ$319&lt;=H$3),0),2)),"-",INDEX('NVRAM map'!$AF$3:$AG$319,MATCH(1,('NVRAM map'!$AF$3:$AF$319=$A94)*('NVRAM map'!$AI$3:$AI$319&gt;=H$3)*('NVRAM map'!$AJ$3:$AJ$319&lt;=H$3),0),2))</f>
        <v>RP3</v>
      </c>
      <c r="I94" s="87" t="str">
        <f t="array" aca="1" ref="I94" ca="1">IF(ISNA(INDEX('NVRAM map'!$AF$3:$AG$319,MATCH(1,('NVRAM map'!$AF$3:$AF$319=$A94)*('NVRAM map'!$AI$3:$AI$319&gt;=I$3)*('NVRAM map'!$AJ$3:$AJ$319&lt;=I$3),0),2)),"-",INDEX('NVRAM map'!$AF$3:$AG$319,MATCH(1,('NVRAM map'!$AF$3:$AF$319=$A94)*('NVRAM map'!$AI$3:$AI$319&gt;=I$3)*('NVRAM map'!$AJ$3:$AJ$319&lt;=I$3),0),2))</f>
        <v>RP3</v>
      </c>
      <c r="J94" s="87" t="str">
        <f t="array" aca="1" ref="J94" ca="1">IF(ISNA(INDEX('NVRAM map'!$AF$3:$AG$319,MATCH(1,('NVRAM map'!$AF$3:$AF$319=$A94)*('NVRAM map'!$AI$3:$AI$319&gt;=J$3)*('NVRAM map'!$AJ$3:$AJ$319&lt;=J$3),0),2)),"-",INDEX('NVRAM map'!$AF$3:$AG$319,MATCH(1,('NVRAM map'!$AF$3:$AF$319=$A94)*('NVRAM map'!$AI$3:$AI$319&gt;=J$3)*('NVRAM map'!$AJ$3:$AJ$319&lt;=J$3),0),2))</f>
        <v>RP3</v>
      </c>
      <c r="K94" s="87" t="str">
        <f t="array" aca="1" ref="K94" ca="1">IF(ISNA(INDEX('NVRAM map'!$AF$3:$AG$319,MATCH(1,('NVRAM map'!$AF$3:$AF$319=$A94)*('NVRAM map'!$AI$3:$AI$319&gt;=K$3)*('NVRAM map'!$AJ$3:$AJ$319&lt;=K$3),0),2)),"-",INDEX('NVRAM map'!$AF$3:$AG$319,MATCH(1,('NVRAM map'!$AF$3:$AF$319=$A94)*('NVRAM map'!$AI$3:$AI$319&gt;=K$3)*('NVRAM map'!$AJ$3:$AJ$319&lt;=K$3),0),2))</f>
        <v>RP3</v>
      </c>
      <c r="L94" s="87" t="str">
        <f t="array" aca="1" ref="L94" ca="1">IF(ISNA(INDEX('NVRAM map'!$AF$3:$AG$319,MATCH(1,('NVRAM map'!$AF$3:$AF$319=$A94)*('NVRAM map'!$AI$3:$AI$319&gt;=L$3)*('NVRAM map'!$AJ$3:$AJ$319&lt;=L$3),0),2)),"-",INDEX('NVRAM map'!$AF$3:$AG$319,MATCH(1,('NVRAM map'!$AF$3:$AF$319=$A94)*('NVRAM map'!$AI$3:$AI$319&gt;=L$3)*('NVRAM map'!$AJ$3:$AJ$319&lt;=L$3),0),2))</f>
        <v>RP3</v>
      </c>
      <c r="M94" s="87" t="str">
        <f t="array" aca="1" ref="M94" ca="1">IF(ISNA(INDEX('NVRAM map'!$AF$3:$AG$319,MATCH(1,('NVRAM map'!$AF$3:$AF$319=$A94)*('NVRAM map'!$AI$3:$AI$319&gt;=M$3)*('NVRAM map'!$AJ$3:$AJ$319&lt;=M$3),0),2)),"-",INDEX('NVRAM map'!$AF$3:$AG$319,MATCH(1,('NVRAM map'!$AF$3:$AF$319=$A94)*('NVRAM map'!$AI$3:$AI$319&gt;=M$3)*('NVRAM map'!$AJ$3:$AJ$319&lt;=M$3),0),2))</f>
        <v>RP3</v>
      </c>
      <c r="N94" s="87" t="str">
        <f t="array" aca="1" ref="N94" ca="1">IF(ISNA(INDEX('NVRAM map'!$AF$3:$AG$319,MATCH(1,('NVRAM map'!$AF$3:$AF$319=$A94)*('NVRAM map'!$AI$3:$AI$319&gt;=N$3)*('NVRAM map'!$AJ$3:$AJ$319&lt;=N$3),0),2)),"-",INDEX('NVRAM map'!$AF$3:$AG$319,MATCH(1,('NVRAM map'!$AF$3:$AF$319=$A94)*('NVRAM map'!$AI$3:$AI$319&gt;=N$3)*('NVRAM map'!$AJ$3:$AJ$319&lt;=N$3),0),2))</f>
        <v>RP3</v>
      </c>
      <c r="O94" s="87" t="str">
        <f t="array" aca="1" ref="O94" ca="1">IF(ISNA(INDEX('NVRAM map'!$AF$3:$AG$319,MATCH(1,('NVRAM map'!$AF$3:$AF$319=$A94)*('NVRAM map'!$AI$3:$AI$319&gt;=O$3)*('NVRAM map'!$AJ$3:$AJ$319&lt;=O$3),0),2)),"-",INDEX('NVRAM map'!$AF$3:$AG$319,MATCH(1,('NVRAM map'!$AF$3:$AF$319=$A94)*('NVRAM map'!$AI$3:$AI$319&gt;=O$3)*('NVRAM map'!$AJ$3:$AJ$319&lt;=O$3),0),2))</f>
        <v>RP3</v>
      </c>
      <c r="P94" s="87" t="str">
        <f t="array" aca="1" ref="P94" ca="1">IF(ISNA(INDEX('NVRAM map'!$AF$3:$AG$319,MATCH(1,('NVRAM map'!$AF$3:$AF$319=$A94)*('NVRAM map'!$AI$3:$AI$319&gt;=P$3)*('NVRAM map'!$AJ$3:$AJ$319&lt;=P$3),0),2)),"-",INDEX('NVRAM map'!$AF$3:$AG$319,MATCH(1,('NVRAM map'!$AF$3:$AF$319=$A94)*('NVRAM map'!$AI$3:$AI$319&gt;=P$3)*('NVRAM map'!$AJ$3:$AJ$319&lt;=P$3),0),2))</f>
        <v>RP3</v>
      </c>
      <c r="Q94" s="87" t="str">
        <f t="array" aca="1" ref="Q94" ca="1">IF(ISNA(INDEX('NVRAM map'!$AF$3:$AG$319,MATCH(1,('NVRAM map'!$AF$3:$AF$319=$A94)*('NVRAM map'!$AI$3:$AI$319&gt;=Q$3)*('NVRAM map'!$AJ$3:$AJ$319&lt;=Q$3),0),2)),"-",INDEX('NVRAM map'!$AF$3:$AG$319,MATCH(1,('NVRAM map'!$AF$3:$AF$319=$A94)*('NVRAM map'!$AI$3:$AI$319&gt;=Q$3)*('NVRAM map'!$AJ$3:$AJ$319&lt;=Q$3),0),2))</f>
        <v>RP3</v>
      </c>
      <c r="R94" s="87" t="str">
        <f t="array" aca="1" ref="R94" ca="1">IF(ISNA(INDEX('NVRAM map'!$AF$3:$AG$319,MATCH(1,('NVRAM map'!$AF$3:$AF$319=$A94)*('NVRAM map'!$AI$3:$AI$319&gt;=R$3)*('NVRAM map'!$AJ$3:$AJ$319&lt;=R$3),0),2)),"-",INDEX('NVRAM map'!$AF$3:$AG$319,MATCH(1,('NVRAM map'!$AF$3:$AF$319=$A94)*('NVRAM map'!$AI$3:$AI$319&gt;=R$3)*('NVRAM map'!$AJ$3:$AJ$319&lt;=R$3),0),2))</f>
        <v>RP3</v>
      </c>
      <c r="S94" s="87" t="str">
        <f t="array" aca="1" ref="S94" ca="1">IF(ISNA(INDEX('NVRAM map'!$AF$3:$AG$319,MATCH(1,('NVRAM map'!$AF$3:$AF$319=$A94)*('NVRAM map'!$AI$3:$AI$319&gt;=S$3)*('NVRAM map'!$AJ$3:$AJ$319&lt;=S$3),0),2)),"-",INDEX('NVRAM map'!$AF$3:$AG$319,MATCH(1,('NVRAM map'!$AF$3:$AF$319=$A94)*('NVRAM map'!$AI$3:$AI$319&gt;=S$3)*('NVRAM map'!$AJ$3:$AJ$319&lt;=S$3),0),2))</f>
        <v>RP3</v>
      </c>
      <c r="T94" s="87" t="str">
        <f t="array" aca="1" ref="T94" ca="1">IF(ISNA(INDEX('NVRAM map'!$AF$3:$AG$319,MATCH(1,('NVRAM map'!$AF$3:$AF$319=$A94)*('NVRAM map'!$AI$3:$AI$319&gt;=T$3)*('NVRAM map'!$AJ$3:$AJ$319&lt;=T$3),0),2)),"-",INDEX('NVRAM map'!$AF$3:$AG$319,MATCH(1,('NVRAM map'!$AF$3:$AF$319=$A94)*('NVRAM map'!$AI$3:$AI$319&gt;=T$3)*('NVRAM map'!$AJ$3:$AJ$319&lt;=T$3),0),2))</f>
        <v>RP3</v>
      </c>
      <c r="U94" s="87" t="str">
        <f t="array" aca="1" ref="U94" ca="1">IF(ISNA(INDEX('NVRAM map'!$AF$3:$AG$319,MATCH(1,('NVRAM map'!$AF$3:$AF$319=$A94)*('NVRAM map'!$AI$3:$AI$319&gt;=U$3)*('NVRAM map'!$AJ$3:$AJ$319&lt;=U$3),0),2)),"-",INDEX('NVRAM map'!$AF$3:$AG$319,MATCH(1,('NVRAM map'!$AF$3:$AF$319=$A94)*('NVRAM map'!$AI$3:$AI$319&gt;=U$3)*('NVRAM map'!$AJ$3:$AJ$319&lt;=U$3),0),2))</f>
        <v>RP3</v>
      </c>
      <c r="V94" s="87" t="str">
        <f t="array" aca="1" ref="V94" ca="1">IF(ISNA(INDEX('NVRAM map'!$AF$3:$AG$319,MATCH(1,('NVRAM map'!$AF$3:$AF$319=$A94)*('NVRAM map'!$AI$3:$AI$319&gt;=V$3)*('NVRAM map'!$AJ$3:$AJ$319&lt;=V$3),0),2)),"-",INDEX('NVRAM map'!$AF$3:$AG$319,MATCH(1,('NVRAM map'!$AF$3:$AF$319=$A94)*('NVRAM map'!$AI$3:$AI$319&gt;=V$3)*('NVRAM map'!$AJ$3:$AJ$319&lt;=V$3),0),2))</f>
        <v>RP3</v>
      </c>
      <c r="W94" s="87" t="str">
        <f t="array" aca="1" ref="W94" ca="1">IF(ISNA(INDEX('NVRAM map'!$AF$3:$AG$319,MATCH(1,('NVRAM map'!$AF$3:$AF$319=$A94)*('NVRAM map'!$AI$3:$AI$319&gt;=W$3)*('NVRAM map'!$AJ$3:$AJ$319&lt;=W$3),0),2)),"-",INDEX('NVRAM map'!$AF$3:$AG$319,MATCH(1,('NVRAM map'!$AF$3:$AF$319=$A94)*('NVRAM map'!$AI$3:$AI$319&gt;=W$3)*('NVRAM map'!$AJ$3:$AJ$319&lt;=W$3),0),2))</f>
        <v>RP3</v>
      </c>
      <c r="X94" s="88" t="str">
        <f ca="1">INDEX('NVRAM map'!$B$3:$B$319,MATCH(A94,'NVRAM map'!$E$3:$E$319,0))</f>
        <v>MLX</v>
      </c>
      <c r="AB94" s="44">
        <f t="shared" ca="1" si="17"/>
        <v>444</v>
      </c>
      <c r="AC94" s="12" t="b">
        <f ca="1">COUNTIF('NVRAM map'!$AD$3:$AE$319,A94)&lt;2</f>
        <v>1</v>
      </c>
      <c r="AD94" s="12">
        <f ca="1">SUMIF('NVRAM map'!$AF$3:$AF$319,A94,'NVRAM map'!$AK$3:$AK$319)</f>
        <v>65535</v>
      </c>
      <c r="AE94" s="12" t="str">
        <f t="shared" ca="1" si="18"/>
        <v>FFFF</v>
      </c>
      <c r="AF94" s="12" t="str">
        <f t="shared" ca="1" si="19"/>
        <v>11111111</v>
      </c>
      <c r="AG94" s="12" t="str">
        <f t="shared" ca="1" si="20"/>
        <v>11111111</v>
      </c>
      <c r="AH94" s="12">
        <f t="shared" ca="1" si="21"/>
        <v>16</v>
      </c>
      <c r="AI94" s="12">
        <f ca="1">SUMIF('NVRAM map'!$AF$3:$AF$319,A94,'NVRAM map'!$AH$3:$AH$319)</f>
        <v>16</v>
      </c>
      <c r="AJ94" s="12" t="b">
        <f t="shared" ca="1" si="22"/>
        <v>1</v>
      </c>
      <c r="AK94" s="12">
        <f ca="1">COUNTIF('NVRAM map'!$AF$3:$AF$319,A94)</f>
        <v>1</v>
      </c>
      <c r="AM94" s="89">
        <v>0</v>
      </c>
      <c r="AN94" s="80">
        <f t="shared" ca="1" si="28"/>
        <v>0</v>
      </c>
      <c r="AO94" s="80">
        <f t="shared" ca="1" si="28"/>
        <v>0</v>
      </c>
      <c r="AP94" s="80">
        <f t="shared" ca="1" si="28"/>
        <v>0</v>
      </c>
      <c r="AQ94" s="80">
        <f t="shared" ca="1" si="28"/>
        <v>0</v>
      </c>
      <c r="AR94" s="80">
        <f t="shared" ca="1" si="28"/>
        <v>0</v>
      </c>
      <c r="AS94" s="80">
        <f t="shared" ca="1" si="28"/>
        <v>0</v>
      </c>
      <c r="AT94" s="80">
        <f t="shared" ca="1" si="28"/>
        <v>0</v>
      </c>
      <c r="AU94" s="80">
        <f t="shared" ca="1" si="28"/>
        <v>0</v>
      </c>
      <c r="AV94" s="80">
        <f t="shared" ca="1" si="28"/>
        <v>0</v>
      </c>
      <c r="AW94" s="80">
        <f t="shared" ca="1" si="28"/>
        <v>0</v>
      </c>
      <c r="AX94" s="80">
        <f t="shared" ca="1" si="28"/>
        <v>0</v>
      </c>
      <c r="AY94" s="80">
        <f t="shared" ca="1" si="28"/>
        <v>0</v>
      </c>
      <c r="AZ94" s="80">
        <f t="shared" ca="1" si="28"/>
        <v>0</v>
      </c>
      <c r="BA94" s="80">
        <f t="shared" ca="1" si="28"/>
        <v>0</v>
      </c>
      <c r="BB94" s="81">
        <f t="shared" ca="1" si="28"/>
        <v>0</v>
      </c>
      <c r="BD94" s="12" t="str">
        <f t="shared" si="23"/>
        <v>0x10B4</v>
      </c>
      <c r="BE94" s="12" t="str">
        <f t="shared" ca="1" si="24"/>
        <v>1111111110111101</v>
      </c>
      <c r="BG94" s="53" t="str">
        <f t="shared" ca="1" si="25"/>
        <v>`define EE_RP3 45</v>
      </c>
    </row>
    <row r="95" spans="1:59">
      <c r="A95" s="82" t="s">
        <v>361</v>
      </c>
      <c r="B95" s="82">
        <v>182</v>
      </c>
      <c r="C95" s="82">
        <v>45</v>
      </c>
      <c r="D95" s="83">
        <f ca="1">SUMIF('NVRAM map'!$AF$3:$AF$319,A95,'NVRAM map'!$AN$3:$AN$319)</f>
        <v>64143</v>
      </c>
      <c r="E95" s="84" t="str">
        <f t="shared" ca="1" si="16"/>
        <v>FA8F</v>
      </c>
      <c r="F95" s="85" t="str">
        <f t="shared" ca="1" si="26"/>
        <v>FA8F</v>
      </c>
      <c r="G95" s="86" t="str">
        <f ca="1">VLOOKUP(MemoryView!A95,'NVRAM map'!$AD$3:$AE$319,2,0)</f>
        <v>EE_ANA_DIAG0</v>
      </c>
      <c r="H95" s="87" t="str">
        <f t="array" aca="1" ref="H95" ca="1">IF(ISNA(INDEX('NVRAM map'!$AF$3:$AG$319,MATCH(1,('NVRAM map'!$AF$3:$AF$319=$A95)*('NVRAM map'!$AI$3:$AI$319&gt;=H$3)*('NVRAM map'!$AJ$3:$AJ$319&lt;=H$3),0),2)),"-",INDEX('NVRAM map'!$AF$3:$AG$319,MATCH(1,('NVRAM map'!$AF$3:$AF$319=$A95)*('NVRAM map'!$AI$3:$AI$319&gt;=H$3)*('NVRAM map'!$AJ$3:$AJ$319&lt;=H$3),0),2))</f>
        <v>VANA_BASE</v>
      </c>
      <c r="I95" s="87" t="str">
        <f t="array" aca="1" ref="I95" ca="1">IF(ISNA(INDEX('NVRAM map'!$AF$3:$AG$319,MATCH(1,('NVRAM map'!$AF$3:$AF$319=$A95)*('NVRAM map'!$AI$3:$AI$319&gt;=I$3)*('NVRAM map'!$AJ$3:$AJ$319&lt;=I$3),0),2)),"-",INDEX('NVRAM map'!$AF$3:$AG$319,MATCH(1,('NVRAM map'!$AF$3:$AF$319=$A95)*('NVRAM map'!$AI$3:$AI$319&gt;=I$3)*('NVRAM map'!$AJ$3:$AJ$319&lt;=I$3),0),2))</f>
        <v>VANA_BASE</v>
      </c>
      <c r="J95" s="87" t="str">
        <f t="array" aca="1" ref="J95" ca="1">IF(ISNA(INDEX('NVRAM map'!$AF$3:$AG$319,MATCH(1,('NVRAM map'!$AF$3:$AF$319=$A95)*('NVRAM map'!$AI$3:$AI$319&gt;=J$3)*('NVRAM map'!$AJ$3:$AJ$319&lt;=J$3),0),2)),"-",INDEX('NVRAM map'!$AF$3:$AG$319,MATCH(1,('NVRAM map'!$AF$3:$AF$319=$A95)*('NVRAM map'!$AI$3:$AI$319&gt;=J$3)*('NVRAM map'!$AJ$3:$AJ$319&lt;=J$3),0),2))</f>
        <v>VANA_BASE</v>
      </c>
      <c r="K95" s="87" t="str">
        <f t="array" aca="1" ref="K95" ca="1">IF(ISNA(INDEX('NVRAM map'!$AF$3:$AG$319,MATCH(1,('NVRAM map'!$AF$3:$AF$319=$A95)*('NVRAM map'!$AI$3:$AI$319&gt;=K$3)*('NVRAM map'!$AJ$3:$AJ$319&lt;=K$3),0),2)),"-",INDEX('NVRAM map'!$AF$3:$AG$319,MATCH(1,('NVRAM map'!$AF$3:$AF$319=$A95)*('NVRAM map'!$AI$3:$AI$319&gt;=K$3)*('NVRAM map'!$AJ$3:$AJ$319&lt;=K$3),0),2))</f>
        <v>VANA_BASE</v>
      </c>
      <c r="L95" s="87" t="str">
        <f t="array" aca="1" ref="L95" ca="1">IF(ISNA(INDEX('NVRAM map'!$AF$3:$AG$319,MATCH(1,('NVRAM map'!$AF$3:$AF$319=$A95)*('NVRAM map'!$AI$3:$AI$319&gt;=L$3)*('NVRAM map'!$AJ$3:$AJ$319&lt;=L$3),0),2)),"-",INDEX('NVRAM map'!$AF$3:$AG$319,MATCH(1,('NVRAM map'!$AF$3:$AF$319=$A95)*('NVRAM map'!$AI$3:$AI$319&gt;=L$3)*('NVRAM map'!$AJ$3:$AJ$319&lt;=L$3),0),2))</f>
        <v>VANA_BASE</v>
      </c>
      <c r="M95" s="87" t="str">
        <f t="array" aca="1" ref="M95" ca="1">IF(ISNA(INDEX('NVRAM map'!$AF$3:$AG$319,MATCH(1,('NVRAM map'!$AF$3:$AF$319=$A95)*('NVRAM map'!$AI$3:$AI$319&gt;=M$3)*('NVRAM map'!$AJ$3:$AJ$319&lt;=M$3),0),2)),"-",INDEX('NVRAM map'!$AF$3:$AG$319,MATCH(1,('NVRAM map'!$AF$3:$AF$319=$A95)*('NVRAM map'!$AI$3:$AI$319&gt;=M$3)*('NVRAM map'!$AJ$3:$AJ$319&lt;=M$3),0),2))</f>
        <v>VANA_BASE</v>
      </c>
      <c r="N95" s="87" t="str">
        <f t="array" aca="1" ref="N95" ca="1">IF(ISNA(INDEX('NVRAM map'!$AF$3:$AG$319,MATCH(1,('NVRAM map'!$AF$3:$AF$319=$A95)*('NVRAM map'!$AI$3:$AI$319&gt;=N$3)*('NVRAM map'!$AJ$3:$AJ$319&lt;=N$3),0),2)),"-",INDEX('NVRAM map'!$AF$3:$AG$319,MATCH(1,('NVRAM map'!$AF$3:$AF$319=$A95)*('NVRAM map'!$AI$3:$AI$319&gt;=N$3)*('NVRAM map'!$AJ$3:$AJ$319&lt;=N$3),0),2))</f>
        <v>VANA_BASE</v>
      </c>
      <c r="O95" s="87" t="str">
        <f t="array" aca="1" ref="O95" ca="1">IF(ISNA(INDEX('NVRAM map'!$AF$3:$AG$319,MATCH(1,('NVRAM map'!$AF$3:$AF$319=$A95)*('NVRAM map'!$AI$3:$AI$319&gt;=O$3)*('NVRAM map'!$AJ$3:$AJ$319&lt;=O$3),0),2)),"-",INDEX('NVRAM map'!$AF$3:$AG$319,MATCH(1,('NVRAM map'!$AF$3:$AF$319=$A95)*('NVRAM map'!$AI$3:$AI$319&gt;=O$3)*('NVRAM map'!$AJ$3:$AJ$319&lt;=O$3),0),2))</f>
        <v>VANA_BASE</v>
      </c>
      <c r="P95" s="87" t="str">
        <f t="array" aca="1" ref="P95" ca="1">IF(ISNA(INDEX('NVRAM map'!$AF$3:$AG$319,MATCH(1,('NVRAM map'!$AF$3:$AF$319=$A95)*('NVRAM map'!$AI$3:$AI$319&gt;=P$3)*('NVRAM map'!$AJ$3:$AJ$319&lt;=P$3),0),2)),"-",INDEX('NVRAM map'!$AF$3:$AG$319,MATCH(1,('NVRAM map'!$AF$3:$AF$319=$A95)*('NVRAM map'!$AI$3:$AI$319&gt;=P$3)*('NVRAM map'!$AJ$3:$AJ$319&lt;=P$3),0),2))</f>
        <v>VANA_BASE</v>
      </c>
      <c r="Q95" s="87" t="str">
        <f t="array" aca="1" ref="Q95" ca="1">IF(ISNA(INDEX('NVRAM map'!$AF$3:$AG$319,MATCH(1,('NVRAM map'!$AF$3:$AF$319=$A95)*('NVRAM map'!$AI$3:$AI$319&gt;=Q$3)*('NVRAM map'!$AJ$3:$AJ$319&lt;=Q$3),0),2)),"-",INDEX('NVRAM map'!$AF$3:$AG$319,MATCH(1,('NVRAM map'!$AF$3:$AF$319=$A95)*('NVRAM map'!$AI$3:$AI$319&gt;=Q$3)*('NVRAM map'!$AJ$3:$AJ$319&lt;=Q$3),0),2))</f>
        <v>VANA_THRD</v>
      </c>
      <c r="R95" s="87" t="str">
        <f t="array" aca="1" ref="R95" ca="1">IF(ISNA(INDEX('NVRAM map'!$AF$3:$AG$319,MATCH(1,('NVRAM map'!$AF$3:$AF$319=$A95)*('NVRAM map'!$AI$3:$AI$319&gt;=R$3)*('NVRAM map'!$AJ$3:$AJ$319&lt;=R$3),0),2)),"-",INDEX('NVRAM map'!$AF$3:$AG$319,MATCH(1,('NVRAM map'!$AF$3:$AF$319=$A95)*('NVRAM map'!$AI$3:$AI$319&gt;=R$3)*('NVRAM map'!$AJ$3:$AJ$319&lt;=R$3),0),2))</f>
        <v>VANA_THRD</v>
      </c>
      <c r="S95" s="87" t="str">
        <f t="array" aca="1" ref="S95" ca="1">IF(ISNA(INDEX('NVRAM map'!$AF$3:$AG$319,MATCH(1,('NVRAM map'!$AF$3:$AF$319=$A95)*('NVRAM map'!$AI$3:$AI$319&gt;=S$3)*('NVRAM map'!$AJ$3:$AJ$319&lt;=S$3),0),2)),"-",INDEX('NVRAM map'!$AF$3:$AG$319,MATCH(1,('NVRAM map'!$AF$3:$AF$319=$A95)*('NVRAM map'!$AI$3:$AI$319&gt;=S$3)*('NVRAM map'!$AJ$3:$AJ$319&lt;=S$3),0),2))</f>
        <v>VANA_THRD</v>
      </c>
      <c r="T95" s="87" t="str">
        <f t="array" aca="1" ref="T95" ca="1">IF(ISNA(INDEX('NVRAM map'!$AF$3:$AG$319,MATCH(1,('NVRAM map'!$AF$3:$AF$319=$A95)*('NVRAM map'!$AI$3:$AI$319&gt;=T$3)*('NVRAM map'!$AJ$3:$AJ$319&lt;=T$3),0),2)),"-",INDEX('NVRAM map'!$AF$3:$AG$319,MATCH(1,('NVRAM map'!$AF$3:$AF$319=$A95)*('NVRAM map'!$AI$3:$AI$319&gt;=T$3)*('NVRAM map'!$AJ$3:$AJ$319&lt;=T$3),0),2))</f>
        <v>VANA_THRD</v>
      </c>
      <c r="U95" s="87" t="str">
        <f t="array" aca="1" ref="U95" ca="1">IF(ISNA(INDEX('NVRAM map'!$AF$3:$AG$319,MATCH(1,('NVRAM map'!$AF$3:$AF$319=$A95)*('NVRAM map'!$AI$3:$AI$319&gt;=U$3)*('NVRAM map'!$AJ$3:$AJ$319&lt;=U$3),0),2)),"-",INDEX('NVRAM map'!$AF$3:$AG$319,MATCH(1,('NVRAM map'!$AF$3:$AF$319=$A95)*('NVRAM map'!$AI$3:$AI$319&gt;=U$3)*('NVRAM map'!$AJ$3:$AJ$319&lt;=U$3),0),2))</f>
        <v>VANA_THRD</v>
      </c>
      <c r="V95" s="87" t="str">
        <f t="array" aca="1" ref="V95" ca="1">IF(ISNA(INDEX('NVRAM map'!$AF$3:$AG$319,MATCH(1,('NVRAM map'!$AF$3:$AF$319=$A95)*('NVRAM map'!$AI$3:$AI$319&gt;=V$3)*('NVRAM map'!$AJ$3:$AJ$319&lt;=V$3),0),2)),"-",INDEX('NVRAM map'!$AF$3:$AG$319,MATCH(1,('NVRAM map'!$AF$3:$AF$319=$A95)*('NVRAM map'!$AI$3:$AI$319&gt;=V$3)*('NVRAM map'!$AJ$3:$AJ$319&lt;=V$3),0),2))</f>
        <v>VANA_THRD</v>
      </c>
      <c r="W95" s="87" t="str">
        <f t="array" aca="1" ref="W95" ca="1">IF(ISNA(INDEX('NVRAM map'!$AF$3:$AG$319,MATCH(1,('NVRAM map'!$AF$3:$AF$319=$A95)*('NVRAM map'!$AI$3:$AI$319&gt;=W$3)*('NVRAM map'!$AJ$3:$AJ$319&lt;=W$3),0),2)),"-",INDEX('NVRAM map'!$AF$3:$AG$319,MATCH(1,('NVRAM map'!$AF$3:$AF$319=$A95)*('NVRAM map'!$AI$3:$AI$319&gt;=W$3)*('NVRAM map'!$AJ$3:$AJ$319&lt;=W$3),0),2))</f>
        <v>VANA_THRD</v>
      </c>
      <c r="X95" s="88" t="str">
        <f ca="1">INDEX('NVRAM map'!$B$3:$B$319,MATCH(A95,'NVRAM map'!$E$3:$E$319,0))</f>
        <v>MLX</v>
      </c>
      <c r="AB95" s="44">
        <f t="shared" ca="1" si="17"/>
        <v>393</v>
      </c>
      <c r="AC95" s="12" t="b">
        <f ca="1">COUNTIF('NVRAM map'!$AD$3:$AE$319,A95)&lt;2</f>
        <v>1</v>
      </c>
      <c r="AD95" s="12">
        <f ca="1">SUMIF('NVRAM map'!$AF$3:$AF$319,A95,'NVRAM map'!$AK$3:$AK$319)</f>
        <v>65535</v>
      </c>
      <c r="AE95" s="12" t="str">
        <f t="shared" ca="1" si="18"/>
        <v>FFFF</v>
      </c>
      <c r="AF95" s="12" t="str">
        <f t="shared" ca="1" si="19"/>
        <v>11111111</v>
      </c>
      <c r="AG95" s="12" t="str">
        <f t="shared" ca="1" si="20"/>
        <v>11111111</v>
      </c>
      <c r="AH95" s="12">
        <f t="shared" ca="1" si="21"/>
        <v>16</v>
      </c>
      <c r="AI95" s="12">
        <f ca="1">SUMIF('NVRAM map'!$AF$3:$AF$319,A95,'NVRAM map'!$AH$3:$AH$319)</f>
        <v>16</v>
      </c>
      <c r="AJ95" s="12" t="b">
        <f t="shared" ca="1" si="22"/>
        <v>1</v>
      </c>
      <c r="AK95" s="12">
        <f ca="1">COUNTIF('NVRAM map'!$AF$3:$AF$319,A95)</f>
        <v>2</v>
      </c>
      <c r="AM95" s="89">
        <v>0</v>
      </c>
      <c r="AN95" s="80">
        <f t="shared" ca="1" si="28"/>
        <v>0</v>
      </c>
      <c r="AO95" s="80">
        <f t="shared" ca="1" si="28"/>
        <v>0</v>
      </c>
      <c r="AP95" s="80">
        <f t="shared" ca="1" si="28"/>
        <v>0</v>
      </c>
      <c r="AQ95" s="80">
        <f t="shared" ca="1" si="28"/>
        <v>0</v>
      </c>
      <c r="AR95" s="80">
        <f t="shared" ca="1" si="28"/>
        <v>0</v>
      </c>
      <c r="AS95" s="80">
        <f t="shared" ca="1" si="28"/>
        <v>0</v>
      </c>
      <c r="AT95" s="80">
        <f t="shared" ca="1" si="28"/>
        <v>0</v>
      </c>
      <c r="AU95" s="80">
        <f t="shared" ca="1" si="28"/>
        <v>0</v>
      </c>
      <c r="AV95" s="80">
        <f t="shared" ca="1" si="28"/>
        <v>1</v>
      </c>
      <c r="AW95" s="80">
        <f t="shared" ca="1" si="28"/>
        <v>1</v>
      </c>
      <c r="AX95" s="80">
        <f t="shared" ca="1" si="28"/>
        <v>1</v>
      </c>
      <c r="AY95" s="80">
        <f t="shared" ca="1" si="28"/>
        <v>1</v>
      </c>
      <c r="AZ95" s="80">
        <f t="shared" ca="1" si="28"/>
        <v>1</v>
      </c>
      <c r="BA95" s="80">
        <f t="shared" ca="1" si="28"/>
        <v>1</v>
      </c>
      <c r="BB95" s="81">
        <f t="shared" ca="1" si="28"/>
        <v>1</v>
      </c>
      <c r="BD95" s="12" t="str">
        <f t="shared" si="23"/>
        <v>0x10B6</v>
      </c>
      <c r="BE95" s="12" t="str">
        <f t="shared" ca="1" si="24"/>
        <v>1111101010001111</v>
      </c>
      <c r="BG95" s="53" t="str">
        <f t="shared" ca="1" si="25"/>
        <v>`define EE_ANA_DIAG0 45</v>
      </c>
    </row>
    <row r="96" spans="1:59">
      <c r="A96" s="82" t="s">
        <v>362</v>
      </c>
      <c r="B96" s="82">
        <v>184</v>
      </c>
      <c r="C96" s="82">
        <v>46</v>
      </c>
      <c r="D96" s="83">
        <f ca="1">SUMIF('NVRAM map'!$AF$3:$AF$319,A96,'NVRAM map'!$AN$3:$AN$319)</f>
        <v>7226</v>
      </c>
      <c r="E96" s="84" t="str">
        <f t="shared" ca="1" si="16"/>
        <v>1C3A</v>
      </c>
      <c r="F96" s="85" t="str">
        <f t="shared" ca="1" si="26"/>
        <v>1C3A</v>
      </c>
      <c r="G96" s="86" t="str">
        <f ca="1">VLOOKUP(MemoryView!A96,'NVRAM map'!$AD$3:$AE$319,2,0)</f>
        <v>EE_ANA_DIAG1</v>
      </c>
      <c r="H96" s="87" t="str">
        <f t="array" aca="1" ref="H96" ca="1">IF(ISNA(INDEX('NVRAM map'!$AF$3:$AG$319,MATCH(1,('NVRAM map'!$AF$3:$AF$319=$A96)*('NVRAM map'!$AI$3:$AI$319&gt;=H$3)*('NVRAM map'!$AJ$3:$AJ$319&lt;=H$3),0),2)),"-",INDEX('NVRAM map'!$AF$3:$AG$319,MATCH(1,('NVRAM map'!$AF$3:$AF$319=$A96)*('NVRAM map'!$AI$3:$AI$319&gt;=H$3)*('NVRAM map'!$AJ$3:$AJ$319&lt;=H$3),0),2))</f>
        <v>RREF_BASE</v>
      </c>
      <c r="I96" s="87" t="str">
        <f t="array" aca="1" ref="I96" ca="1">IF(ISNA(INDEX('NVRAM map'!$AF$3:$AG$319,MATCH(1,('NVRAM map'!$AF$3:$AF$319=$A96)*('NVRAM map'!$AI$3:$AI$319&gt;=I$3)*('NVRAM map'!$AJ$3:$AJ$319&lt;=I$3),0),2)),"-",INDEX('NVRAM map'!$AF$3:$AG$319,MATCH(1,('NVRAM map'!$AF$3:$AF$319=$A96)*('NVRAM map'!$AI$3:$AI$319&gt;=I$3)*('NVRAM map'!$AJ$3:$AJ$319&lt;=I$3),0),2))</f>
        <v>RREF_BASE</v>
      </c>
      <c r="J96" s="87" t="str">
        <f t="array" aca="1" ref="J96" ca="1">IF(ISNA(INDEX('NVRAM map'!$AF$3:$AG$319,MATCH(1,('NVRAM map'!$AF$3:$AF$319=$A96)*('NVRAM map'!$AI$3:$AI$319&gt;=J$3)*('NVRAM map'!$AJ$3:$AJ$319&lt;=J$3),0),2)),"-",INDEX('NVRAM map'!$AF$3:$AG$319,MATCH(1,('NVRAM map'!$AF$3:$AF$319=$A96)*('NVRAM map'!$AI$3:$AI$319&gt;=J$3)*('NVRAM map'!$AJ$3:$AJ$319&lt;=J$3),0),2))</f>
        <v>RREF_BASE</v>
      </c>
      <c r="K96" s="87" t="str">
        <f t="array" aca="1" ref="K96" ca="1">IF(ISNA(INDEX('NVRAM map'!$AF$3:$AG$319,MATCH(1,('NVRAM map'!$AF$3:$AF$319=$A96)*('NVRAM map'!$AI$3:$AI$319&gt;=K$3)*('NVRAM map'!$AJ$3:$AJ$319&lt;=K$3),0),2)),"-",INDEX('NVRAM map'!$AF$3:$AG$319,MATCH(1,('NVRAM map'!$AF$3:$AF$319=$A96)*('NVRAM map'!$AI$3:$AI$319&gt;=K$3)*('NVRAM map'!$AJ$3:$AJ$319&lt;=K$3),0),2))</f>
        <v>RREF_BASE</v>
      </c>
      <c r="L96" s="87" t="str">
        <f t="array" aca="1" ref="L96" ca="1">IF(ISNA(INDEX('NVRAM map'!$AF$3:$AG$319,MATCH(1,('NVRAM map'!$AF$3:$AF$319=$A96)*('NVRAM map'!$AI$3:$AI$319&gt;=L$3)*('NVRAM map'!$AJ$3:$AJ$319&lt;=L$3),0),2)),"-",INDEX('NVRAM map'!$AF$3:$AG$319,MATCH(1,('NVRAM map'!$AF$3:$AF$319=$A96)*('NVRAM map'!$AI$3:$AI$319&gt;=L$3)*('NVRAM map'!$AJ$3:$AJ$319&lt;=L$3),0),2))</f>
        <v>RREF_BASE</v>
      </c>
      <c r="M96" s="87" t="str">
        <f t="array" aca="1" ref="M96" ca="1">IF(ISNA(INDEX('NVRAM map'!$AF$3:$AG$319,MATCH(1,('NVRAM map'!$AF$3:$AF$319=$A96)*('NVRAM map'!$AI$3:$AI$319&gt;=M$3)*('NVRAM map'!$AJ$3:$AJ$319&lt;=M$3),0),2)),"-",INDEX('NVRAM map'!$AF$3:$AG$319,MATCH(1,('NVRAM map'!$AF$3:$AF$319=$A96)*('NVRAM map'!$AI$3:$AI$319&gt;=M$3)*('NVRAM map'!$AJ$3:$AJ$319&lt;=M$3),0),2))</f>
        <v>RREF_BASE</v>
      </c>
      <c r="N96" s="87" t="str">
        <f t="array" aca="1" ref="N96" ca="1">IF(ISNA(INDEX('NVRAM map'!$AF$3:$AG$319,MATCH(1,('NVRAM map'!$AF$3:$AF$319=$A96)*('NVRAM map'!$AI$3:$AI$319&gt;=N$3)*('NVRAM map'!$AJ$3:$AJ$319&lt;=N$3),0),2)),"-",INDEX('NVRAM map'!$AF$3:$AG$319,MATCH(1,('NVRAM map'!$AF$3:$AF$319=$A96)*('NVRAM map'!$AI$3:$AI$319&gt;=N$3)*('NVRAM map'!$AJ$3:$AJ$319&lt;=N$3),0),2))</f>
        <v>RREF_BASE</v>
      </c>
      <c r="O96" s="87" t="str">
        <f t="array" aca="1" ref="O96" ca="1">IF(ISNA(INDEX('NVRAM map'!$AF$3:$AG$319,MATCH(1,('NVRAM map'!$AF$3:$AF$319=$A96)*('NVRAM map'!$AI$3:$AI$319&gt;=O$3)*('NVRAM map'!$AJ$3:$AJ$319&lt;=O$3),0),2)),"-",INDEX('NVRAM map'!$AF$3:$AG$319,MATCH(1,('NVRAM map'!$AF$3:$AF$319=$A96)*('NVRAM map'!$AI$3:$AI$319&gt;=O$3)*('NVRAM map'!$AJ$3:$AJ$319&lt;=O$3),0),2))</f>
        <v>RREF_BASE</v>
      </c>
      <c r="P96" s="87" t="str">
        <f t="array" aca="1" ref="P96" ca="1">IF(ISNA(INDEX('NVRAM map'!$AF$3:$AG$319,MATCH(1,('NVRAM map'!$AF$3:$AF$319=$A96)*('NVRAM map'!$AI$3:$AI$319&gt;=P$3)*('NVRAM map'!$AJ$3:$AJ$319&lt;=P$3),0),2)),"-",INDEX('NVRAM map'!$AF$3:$AG$319,MATCH(1,('NVRAM map'!$AF$3:$AF$319=$A96)*('NVRAM map'!$AI$3:$AI$319&gt;=P$3)*('NVRAM map'!$AJ$3:$AJ$319&lt;=P$3),0),2))</f>
        <v>RREF_BASE</v>
      </c>
      <c r="Q96" s="87" t="str">
        <f t="array" aca="1" ref="Q96" ca="1">IF(ISNA(INDEX('NVRAM map'!$AF$3:$AG$319,MATCH(1,('NVRAM map'!$AF$3:$AF$319=$A96)*('NVRAM map'!$AI$3:$AI$319&gt;=Q$3)*('NVRAM map'!$AJ$3:$AJ$319&lt;=Q$3),0),2)),"-",INDEX('NVRAM map'!$AF$3:$AG$319,MATCH(1,('NVRAM map'!$AF$3:$AF$319=$A96)*('NVRAM map'!$AI$3:$AI$319&gt;=Q$3)*('NVRAM map'!$AJ$3:$AJ$319&lt;=Q$3),0),2))</f>
        <v>RREF_THRD</v>
      </c>
      <c r="R96" s="87" t="str">
        <f t="array" aca="1" ref="R96" ca="1">IF(ISNA(INDEX('NVRAM map'!$AF$3:$AG$319,MATCH(1,('NVRAM map'!$AF$3:$AF$319=$A96)*('NVRAM map'!$AI$3:$AI$319&gt;=R$3)*('NVRAM map'!$AJ$3:$AJ$319&lt;=R$3),0),2)),"-",INDEX('NVRAM map'!$AF$3:$AG$319,MATCH(1,('NVRAM map'!$AF$3:$AF$319=$A96)*('NVRAM map'!$AI$3:$AI$319&gt;=R$3)*('NVRAM map'!$AJ$3:$AJ$319&lt;=R$3),0),2))</f>
        <v>RREF_THRD</v>
      </c>
      <c r="S96" s="87" t="str">
        <f t="array" aca="1" ref="S96" ca="1">IF(ISNA(INDEX('NVRAM map'!$AF$3:$AG$319,MATCH(1,('NVRAM map'!$AF$3:$AF$319=$A96)*('NVRAM map'!$AI$3:$AI$319&gt;=S$3)*('NVRAM map'!$AJ$3:$AJ$319&lt;=S$3),0),2)),"-",INDEX('NVRAM map'!$AF$3:$AG$319,MATCH(1,('NVRAM map'!$AF$3:$AF$319=$A96)*('NVRAM map'!$AI$3:$AI$319&gt;=S$3)*('NVRAM map'!$AJ$3:$AJ$319&lt;=S$3),0),2))</f>
        <v>RREF_THRD</v>
      </c>
      <c r="T96" s="87" t="str">
        <f t="array" aca="1" ref="T96" ca="1">IF(ISNA(INDEX('NVRAM map'!$AF$3:$AG$319,MATCH(1,('NVRAM map'!$AF$3:$AF$319=$A96)*('NVRAM map'!$AI$3:$AI$319&gt;=T$3)*('NVRAM map'!$AJ$3:$AJ$319&lt;=T$3),0),2)),"-",INDEX('NVRAM map'!$AF$3:$AG$319,MATCH(1,('NVRAM map'!$AF$3:$AF$319=$A96)*('NVRAM map'!$AI$3:$AI$319&gt;=T$3)*('NVRAM map'!$AJ$3:$AJ$319&lt;=T$3),0),2))</f>
        <v>RREF_THRD</v>
      </c>
      <c r="U96" s="87" t="str">
        <f t="array" aca="1" ref="U96" ca="1">IF(ISNA(INDEX('NVRAM map'!$AF$3:$AG$319,MATCH(1,('NVRAM map'!$AF$3:$AF$319=$A96)*('NVRAM map'!$AI$3:$AI$319&gt;=U$3)*('NVRAM map'!$AJ$3:$AJ$319&lt;=U$3),0),2)),"-",INDEX('NVRAM map'!$AF$3:$AG$319,MATCH(1,('NVRAM map'!$AF$3:$AF$319=$A96)*('NVRAM map'!$AI$3:$AI$319&gt;=U$3)*('NVRAM map'!$AJ$3:$AJ$319&lt;=U$3),0),2))</f>
        <v>RREF_THRD</v>
      </c>
      <c r="V96" s="87" t="str">
        <f t="array" aca="1" ref="V96" ca="1">IF(ISNA(INDEX('NVRAM map'!$AF$3:$AG$319,MATCH(1,('NVRAM map'!$AF$3:$AF$319=$A96)*('NVRAM map'!$AI$3:$AI$319&gt;=V$3)*('NVRAM map'!$AJ$3:$AJ$319&lt;=V$3),0),2)),"-",INDEX('NVRAM map'!$AF$3:$AG$319,MATCH(1,('NVRAM map'!$AF$3:$AF$319=$A96)*('NVRAM map'!$AI$3:$AI$319&gt;=V$3)*('NVRAM map'!$AJ$3:$AJ$319&lt;=V$3),0),2))</f>
        <v>RREF_THRD</v>
      </c>
      <c r="W96" s="87" t="str">
        <f t="array" aca="1" ref="W96" ca="1">IF(ISNA(INDEX('NVRAM map'!$AF$3:$AG$319,MATCH(1,('NVRAM map'!$AF$3:$AF$319=$A96)*('NVRAM map'!$AI$3:$AI$319&gt;=W$3)*('NVRAM map'!$AJ$3:$AJ$319&lt;=W$3),0),2)),"-",INDEX('NVRAM map'!$AF$3:$AG$319,MATCH(1,('NVRAM map'!$AF$3:$AF$319=$A96)*('NVRAM map'!$AI$3:$AI$319&gt;=W$3)*('NVRAM map'!$AJ$3:$AJ$319&lt;=W$3),0),2))</f>
        <v>RREF_THRD</v>
      </c>
      <c r="X96" s="88" t="str">
        <f ca="1">INDEX('NVRAM map'!$B$3:$B$319,MATCH(A96,'NVRAM map'!$E$3:$E$319,0))</f>
        <v>MLX</v>
      </c>
      <c r="AB96" s="44">
        <f t="shared" ca="1" si="17"/>
        <v>86</v>
      </c>
      <c r="AC96" s="12" t="b">
        <f ca="1">COUNTIF('NVRAM map'!$AD$3:$AE$319,A96)&lt;2</f>
        <v>1</v>
      </c>
      <c r="AD96" s="12">
        <f ca="1">SUMIF('NVRAM map'!$AF$3:$AF$319,A96,'NVRAM map'!$AK$3:$AK$319)</f>
        <v>65535</v>
      </c>
      <c r="AE96" s="12" t="str">
        <f t="shared" ca="1" si="18"/>
        <v>FFFF</v>
      </c>
      <c r="AF96" s="12" t="str">
        <f t="shared" ca="1" si="19"/>
        <v>11111111</v>
      </c>
      <c r="AG96" s="12" t="str">
        <f t="shared" ca="1" si="20"/>
        <v>11111111</v>
      </c>
      <c r="AH96" s="12">
        <f t="shared" ca="1" si="21"/>
        <v>16</v>
      </c>
      <c r="AI96" s="12">
        <f ca="1">SUMIF('NVRAM map'!$AF$3:$AF$319,A96,'NVRAM map'!$AH$3:$AH$319)</f>
        <v>16</v>
      </c>
      <c r="AJ96" s="12" t="b">
        <f t="shared" ca="1" si="22"/>
        <v>1</v>
      </c>
      <c r="AK96" s="12">
        <f ca="1">COUNTIF('NVRAM map'!$AF$3:$AF$319,A96)</f>
        <v>2</v>
      </c>
      <c r="AM96" s="89">
        <v>0</v>
      </c>
      <c r="AN96" s="80">
        <f t="shared" ca="1" si="28"/>
        <v>0</v>
      </c>
      <c r="AO96" s="80">
        <f t="shared" ca="1" si="28"/>
        <v>0</v>
      </c>
      <c r="AP96" s="80">
        <f t="shared" ca="1" si="28"/>
        <v>0</v>
      </c>
      <c r="AQ96" s="80">
        <f t="shared" ca="1" si="28"/>
        <v>0</v>
      </c>
      <c r="AR96" s="80">
        <f t="shared" ca="1" si="28"/>
        <v>0</v>
      </c>
      <c r="AS96" s="80">
        <f t="shared" ca="1" si="28"/>
        <v>0</v>
      </c>
      <c r="AT96" s="80">
        <f t="shared" ca="1" si="28"/>
        <v>0</v>
      </c>
      <c r="AU96" s="80">
        <f t="shared" ca="1" si="28"/>
        <v>0</v>
      </c>
      <c r="AV96" s="80">
        <f t="shared" ca="1" si="28"/>
        <v>1</v>
      </c>
      <c r="AW96" s="80">
        <f t="shared" ca="1" si="28"/>
        <v>1</v>
      </c>
      <c r="AX96" s="80">
        <f t="shared" ca="1" si="28"/>
        <v>1</v>
      </c>
      <c r="AY96" s="80">
        <f t="shared" ca="1" si="28"/>
        <v>1</v>
      </c>
      <c r="AZ96" s="80">
        <f t="shared" ca="1" si="28"/>
        <v>1</v>
      </c>
      <c r="BA96" s="80">
        <f t="shared" ca="1" si="28"/>
        <v>1</v>
      </c>
      <c r="BB96" s="81">
        <f t="shared" ca="1" si="28"/>
        <v>1</v>
      </c>
      <c r="BD96" s="12" t="str">
        <f t="shared" si="23"/>
        <v>0x10B8</v>
      </c>
      <c r="BE96" s="12" t="str">
        <f t="shared" ca="1" si="24"/>
        <v>0001110000111010</v>
      </c>
      <c r="BG96" s="53" t="str">
        <f t="shared" ca="1" si="25"/>
        <v>`define EE_ANA_DIAG1 46</v>
      </c>
    </row>
    <row r="97" spans="1:59" ht="25.5">
      <c r="A97" s="82" t="s">
        <v>363</v>
      </c>
      <c r="B97" s="82">
        <v>186</v>
      </c>
      <c r="C97" s="82">
        <v>46</v>
      </c>
      <c r="D97" s="83">
        <f ca="1">SUMIF('NVRAM map'!$AF$3:$AF$319,A97,'NVRAM map'!$AN$3:$AN$319)</f>
        <v>36</v>
      </c>
      <c r="E97" s="84" t="str">
        <f t="shared" ca="1" si="16"/>
        <v>0024</v>
      </c>
      <c r="F97" s="85" t="str">
        <f t="shared" ca="1" si="26"/>
        <v>0024</v>
      </c>
      <c r="G97" s="86" t="str">
        <f ca="1">VLOOKUP(MemoryView!A97,'NVRAM map'!$AD$3:$AE$319,2,0)</f>
        <v>EE_VZERO_THRD</v>
      </c>
      <c r="H97" s="87" t="str">
        <f t="array" aca="1" ref="H97" ca="1">IF(ISNA(INDEX('NVRAM map'!$AF$3:$AG$319,MATCH(1,('NVRAM map'!$AF$3:$AF$319=$A97)*('NVRAM map'!$AI$3:$AI$319&gt;=H$3)*('NVRAM map'!$AJ$3:$AJ$319&lt;=H$3),0),2)),"-",INDEX('NVRAM map'!$AF$3:$AG$319,MATCH(1,('NVRAM map'!$AF$3:$AF$319=$A97)*('NVRAM map'!$AI$3:$AI$319&gt;=H$3)*('NVRAM map'!$AJ$3:$AJ$319&lt;=H$3),0),2))</f>
        <v>VIRT_REF_TMEMS_DIAG_THRD</v>
      </c>
      <c r="I97" s="87" t="str">
        <f t="array" aca="1" ref="I97" ca="1">IF(ISNA(INDEX('NVRAM map'!$AF$3:$AG$319,MATCH(1,('NVRAM map'!$AF$3:$AF$319=$A97)*('NVRAM map'!$AI$3:$AI$319&gt;=I$3)*('NVRAM map'!$AJ$3:$AJ$319&lt;=I$3),0),2)),"-",INDEX('NVRAM map'!$AF$3:$AG$319,MATCH(1,('NVRAM map'!$AF$3:$AF$319=$A97)*('NVRAM map'!$AI$3:$AI$319&gt;=I$3)*('NVRAM map'!$AJ$3:$AJ$319&lt;=I$3),0),2))</f>
        <v>VIRT_REF_TMEMS_DIAG_THRD</v>
      </c>
      <c r="J97" s="87" t="str">
        <f t="array" aca="1" ref="J97" ca="1">IF(ISNA(INDEX('NVRAM map'!$AF$3:$AG$319,MATCH(1,('NVRAM map'!$AF$3:$AF$319=$A97)*('NVRAM map'!$AI$3:$AI$319&gt;=J$3)*('NVRAM map'!$AJ$3:$AJ$319&lt;=J$3),0),2)),"-",INDEX('NVRAM map'!$AF$3:$AG$319,MATCH(1,('NVRAM map'!$AF$3:$AF$319=$A97)*('NVRAM map'!$AI$3:$AI$319&gt;=J$3)*('NVRAM map'!$AJ$3:$AJ$319&lt;=J$3),0),2))</f>
        <v>VIRT_REF_TMEMS_DIAG_THRD</v>
      </c>
      <c r="K97" s="87" t="str">
        <f t="array" aca="1" ref="K97" ca="1">IF(ISNA(INDEX('NVRAM map'!$AF$3:$AG$319,MATCH(1,('NVRAM map'!$AF$3:$AF$319=$A97)*('NVRAM map'!$AI$3:$AI$319&gt;=K$3)*('NVRAM map'!$AJ$3:$AJ$319&lt;=K$3),0),2)),"-",INDEX('NVRAM map'!$AF$3:$AG$319,MATCH(1,('NVRAM map'!$AF$3:$AF$319=$A97)*('NVRAM map'!$AI$3:$AI$319&gt;=K$3)*('NVRAM map'!$AJ$3:$AJ$319&lt;=K$3),0),2))</f>
        <v>VIRT_REF_TMEMS_DIAG_THRD</v>
      </c>
      <c r="L97" s="87" t="str">
        <f t="array" aca="1" ref="L97" ca="1">IF(ISNA(INDEX('NVRAM map'!$AF$3:$AG$319,MATCH(1,('NVRAM map'!$AF$3:$AF$319=$A97)*('NVRAM map'!$AI$3:$AI$319&gt;=L$3)*('NVRAM map'!$AJ$3:$AJ$319&lt;=L$3),0),2)),"-",INDEX('NVRAM map'!$AF$3:$AG$319,MATCH(1,('NVRAM map'!$AF$3:$AF$319=$A97)*('NVRAM map'!$AI$3:$AI$319&gt;=L$3)*('NVRAM map'!$AJ$3:$AJ$319&lt;=L$3),0),2))</f>
        <v>VIRT_REF_TMEMS_DIAG_THRD</v>
      </c>
      <c r="M97" s="87" t="str">
        <f t="array" aca="1" ref="M97" ca="1">IF(ISNA(INDEX('NVRAM map'!$AF$3:$AG$319,MATCH(1,('NVRAM map'!$AF$3:$AF$319=$A97)*('NVRAM map'!$AI$3:$AI$319&gt;=M$3)*('NVRAM map'!$AJ$3:$AJ$319&lt;=M$3),0),2)),"-",INDEX('NVRAM map'!$AF$3:$AG$319,MATCH(1,('NVRAM map'!$AF$3:$AF$319=$A97)*('NVRAM map'!$AI$3:$AI$319&gt;=M$3)*('NVRAM map'!$AJ$3:$AJ$319&lt;=M$3),0),2))</f>
        <v>VIRT_REF_TMEMS_DIAG_THRD</v>
      </c>
      <c r="N97" s="87" t="str">
        <f t="array" aca="1" ref="N97" ca="1">IF(ISNA(INDEX('NVRAM map'!$AF$3:$AG$319,MATCH(1,('NVRAM map'!$AF$3:$AF$319=$A97)*('NVRAM map'!$AI$3:$AI$319&gt;=N$3)*('NVRAM map'!$AJ$3:$AJ$319&lt;=N$3),0),2)),"-",INDEX('NVRAM map'!$AF$3:$AG$319,MATCH(1,('NVRAM map'!$AF$3:$AF$319=$A97)*('NVRAM map'!$AI$3:$AI$319&gt;=N$3)*('NVRAM map'!$AJ$3:$AJ$319&lt;=N$3),0),2))</f>
        <v>VIRT_REF_TMEMS_DIAG_THRD</v>
      </c>
      <c r="O97" s="87" t="str">
        <f t="array" aca="1" ref="O97" ca="1">IF(ISNA(INDEX('NVRAM map'!$AF$3:$AG$319,MATCH(1,('NVRAM map'!$AF$3:$AF$319=$A97)*('NVRAM map'!$AI$3:$AI$319&gt;=O$3)*('NVRAM map'!$AJ$3:$AJ$319&lt;=O$3),0),2)),"-",INDEX('NVRAM map'!$AF$3:$AG$319,MATCH(1,('NVRAM map'!$AF$3:$AF$319=$A97)*('NVRAM map'!$AI$3:$AI$319&gt;=O$3)*('NVRAM map'!$AJ$3:$AJ$319&lt;=O$3),0),2))</f>
        <v>VIRT_REF_TMEMS_DIAG_THRD</v>
      </c>
      <c r="P97" s="87" t="str">
        <f t="array" aca="1" ref="P97" ca="1">IF(ISNA(INDEX('NVRAM map'!$AF$3:$AG$319,MATCH(1,('NVRAM map'!$AF$3:$AF$319=$A97)*('NVRAM map'!$AI$3:$AI$319&gt;=P$3)*('NVRAM map'!$AJ$3:$AJ$319&lt;=P$3),0),2)),"-",INDEX('NVRAM map'!$AF$3:$AG$319,MATCH(1,('NVRAM map'!$AF$3:$AF$319=$A97)*('NVRAM map'!$AI$3:$AI$319&gt;=P$3)*('NVRAM map'!$AJ$3:$AJ$319&lt;=P$3),0),2))</f>
        <v>VZERO_THRD</v>
      </c>
      <c r="Q97" s="87" t="str">
        <f t="array" aca="1" ref="Q97" ca="1">IF(ISNA(INDEX('NVRAM map'!$AF$3:$AG$319,MATCH(1,('NVRAM map'!$AF$3:$AF$319=$A97)*('NVRAM map'!$AI$3:$AI$319&gt;=Q$3)*('NVRAM map'!$AJ$3:$AJ$319&lt;=Q$3),0),2)),"-",INDEX('NVRAM map'!$AF$3:$AG$319,MATCH(1,('NVRAM map'!$AF$3:$AF$319=$A97)*('NVRAM map'!$AI$3:$AI$319&gt;=Q$3)*('NVRAM map'!$AJ$3:$AJ$319&lt;=Q$3),0),2))</f>
        <v>VZERO_THRD</v>
      </c>
      <c r="R97" s="87" t="str">
        <f t="array" aca="1" ref="R97" ca="1">IF(ISNA(INDEX('NVRAM map'!$AF$3:$AG$319,MATCH(1,('NVRAM map'!$AF$3:$AF$319=$A97)*('NVRAM map'!$AI$3:$AI$319&gt;=R$3)*('NVRAM map'!$AJ$3:$AJ$319&lt;=R$3),0),2)),"-",INDEX('NVRAM map'!$AF$3:$AG$319,MATCH(1,('NVRAM map'!$AF$3:$AF$319=$A97)*('NVRAM map'!$AI$3:$AI$319&gt;=R$3)*('NVRAM map'!$AJ$3:$AJ$319&lt;=R$3),0),2))</f>
        <v>VZERO_THRD</v>
      </c>
      <c r="S97" s="87" t="str">
        <f t="array" aca="1" ref="S97" ca="1">IF(ISNA(INDEX('NVRAM map'!$AF$3:$AG$319,MATCH(1,('NVRAM map'!$AF$3:$AF$319=$A97)*('NVRAM map'!$AI$3:$AI$319&gt;=S$3)*('NVRAM map'!$AJ$3:$AJ$319&lt;=S$3),0),2)),"-",INDEX('NVRAM map'!$AF$3:$AG$319,MATCH(1,('NVRAM map'!$AF$3:$AF$319=$A97)*('NVRAM map'!$AI$3:$AI$319&gt;=S$3)*('NVRAM map'!$AJ$3:$AJ$319&lt;=S$3),0),2))</f>
        <v>VZERO_THRD</v>
      </c>
      <c r="T97" s="87" t="str">
        <f t="array" aca="1" ref="T97" ca="1">IF(ISNA(INDEX('NVRAM map'!$AF$3:$AG$319,MATCH(1,('NVRAM map'!$AF$3:$AF$319=$A97)*('NVRAM map'!$AI$3:$AI$319&gt;=T$3)*('NVRAM map'!$AJ$3:$AJ$319&lt;=T$3),0),2)),"-",INDEX('NVRAM map'!$AF$3:$AG$319,MATCH(1,('NVRAM map'!$AF$3:$AF$319=$A97)*('NVRAM map'!$AI$3:$AI$319&gt;=T$3)*('NVRAM map'!$AJ$3:$AJ$319&lt;=T$3),0),2))</f>
        <v>VZERO_THRD</v>
      </c>
      <c r="U97" s="87" t="str">
        <f t="array" aca="1" ref="U97" ca="1">IF(ISNA(INDEX('NVRAM map'!$AF$3:$AG$319,MATCH(1,('NVRAM map'!$AF$3:$AF$319=$A97)*('NVRAM map'!$AI$3:$AI$319&gt;=U$3)*('NVRAM map'!$AJ$3:$AJ$319&lt;=U$3),0),2)),"-",INDEX('NVRAM map'!$AF$3:$AG$319,MATCH(1,('NVRAM map'!$AF$3:$AF$319=$A97)*('NVRAM map'!$AI$3:$AI$319&gt;=U$3)*('NVRAM map'!$AJ$3:$AJ$319&lt;=U$3),0),2))</f>
        <v>VZERO_THRD</v>
      </c>
      <c r="V97" s="87" t="str">
        <f t="array" aca="1" ref="V97" ca="1">IF(ISNA(INDEX('NVRAM map'!$AF$3:$AG$319,MATCH(1,('NVRAM map'!$AF$3:$AF$319=$A97)*('NVRAM map'!$AI$3:$AI$319&gt;=V$3)*('NVRAM map'!$AJ$3:$AJ$319&lt;=V$3),0),2)),"-",INDEX('NVRAM map'!$AF$3:$AG$319,MATCH(1,('NVRAM map'!$AF$3:$AF$319=$A97)*('NVRAM map'!$AI$3:$AI$319&gt;=V$3)*('NVRAM map'!$AJ$3:$AJ$319&lt;=V$3),0),2))</f>
        <v>VZERO_THRD</v>
      </c>
      <c r="W97" s="87" t="str">
        <f t="array" aca="1" ref="W97" ca="1">IF(ISNA(INDEX('NVRAM map'!$AF$3:$AG$319,MATCH(1,('NVRAM map'!$AF$3:$AF$319=$A97)*('NVRAM map'!$AI$3:$AI$319&gt;=W$3)*('NVRAM map'!$AJ$3:$AJ$319&lt;=W$3),0),2)),"-",INDEX('NVRAM map'!$AF$3:$AG$319,MATCH(1,('NVRAM map'!$AF$3:$AF$319=$A97)*('NVRAM map'!$AI$3:$AI$319&gt;=W$3)*('NVRAM map'!$AJ$3:$AJ$319&lt;=W$3),0),2))</f>
        <v>VZERO_THRD</v>
      </c>
      <c r="X97" s="88" t="str">
        <f ca="1">INDEX('NVRAM map'!$B$3:$B$319,MATCH(A97,'NVRAM map'!$E$3:$E$319,0))</f>
        <v>MLX</v>
      </c>
      <c r="AB97" s="44">
        <f t="shared" ca="1" si="17"/>
        <v>36</v>
      </c>
      <c r="AC97" s="12" t="b">
        <f ca="1">COUNTIF('NVRAM map'!$AD$3:$AE$319,A97)&lt;2</f>
        <v>1</v>
      </c>
      <c r="AD97" s="12">
        <f ca="1">SUMIF('NVRAM map'!$AF$3:$AF$319,A97,'NVRAM map'!$AK$3:$AK$319)</f>
        <v>65535</v>
      </c>
      <c r="AE97" s="12" t="str">
        <f t="shared" ca="1" si="18"/>
        <v>FFFF</v>
      </c>
      <c r="AF97" s="12" t="str">
        <f t="shared" ca="1" si="19"/>
        <v>11111111</v>
      </c>
      <c r="AG97" s="12" t="str">
        <f t="shared" ca="1" si="20"/>
        <v>11111111</v>
      </c>
      <c r="AH97" s="12">
        <f t="shared" ca="1" si="21"/>
        <v>16</v>
      </c>
      <c r="AI97" s="12">
        <f ca="1">SUMIF('NVRAM map'!$AF$3:$AF$319,A97,'NVRAM map'!$AH$3:$AH$319)</f>
        <v>16</v>
      </c>
      <c r="AJ97" s="12" t="b">
        <f t="shared" ca="1" si="22"/>
        <v>1</v>
      </c>
      <c r="AK97" s="12">
        <f ca="1">COUNTIF('NVRAM map'!$AF$3:$AF$319,A97)</f>
        <v>2</v>
      </c>
      <c r="AM97" s="89">
        <v>0</v>
      </c>
      <c r="AN97" s="80">
        <f t="shared" ca="1" si="28"/>
        <v>0</v>
      </c>
      <c r="AO97" s="80">
        <f t="shared" ca="1" si="28"/>
        <v>0</v>
      </c>
      <c r="AP97" s="80">
        <f t="shared" ca="1" si="28"/>
        <v>0</v>
      </c>
      <c r="AQ97" s="80">
        <f t="shared" ca="1" si="28"/>
        <v>0</v>
      </c>
      <c r="AR97" s="80">
        <f t="shared" ca="1" si="28"/>
        <v>0</v>
      </c>
      <c r="AS97" s="80">
        <f t="shared" ca="1" si="28"/>
        <v>0</v>
      </c>
      <c r="AT97" s="80">
        <f t="shared" ca="1" si="28"/>
        <v>0</v>
      </c>
      <c r="AU97" s="80">
        <f t="shared" ca="1" si="28"/>
        <v>1</v>
      </c>
      <c r="AV97" s="80">
        <f t="shared" ca="1" si="28"/>
        <v>1</v>
      </c>
      <c r="AW97" s="80">
        <f t="shared" ca="1" si="28"/>
        <v>1</v>
      </c>
      <c r="AX97" s="80">
        <f t="shared" ca="1" si="28"/>
        <v>1</v>
      </c>
      <c r="AY97" s="80">
        <f t="shared" ca="1" si="28"/>
        <v>1</v>
      </c>
      <c r="AZ97" s="80">
        <f t="shared" ca="1" si="28"/>
        <v>1</v>
      </c>
      <c r="BA97" s="80">
        <f t="shared" ca="1" si="28"/>
        <v>1</v>
      </c>
      <c r="BB97" s="81">
        <f t="shared" ca="1" si="28"/>
        <v>1</v>
      </c>
      <c r="BD97" s="12" t="str">
        <f t="shared" si="23"/>
        <v>0x10BA</v>
      </c>
      <c r="BE97" s="12" t="str">
        <f t="shared" ca="1" si="24"/>
        <v>0000000000100100</v>
      </c>
      <c r="BG97" s="53" t="str">
        <f t="shared" ca="1" si="25"/>
        <v>`define EE_VZERO_THRD 46</v>
      </c>
    </row>
    <row r="98" spans="1:59" ht="25.5">
      <c r="A98" s="82" t="s">
        <v>364</v>
      </c>
      <c r="B98" s="82">
        <v>188</v>
      </c>
      <c r="C98" s="82">
        <v>47</v>
      </c>
      <c r="D98" s="130">
        <f ca="1">SUMIF('NVRAM map'!$AF$3:$AF$319,A98,'NVRAM map'!$AN$3:$AN$319)</f>
        <v>6048</v>
      </c>
      <c r="E98" s="84" t="str">
        <f t="shared" ref="E98" ca="1" si="29">DEC2HEX(D98,4)</f>
        <v>17A0</v>
      </c>
      <c r="F98" s="85" t="str">
        <f t="shared" ref="F98" ca="1" si="30">E98</f>
        <v>17A0</v>
      </c>
      <c r="G98" s="86" t="str">
        <f ca="1">VLOOKUP(MemoryView!A98,'NVRAM map'!$AD$3:$AE$319,2,0)</f>
        <v>EE_VIRT_REF_TDIE</v>
      </c>
      <c r="H98" s="87" t="str">
        <f t="array" aca="1" ref="H98" ca="1">IF(ISNA(INDEX('NVRAM map'!$AF$3:$AG$319,MATCH(1,('NVRAM map'!$AF$3:$AF$319=$A98)*('NVRAM map'!$AI$3:$AI$319&gt;=H$3)*('NVRAM map'!$AJ$3:$AJ$319&lt;=H$3),0),2)),"-",INDEX('NVRAM map'!$AF$3:$AG$319,MATCH(1,('NVRAM map'!$AF$3:$AF$319=$A98)*('NVRAM map'!$AI$3:$AI$319&gt;=H$3)*('NVRAM map'!$AJ$3:$AJ$319&lt;=H$3),0),2))</f>
        <v>VIRT_REF_TDIE_DIAG_BASE</v>
      </c>
      <c r="I98" s="87" t="str">
        <f t="array" aca="1" ref="I98" ca="1">IF(ISNA(INDEX('NVRAM map'!$AF$3:$AG$319,MATCH(1,('NVRAM map'!$AF$3:$AF$319=$A98)*('NVRAM map'!$AI$3:$AI$319&gt;=I$3)*('NVRAM map'!$AJ$3:$AJ$319&lt;=I$3),0),2)),"-",INDEX('NVRAM map'!$AF$3:$AG$319,MATCH(1,('NVRAM map'!$AF$3:$AF$319=$A98)*('NVRAM map'!$AI$3:$AI$319&gt;=I$3)*('NVRAM map'!$AJ$3:$AJ$319&lt;=I$3),0),2))</f>
        <v>VIRT_REF_TDIE_DIAG_BASE</v>
      </c>
      <c r="J98" s="87" t="str">
        <f t="array" aca="1" ref="J98" ca="1">IF(ISNA(INDEX('NVRAM map'!$AF$3:$AG$319,MATCH(1,('NVRAM map'!$AF$3:$AF$319=$A98)*('NVRAM map'!$AI$3:$AI$319&gt;=J$3)*('NVRAM map'!$AJ$3:$AJ$319&lt;=J$3),0),2)),"-",INDEX('NVRAM map'!$AF$3:$AG$319,MATCH(1,('NVRAM map'!$AF$3:$AF$319=$A98)*('NVRAM map'!$AI$3:$AI$319&gt;=J$3)*('NVRAM map'!$AJ$3:$AJ$319&lt;=J$3),0),2))</f>
        <v>VIRT_REF_TDIE_DIAG_BASE</v>
      </c>
      <c r="K98" s="87" t="str">
        <f t="array" aca="1" ref="K98" ca="1">IF(ISNA(INDEX('NVRAM map'!$AF$3:$AG$319,MATCH(1,('NVRAM map'!$AF$3:$AF$319=$A98)*('NVRAM map'!$AI$3:$AI$319&gt;=K$3)*('NVRAM map'!$AJ$3:$AJ$319&lt;=K$3),0),2)),"-",INDEX('NVRAM map'!$AF$3:$AG$319,MATCH(1,('NVRAM map'!$AF$3:$AF$319=$A98)*('NVRAM map'!$AI$3:$AI$319&gt;=K$3)*('NVRAM map'!$AJ$3:$AJ$319&lt;=K$3),0),2))</f>
        <v>VIRT_REF_TDIE_DIAG_BASE</v>
      </c>
      <c r="L98" s="87" t="str">
        <f t="array" aca="1" ref="L98" ca="1">IF(ISNA(INDEX('NVRAM map'!$AF$3:$AG$319,MATCH(1,('NVRAM map'!$AF$3:$AF$319=$A98)*('NVRAM map'!$AI$3:$AI$319&gt;=L$3)*('NVRAM map'!$AJ$3:$AJ$319&lt;=L$3),0),2)),"-",INDEX('NVRAM map'!$AF$3:$AG$319,MATCH(1,('NVRAM map'!$AF$3:$AF$319=$A98)*('NVRAM map'!$AI$3:$AI$319&gt;=L$3)*('NVRAM map'!$AJ$3:$AJ$319&lt;=L$3),0),2))</f>
        <v>VIRT_REF_TDIE_DIAG_BASE</v>
      </c>
      <c r="M98" s="87" t="str">
        <f t="array" aca="1" ref="M98" ca="1">IF(ISNA(INDEX('NVRAM map'!$AF$3:$AG$319,MATCH(1,('NVRAM map'!$AF$3:$AF$319=$A98)*('NVRAM map'!$AI$3:$AI$319&gt;=M$3)*('NVRAM map'!$AJ$3:$AJ$319&lt;=M$3),0),2)),"-",INDEX('NVRAM map'!$AF$3:$AG$319,MATCH(1,('NVRAM map'!$AF$3:$AF$319=$A98)*('NVRAM map'!$AI$3:$AI$319&gt;=M$3)*('NVRAM map'!$AJ$3:$AJ$319&lt;=M$3),0),2))</f>
        <v>VIRT_REF_TDIE_DIAG_BASE</v>
      </c>
      <c r="N98" s="87" t="str">
        <f t="array" aca="1" ref="N98" ca="1">IF(ISNA(INDEX('NVRAM map'!$AF$3:$AG$319,MATCH(1,('NVRAM map'!$AF$3:$AF$319=$A98)*('NVRAM map'!$AI$3:$AI$319&gt;=N$3)*('NVRAM map'!$AJ$3:$AJ$319&lt;=N$3),0),2)),"-",INDEX('NVRAM map'!$AF$3:$AG$319,MATCH(1,('NVRAM map'!$AF$3:$AF$319=$A98)*('NVRAM map'!$AI$3:$AI$319&gt;=N$3)*('NVRAM map'!$AJ$3:$AJ$319&lt;=N$3),0),2))</f>
        <v>VIRT_REF_TDIE_DIAG_BASE</v>
      </c>
      <c r="O98" s="87" t="str">
        <f t="array" aca="1" ref="O98" ca="1">IF(ISNA(INDEX('NVRAM map'!$AF$3:$AG$319,MATCH(1,('NVRAM map'!$AF$3:$AF$319=$A98)*('NVRAM map'!$AI$3:$AI$319&gt;=O$3)*('NVRAM map'!$AJ$3:$AJ$319&lt;=O$3),0),2)),"-",INDEX('NVRAM map'!$AF$3:$AG$319,MATCH(1,('NVRAM map'!$AF$3:$AF$319=$A98)*('NVRAM map'!$AI$3:$AI$319&gt;=O$3)*('NVRAM map'!$AJ$3:$AJ$319&lt;=O$3),0),2))</f>
        <v>VIRT_REF_TDIE_DIAG_BASE</v>
      </c>
      <c r="P98" s="87" t="str">
        <f t="array" aca="1" ref="P98" ca="1">IF(ISNA(INDEX('NVRAM map'!$AF$3:$AG$319,MATCH(1,('NVRAM map'!$AF$3:$AF$319=$A98)*('NVRAM map'!$AI$3:$AI$319&gt;=P$3)*('NVRAM map'!$AJ$3:$AJ$319&lt;=P$3),0),2)),"-",INDEX('NVRAM map'!$AF$3:$AG$319,MATCH(1,('NVRAM map'!$AF$3:$AF$319=$A98)*('NVRAM map'!$AI$3:$AI$319&gt;=P$3)*('NVRAM map'!$AJ$3:$AJ$319&lt;=P$3),0),2))</f>
        <v>VIRT_REF_TDIE_DIAG_BASE</v>
      </c>
      <c r="Q98" s="87" t="str">
        <f t="array" aca="1" ref="Q98" ca="1">IF(ISNA(INDEX('NVRAM map'!$AF$3:$AG$319,MATCH(1,('NVRAM map'!$AF$3:$AF$319=$A98)*('NVRAM map'!$AI$3:$AI$319&gt;=Q$3)*('NVRAM map'!$AJ$3:$AJ$319&lt;=Q$3),0),2)),"-",INDEX('NVRAM map'!$AF$3:$AG$319,MATCH(1,('NVRAM map'!$AF$3:$AF$319=$A98)*('NVRAM map'!$AI$3:$AI$319&gt;=Q$3)*('NVRAM map'!$AJ$3:$AJ$319&lt;=Q$3),0),2))</f>
        <v>VIRT_REF_TDIE_DIAG_THRD</v>
      </c>
      <c r="R98" s="87" t="str">
        <f t="array" aca="1" ref="R98" ca="1">IF(ISNA(INDEX('NVRAM map'!$AF$3:$AG$319,MATCH(1,('NVRAM map'!$AF$3:$AF$319=$A98)*('NVRAM map'!$AI$3:$AI$319&gt;=R$3)*('NVRAM map'!$AJ$3:$AJ$319&lt;=R$3),0),2)),"-",INDEX('NVRAM map'!$AF$3:$AG$319,MATCH(1,('NVRAM map'!$AF$3:$AF$319=$A98)*('NVRAM map'!$AI$3:$AI$319&gt;=R$3)*('NVRAM map'!$AJ$3:$AJ$319&lt;=R$3),0),2))</f>
        <v>VIRT_REF_TDIE_DIAG_THRD</v>
      </c>
      <c r="S98" s="87" t="str">
        <f t="array" aca="1" ref="S98" ca="1">IF(ISNA(INDEX('NVRAM map'!$AF$3:$AG$319,MATCH(1,('NVRAM map'!$AF$3:$AF$319=$A98)*('NVRAM map'!$AI$3:$AI$319&gt;=S$3)*('NVRAM map'!$AJ$3:$AJ$319&lt;=S$3),0),2)),"-",INDEX('NVRAM map'!$AF$3:$AG$319,MATCH(1,('NVRAM map'!$AF$3:$AF$319=$A98)*('NVRAM map'!$AI$3:$AI$319&gt;=S$3)*('NVRAM map'!$AJ$3:$AJ$319&lt;=S$3),0),2))</f>
        <v>VIRT_REF_TDIE_DIAG_THRD</v>
      </c>
      <c r="T98" s="87" t="str">
        <f t="array" aca="1" ref="T98" ca="1">IF(ISNA(INDEX('NVRAM map'!$AF$3:$AG$319,MATCH(1,('NVRAM map'!$AF$3:$AF$319=$A98)*('NVRAM map'!$AI$3:$AI$319&gt;=T$3)*('NVRAM map'!$AJ$3:$AJ$319&lt;=T$3),0),2)),"-",INDEX('NVRAM map'!$AF$3:$AG$319,MATCH(1,('NVRAM map'!$AF$3:$AF$319=$A98)*('NVRAM map'!$AI$3:$AI$319&gt;=T$3)*('NVRAM map'!$AJ$3:$AJ$319&lt;=T$3),0),2))</f>
        <v>VIRT_REF_TDIE_DIAG_THRD</v>
      </c>
      <c r="U98" s="87" t="str">
        <f t="array" aca="1" ref="U98" ca="1">IF(ISNA(INDEX('NVRAM map'!$AF$3:$AG$319,MATCH(1,('NVRAM map'!$AF$3:$AF$319=$A98)*('NVRAM map'!$AI$3:$AI$319&gt;=U$3)*('NVRAM map'!$AJ$3:$AJ$319&lt;=U$3),0),2)),"-",INDEX('NVRAM map'!$AF$3:$AG$319,MATCH(1,('NVRAM map'!$AF$3:$AF$319=$A98)*('NVRAM map'!$AI$3:$AI$319&gt;=U$3)*('NVRAM map'!$AJ$3:$AJ$319&lt;=U$3),0),2))</f>
        <v>VIRT_REF_TDIE_DIAG_THRD</v>
      </c>
      <c r="V98" s="87" t="str">
        <f t="array" aca="1" ref="V98" ca="1">IF(ISNA(INDEX('NVRAM map'!$AF$3:$AG$319,MATCH(1,('NVRAM map'!$AF$3:$AF$319=$A98)*('NVRAM map'!$AI$3:$AI$319&gt;=V$3)*('NVRAM map'!$AJ$3:$AJ$319&lt;=V$3),0),2)),"-",INDEX('NVRAM map'!$AF$3:$AG$319,MATCH(1,('NVRAM map'!$AF$3:$AF$319=$A98)*('NVRAM map'!$AI$3:$AI$319&gt;=V$3)*('NVRAM map'!$AJ$3:$AJ$319&lt;=V$3),0),2))</f>
        <v>VIRT_REF_TDIE_DIAG_THRD</v>
      </c>
      <c r="W98" s="87" t="str">
        <f t="array" aca="1" ref="W98" ca="1">IF(ISNA(INDEX('NVRAM map'!$AF$3:$AG$319,MATCH(1,('NVRAM map'!$AF$3:$AF$319=$A98)*('NVRAM map'!$AI$3:$AI$319&gt;=W$3)*('NVRAM map'!$AJ$3:$AJ$319&lt;=W$3),0),2)),"-",INDEX('NVRAM map'!$AF$3:$AG$319,MATCH(1,('NVRAM map'!$AF$3:$AF$319=$A98)*('NVRAM map'!$AI$3:$AI$319&gt;=W$3)*('NVRAM map'!$AJ$3:$AJ$319&lt;=W$3),0),2))</f>
        <v>VIRT_REF_TDIE_DIAG_THRD</v>
      </c>
      <c r="X98" s="88" t="str">
        <f ca="1">INDEX('NVRAM map'!$B$3:$B$319,MATCH(A98,'NVRAM map'!$E$3:$E$319,0))</f>
        <v>MLX</v>
      </c>
      <c r="AB98" s="44">
        <f t="shared" ca="1" si="17"/>
        <v>183</v>
      </c>
      <c r="AC98" s="12" t="b">
        <f ca="1">COUNTIF('NVRAM map'!$AD$3:$AE$319,A98)&lt;2</f>
        <v>1</v>
      </c>
      <c r="AD98" s="12">
        <f ca="1">SUMIF('NVRAM map'!$AF$3:$AF$319,A98,'NVRAM map'!$AK$3:$AK$319)</f>
        <v>65535</v>
      </c>
      <c r="AE98" s="12" t="str">
        <f t="shared" ca="1" si="18"/>
        <v>FFFF</v>
      </c>
      <c r="AF98" s="12" t="str">
        <f t="shared" ca="1" si="19"/>
        <v>11111111</v>
      </c>
      <c r="AG98" s="12" t="str">
        <f t="shared" ca="1" si="20"/>
        <v>11111111</v>
      </c>
      <c r="AH98" s="12">
        <f t="shared" ca="1" si="21"/>
        <v>16</v>
      </c>
      <c r="AI98" s="12">
        <f ca="1">SUMIF('NVRAM map'!$AF$3:$AF$319,A98,'NVRAM map'!$AH$3:$AH$319)</f>
        <v>16</v>
      </c>
      <c r="AJ98" s="12" t="b">
        <f t="shared" ca="1" si="22"/>
        <v>1</v>
      </c>
      <c r="AK98" s="12">
        <f ca="1">COUNTIF('NVRAM map'!$AF$3:$AF$319,A98)</f>
        <v>2</v>
      </c>
      <c r="AM98" s="89">
        <v>0</v>
      </c>
      <c r="AN98" s="80">
        <f t="shared" ca="1" si="28"/>
        <v>0</v>
      </c>
      <c r="AO98" s="80">
        <f t="shared" ca="1" si="28"/>
        <v>0</v>
      </c>
      <c r="AP98" s="80">
        <f t="shared" ca="1" si="28"/>
        <v>0</v>
      </c>
      <c r="AQ98" s="80">
        <f t="shared" ca="1" si="28"/>
        <v>0</v>
      </c>
      <c r="AR98" s="80">
        <f t="shared" ca="1" si="28"/>
        <v>0</v>
      </c>
      <c r="AS98" s="80">
        <f t="shared" ca="1" si="28"/>
        <v>0</v>
      </c>
      <c r="AT98" s="80">
        <f t="shared" ca="1" si="28"/>
        <v>0</v>
      </c>
      <c r="AU98" s="80">
        <f t="shared" ca="1" si="28"/>
        <v>0</v>
      </c>
      <c r="AV98" s="80">
        <f t="shared" ca="1" si="28"/>
        <v>1</v>
      </c>
      <c r="AW98" s="80">
        <f t="shared" ca="1" si="28"/>
        <v>1</v>
      </c>
      <c r="AX98" s="80">
        <f t="shared" ca="1" si="28"/>
        <v>1</v>
      </c>
      <c r="AY98" s="80">
        <f t="shared" ca="1" si="28"/>
        <v>1</v>
      </c>
      <c r="AZ98" s="80">
        <f t="shared" ca="1" si="28"/>
        <v>1</v>
      </c>
      <c r="BA98" s="80">
        <f t="shared" ca="1" si="28"/>
        <v>1</v>
      </c>
      <c r="BB98" s="81">
        <f t="shared" ca="1" si="28"/>
        <v>1</v>
      </c>
      <c r="BD98" s="12" t="str">
        <f t="shared" si="23"/>
        <v>0x10BC</v>
      </c>
      <c r="BE98" s="12" t="str">
        <f t="shared" ca="1" si="24"/>
        <v>0001011110100000</v>
      </c>
      <c r="BG98" s="53" t="str">
        <f t="shared" ca="1" si="25"/>
        <v>`define EE_VIRT_REF_TDIE 47</v>
      </c>
    </row>
    <row r="99" spans="1:59">
      <c r="A99" s="82" t="s">
        <v>365</v>
      </c>
      <c r="B99" s="82">
        <v>190</v>
      </c>
      <c r="C99" s="82">
        <v>47</v>
      </c>
      <c r="D99" s="83">
        <f ca="1">SUMIF('NVRAM map'!$AF$3:$AF$319,A99,'NVRAM map'!$AN$3:$AN$319)</f>
        <v>5800</v>
      </c>
      <c r="E99" s="84" t="str">
        <f t="shared" ca="1" si="16"/>
        <v>16A8</v>
      </c>
      <c r="F99" s="85" t="str">
        <f t="shared" ca="1" si="26"/>
        <v>16A8</v>
      </c>
      <c r="G99" s="86" t="str">
        <f ca="1">VLOOKUP(MemoryView!A99,'NVRAM map'!$AD$3:$AE$319,2,0)</f>
        <v>EE_RPOLY_THRD</v>
      </c>
      <c r="H99" s="87" t="str">
        <f t="array" aca="1" ref="H99" ca="1">IF(ISNA(INDEX('NVRAM map'!$AF$3:$AG$319,MATCH(1,('NVRAM map'!$AF$3:$AF$319=$A99)*('NVRAM map'!$AI$3:$AI$319&gt;=H$3)*('NVRAM map'!$AJ$3:$AJ$319&lt;=H$3),0),2)),"-",INDEX('NVRAM map'!$AF$3:$AG$319,MATCH(1,('NVRAM map'!$AF$3:$AF$319=$A99)*('NVRAM map'!$AI$3:$AI$319&gt;=H$3)*('NVRAM map'!$AJ$3:$AJ$319&lt;=H$3),0),2))</f>
        <v>RPOLY_BASE</v>
      </c>
      <c r="I99" s="87" t="str">
        <f t="array" aca="1" ref="I99" ca="1">IF(ISNA(INDEX('NVRAM map'!$AF$3:$AG$319,MATCH(1,('NVRAM map'!$AF$3:$AF$319=$A99)*('NVRAM map'!$AI$3:$AI$319&gt;=I$3)*('NVRAM map'!$AJ$3:$AJ$319&lt;=I$3),0),2)),"-",INDEX('NVRAM map'!$AF$3:$AG$319,MATCH(1,('NVRAM map'!$AF$3:$AF$319=$A99)*('NVRAM map'!$AI$3:$AI$319&gt;=I$3)*('NVRAM map'!$AJ$3:$AJ$319&lt;=I$3),0),2))</f>
        <v>RPOLY_BASE</v>
      </c>
      <c r="J99" s="87" t="str">
        <f t="array" aca="1" ref="J99" ca="1">IF(ISNA(INDEX('NVRAM map'!$AF$3:$AG$319,MATCH(1,('NVRAM map'!$AF$3:$AF$319=$A99)*('NVRAM map'!$AI$3:$AI$319&gt;=J$3)*('NVRAM map'!$AJ$3:$AJ$319&lt;=J$3),0),2)),"-",INDEX('NVRAM map'!$AF$3:$AG$319,MATCH(1,('NVRAM map'!$AF$3:$AF$319=$A99)*('NVRAM map'!$AI$3:$AI$319&gt;=J$3)*('NVRAM map'!$AJ$3:$AJ$319&lt;=J$3),0),2))</f>
        <v>RPOLY_BASE</v>
      </c>
      <c r="K99" s="87" t="str">
        <f t="array" aca="1" ref="K99" ca="1">IF(ISNA(INDEX('NVRAM map'!$AF$3:$AG$319,MATCH(1,('NVRAM map'!$AF$3:$AF$319=$A99)*('NVRAM map'!$AI$3:$AI$319&gt;=K$3)*('NVRAM map'!$AJ$3:$AJ$319&lt;=K$3),0),2)),"-",INDEX('NVRAM map'!$AF$3:$AG$319,MATCH(1,('NVRAM map'!$AF$3:$AF$319=$A99)*('NVRAM map'!$AI$3:$AI$319&gt;=K$3)*('NVRAM map'!$AJ$3:$AJ$319&lt;=K$3),0),2))</f>
        <v>RPOLY_BASE</v>
      </c>
      <c r="L99" s="87" t="str">
        <f t="array" aca="1" ref="L99" ca="1">IF(ISNA(INDEX('NVRAM map'!$AF$3:$AG$319,MATCH(1,('NVRAM map'!$AF$3:$AF$319=$A99)*('NVRAM map'!$AI$3:$AI$319&gt;=L$3)*('NVRAM map'!$AJ$3:$AJ$319&lt;=L$3),0),2)),"-",INDEX('NVRAM map'!$AF$3:$AG$319,MATCH(1,('NVRAM map'!$AF$3:$AF$319=$A99)*('NVRAM map'!$AI$3:$AI$319&gt;=L$3)*('NVRAM map'!$AJ$3:$AJ$319&lt;=L$3),0),2))</f>
        <v>RPOLY_BASE</v>
      </c>
      <c r="M99" s="87" t="str">
        <f t="array" aca="1" ref="M99" ca="1">IF(ISNA(INDEX('NVRAM map'!$AF$3:$AG$319,MATCH(1,('NVRAM map'!$AF$3:$AF$319=$A99)*('NVRAM map'!$AI$3:$AI$319&gt;=M$3)*('NVRAM map'!$AJ$3:$AJ$319&lt;=M$3),0),2)),"-",INDEX('NVRAM map'!$AF$3:$AG$319,MATCH(1,('NVRAM map'!$AF$3:$AF$319=$A99)*('NVRAM map'!$AI$3:$AI$319&gt;=M$3)*('NVRAM map'!$AJ$3:$AJ$319&lt;=M$3),0),2))</f>
        <v>RPOLY_BASE</v>
      </c>
      <c r="N99" s="87" t="str">
        <f t="array" aca="1" ref="N99" ca="1">IF(ISNA(INDEX('NVRAM map'!$AF$3:$AG$319,MATCH(1,('NVRAM map'!$AF$3:$AF$319=$A99)*('NVRAM map'!$AI$3:$AI$319&gt;=N$3)*('NVRAM map'!$AJ$3:$AJ$319&lt;=N$3),0),2)),"-",INDEX('NVRAM map'!$AF$3:$AG$319,MATCH(1,('NVRAM map'!$AF$3:$AF$319=$A99)*('NVRAM map'!$AI$3:$AI$319&gt;=N$3)*('NVRAM map'!$AJ$3:$AJ$319&lt;=N$3),0),2))</f>
        <v>RPOLY_BASE</v>
      </c>
      <c r="O99" s="87" t="str">
        <f t="array" aca="1" ref="O99" ca="1">IF(ISNA(INDEX('NVRAM map'!$AF$3:$AG$319,MATCH(1,('NVRAM map'!$AF$3:$AF$319=$A99)*('NVRAM map'!$AI$3:$AI$319&gt;=O$3)*('NVRAM map'!$AJ$3:$AJ$319&lt;=O$3),0),2)),"-",INDEX('NVRAM map'!$AF$3:$AG$319,MATCH(1,('NVRAM map'!$AF$3:$AF$319=$A99)*('NVRAM map'!$AI$3:$AI$319&gt;=O$3)*('NVRAM map'!$AJ$3:$AJ$319&lt;=O$3),0),2))</f>
        <v>RPOLY_BASE</v>
      </c>
      <c r="P99" s="87" t="str">
        <f t="array" aca="1" ref="P99" ca="1">IF(ISNA(INDEX('NVRAM map'!$AF$3:$AG$319,MATCH(1,('NVRAM map'!$AF$3:$AF$319=$A99)*('NVRAM map'!$AI$3:$AI$319&gt;=P$3)*('NVRAM map'!$AJ$3:$AJ$319&lt;=P$3),0),2)),"-",INDEX('NVRAM map'!$AF$3:$AG$319,MATCH(1,('NVRAM map'!$AF$3:$AF$319=$A99)*('NVRAM map'!$AI$3:$AI$319&gt;=P$3)*('NVRAM map'!$AJ$3:$AJ$319&lt;=P$3),0),2))</f>
        <v>RPOLY_BASE</v>
      </c>
      <c r="Q99" s="87" t="str">
        <f t="array" aca="1" ref="Q99" ca="1">IF(ISNA(INDEX('NVRAM map'!$AF$3:$AG$319,MATCH(1,('NVRAM map'!$AF$3:$AF$319=$A99)*('NVRAM map'!$AI$3:$AI$319&gt;=Q$3)*('NVRAM map'!$AJ$3:$AJ$319&lt;=Q$3),0),2)),"-",INDEX('NVRAM map'!$AF$3:$AG$319,MATCH(1,('NVRAM map'!$AF$3:$AF$319=$A99)*('NVRAM map'!$AI$3:$AI$319&gt;=Q$3)*('NVRAM map'!$AJ$3:$AJ$319&lt;=Q$3),0),2))</f>
        <v>RPOLY_THRD</v>
      </c>
      <c r="R99" s="87" t="str">
        <f t="array" aca="1" ref="R99" ca="1">IF(ISNA(INDEX('NVRAM map'!$AF$3:$AG$319,MATCH(1,('NVRAM map'!$AF$3:$AF$319=$A99)*('NVRAM map'!$AI$3:$AI$319&gt;=R$3)*('NVRAM map'!$AJ$3:$AJ$319&lt;=R$3),0),2)),"-",INDEX('NVRAM map'!$AF$3:$AG$319,MATCH(1,('NVRAM map'!$AF$3:$AF$319=$A99)*('NVRAM map'!$AI$3:$AI$319&gt;=R$3)*('NVRAM map'!$AJ$3:$AJ$319&lt;=R$3),0),2))</f>
        <v>RPOLY_THRD</v>
      </c>
      <c r="S99" s="87" t="str">
        <f t="array" aca="1" ref="S99" ca="1">IF(ISNA(INDEX('NVRAM map'!$AF$3:$AG$319,MATCH(1,('NVRAM map'!$AF$3:$AF$319=$A99)*('NVRAM map'!$AI$3:$AI$319&gt;=S$3)*('NVRAM map'!$AJ$3:$AJ$319&lt;=S$3),0),2)),"-",INDEX('NVRAM map'!$AF$3:$AG$319,MATCH(1,('NVRAM map'!$AF$3:$AF$319=$A99)*('NVRAM map'!$AI$3:$AI$319&gt;=S$3)*('NVRAM map'!$AJ$3:$AJ$319&lt;=S$3),0),2))</f>
        <v>RPOLY_THRD</v>
      </c>
      <c r="T99" s="87" t="str">
        <f t="array" aca="1" ref="T99" ca="1">IF(ISNA(INDEX('NVRAM map'!$AF$3:$AG$319,MATCH(1,('NVRAM map'!$AF$3:$AF$319=$A99)*('NVRAM map'!$AI$3:$AI$319&gt;=T$3)*('NVRAM map'!$AJ$3:$AJ$319&lt;=T$3),0),2)),"-",INDEX('NVRAM map'!$AF$3:$AG$319,MATCH(1,('NVRAM map'!$AF$3:$AF$319=$A99)*('NVRAM map'!$AI$3:$AI$319&gt;=T$3)*('NVRAM map'!$AJ$3:$AJ$319&lt;=T$3),0),2))</f>
        <v>RPOLY_THRD</v>
      </c>
      <c r="U99" s="87" t="str">
        <f t="array" aca="1" ref="U99" ca="1">IF(ISNA(INDEX('NVRAM map'!$AF$3:$AG$319,MATCH(1,('NVRAM map'!$AF$3:$AF$319=$A99)*('NVRAM map'!$AI$3:$AI$319&gt;=U$3)*('NVRAM map'!$AJ$3:$AJ$319&lt;=U$3),0),2)),"-",INDEX('NVRAM map'!$AF$3:$AG$319,MATCH(1,('NVRAM map'!$AF$3:$AF$319=$A99)*('NVRAM map'!$AI$3:$AI$319&gt;=U$3)*('NVRAM map'!$AJ$3:$AJ$319&lt;=U$3),0),2))</f>
        <v>RPOLY_THRD</v>
      </c>
      <c r="V99" s="87" t="str">
        <f t="array" aca="1" ref="V99" ca="1">IF(ISNA(INDEX('NVRAM map'!$AF$3:$AG$319,MATCH(1,('NVRAM map'!$AF$3:$AF$319=$A99)*('NVRAM map'!$AI$3:$AI$319&gt;=V$3)*('NVRAM map'!$AJ$3:$AJ$319&lt;=V$3),0),2)),"-",INDEX('NVRAM map'!$AF$3:$AG$319,MATCH(1,('NVRAM map'!$AF$3:$AF$319=$A99)*('NVRAM map'!$AI$3:$AI$319&gt;=V$3)*('NVRAM map'!$AJ$3:$AJ$319&lt;=V$3),0),2))</f>
        <v>RPOLY_THRD</v>
      </c>
      <c r="W99" s="87" t="str">
        <f t="array" aca="1" ref="W99" ca="1">IF(ISNA(INDEX('NVRAM map'!$AF$3:$AG$319,MATCH(1,('NVRAM map'!$AF$3:$AF$319=$A99)*('NVRAM map'!$AI$3:$AI$319&gt;=W$3)*('NVRAM map'!$AJ$3:$AJ$319&lt;=W$3),0),2)),"-",INDEX('NVRAM map'!$AF$3:$AG$319,MATCH(1,('NVRAM map'!$AF$3:$AF$319=$A99)*('NVRAM map'!$AI$3:$AI$319&gt;=W$3)*('NVRAM map'!$AJ$3:$AJ$319&lt;=W$3),0),2))</f>
        <v>RPOLY_THRD</v>
      </c>
      <c r="X99" s="88" t="str">
        <f ca="1">INDEX('NVRAM map'!$B$3:$B$319,MATCH(A99,'NVRAM map'!$E$3:$E$319,0))</f>
        <v>MLX</v>
      </c>
      <c r="AB99" s="44">
        <f t="shared" ca="1" si="17"/>
        <v>190</v>
      </c>
      <c r="AC99" s="12" t="b">
        <f ca="1">COUNTIF('NVRAM map'!$AD$3:$AE$319,A99)&lt;2</f>
        <v>1</v>
      </c>
      <c r="AD99" s="12">
        <f ca="1">SUMIF('NVRAM map'!$AF$3:$AF$319,A99,'NVRAM map'!$AK$3:$AK$319)</f>
        <v>65535</v>
      </c>
      <c r="AE99" s="12" t="str">
        <f t="shared" ca="1" si="18"/>
        <v>FFFF</v>
      </c>
      <c r="AF99" s="12" t="str">
        <f t="shared" ca="1" si="19"/>
        <v>11111111</v>
      </c>
      <c r="AG99" s="12" t="str">
        <f t="shared" ca="1" si="20"/>
        <v>11111111</v>
      </c>
      <c r="AH99" s="12">
        <f t="shared" ca="1" si="21"/>
        <v>16</v>
      </c>
      <c r="AI99" s="12">
        <f ca="1">SUMIF('NVRAM map'!$AF$3:$AF$319,A99,'NVRAM map'!$AH$3:$AH$319)</f>
        <v>16</v>
      </c>
      <c r="AJ99" s="12" t="b">
        <f t="shared" ca="1" si="22"/>
        <v>1</v>
      </c>
      <c r="AK99" s="12">
        <f ca="1">COUNTIF('NVRAM map'!$AF$3:$AF$319,A99)</f>
        <v>2</v>
      </c>
      <c r="AM99" s="89">
        <v>0</v>
      </c>
      <c r="AN99" s="80">
        <f t="shared" ca="1" si="28"/>
        <v>0</v>
      </c>
      <c r="AO99" s="80">
        <f t="shared" ca="1" si="28"/>
        <v>0</v>
      </c>
      <c r="AP99" s="80">
        <f t="shared" ca="1" si="28"/>
        <v>0</v>
      </c>
      <c r="AQ99" s="80">
        <f t="shared" ca="1" si="28"/>
        <v>0</v>
      </c>
      <c r="AR99" s="80">
        <f t="shared" ca="1" si="28"/>
        <v>0</v>
      </c>
      <c r="AS99" s="80">
        <f t="shared" ca="1" si="28"/>
        <v>0</v>
      </c>
      <c r="AT99" s="80">
        <f t="shared" ca="1" si="28"/>
        <v>0</v>
      </c>
      <c r="AU99" s="80">
        <f t="shared" ca="1" si="28"/>
        <v>0</v>
      </c>
      <c r="AV99" s="80">
        <f t="shared" ca="1" si="28"/>
        <v>1</v>
      </c>
      <c r="AW99" s="80">
        <f t="shared" ca="1" si="28"/>
        <v>1</v>
      </c>
      <c r="AX99" s="80">
        <f t="shared" ca="1" si="28"/>
        <v>1</v>
      </c>
      <c r="AY99" s="80">
        <f t="shared" ca="1" si="28"/>
        <v>1</v>
      </c>
      <c r="AZ99" s="80">
        <f t="shared" ca="1" si="28"/>
        <v>1</v>
      </c>
      <c r="BA99" s="80">
        <f t="shared" ca="1" si="28"/>
        <v>1</v>
      </c>
      <c r="BB99" s="81">
        <f t="shared" ca="1" si="28"/>
        <v>1</v>
      </c>
      <c r="BD99" s="12" t="str">
        <f t="shared" si="23"/>
        <v>0x10BE</v>
      </c>
      <c r="BE99" s="12" t="str">
        <f t="shared" ca="1" si="24"/>
        <v>0001011010101000</v>
      </c>
      <c r="BG99" s="53" t="str">
        <f t="shared" ca="1" si="25"/>
        <v>`define EE_RPOLY_THRD 47</v>
      </c>
    </row>
    <row r="100" spans="1:59" ht="25.5">
      <c r="A100" s="82" t="s">
        <v>366</v>
      </c>
      <c r="B100" s="82">
        <v>192</v>
      </c>
      <c r="C100" s="82">
        <v>48</v>
      </c>
      <c r="D100" s="126">
        <f ca="1">SUMIF('NVRAM map'!$AF$3:$AF$319,A100,'NVRAM map'!$AN$3:$AN$319)</f>
        <v>0</v>
      </c>
      <c r="E100" s="84" t="str">
        <f t="shared" ref="E100" ca="1" si="31">DEC2HEX(D100,4)</f>
        <v>0000</v>
      </c>
      <c r="F100" s="85" t="str">
        <f t="shared" ref="F100" ca="1" si="32">E100</f>
        <v>0000</v>
      </c>
      <c r="G100" s="86" t="str">
        <f ca="1">VLOOKUP(MemoryView!A100,'NVRAM map'!$AD$3:$AE$319,2,0)</f>
        <v>EE_TRACEABILITY_CP</v>
      </c>
      <c r="H100" s="87" t="str">
        <f t="array" aca="1" ref="H100" ca="1">IF(ISNA(INDEX('NVRAM map'!$AF$3:$AG$319,MATCH(1,('NVRAM map'!$AF$3:$AF$319=$A100)*('NVRAM map'!$AI$3:$AI$319&gt;=H$3)*('NVRAM map'!$AJ$3:$AJ$319&lt;=H$3),0),2)),"-",INDEX('NVRAM map'!$AF$3:$AG$319,MATCH(1,('NVRAM map'!$AF$3:$AF$319=$A100)*('NVRAM map'!$AI$3:$AI$319&gt;=H$3)*('NVRAM map'!$AJ$3:$AJ$319&lt;=H$3),0),2))</f>
        <v>TRACEABILITY_CP</v>
      </c>
      <c r="I100" s="87" t="str">
        <f t="array" aca="1" ref="I100" ca="1">IF(ISNA(INDEX('NVRAM map'!$AF$3:$AG$319,MATCH(1,('NVRAM map'!$AF$3:$AF$319=$A100)*('NVRAM map'!$AI$3:$AI$319&gt;=I$3)*('NVRAM map'!$AJ$3:$AJ$319&lt;=I$3),0),2)),"-",INDEX('NVRAM map'!$AF$3:$AG$319,MATCH(1,('NVRAM map'!$AF$3:$AF$319=$A100)*('NVRAM map'!$AI$3:$AI$319&gt;=I$3)*('NVRAM map'!$AJ$3:$AJ$319&lt;=I$3),0),2))</f>
        <v>TRACEABILITY_CP</v>
      </c>
      <c r="J100" s="87" t="str">
        <f t="array" aca="1" ref="J100" ca="1">IF(ISNA(INDEX('NVRAM map'!$AF$3:$AG$319,MATCH(1,('NVRAM map'!$AF$3:$AF$319=$A100)*('NVRAM map'!$AI$3:$AI$319&gt;=J$3)*('NVRAM map'!$AJ$3:$AJ$319&lt;=J$3),0),2)),"-",INDEX('NVRAM map'!$AF$3:$AG$319,MATCH(1,('NVRAM map'!$AF$3:$AF$319=$A100)*('NVRAM map'!$AI$3:$AI$319&gt;=J$3)*('NVRAM map'!$AJ$3:$AJ$319&lt;=J$3),0),2))</f>
        <v>TRACEABILITY_CP</v>
      </c>
      <c r="K100" s="87" t="str">
        <f t="array" aca="1" ref="K100" ca="1">IF(ISNA(INDEX('NVRAM map'!$AF$3:$AG$319,MATCH(1,('NVRAM map'!$AF$3:$AF$319=$A100)*('NVRAM map'!$AI$3:$AI$319&gt;=K$3)*('NVRAM map'!$AJ$3:$AJ$319&lt;=K$3),0),2)),"-",INDEX('NVRAM map'!$AF$3:$AG$319,MATCH(1,('NVRAM map'!$AF$3:$AF$319=$A100)*('NVRAM map'!$AI$3:$AI$319&gt;=K$3)*('NVRAM map'!$AJ$3:$AJ$319&lt;=K$3),0),2))</f>
        <v>TRACEABILITY_CP</v>
      </c>
      <c r="L100" s="87" t="str">
        <f t="array" aca="1" ref="L100" ca="1">IF(ISNA(INDEX('NVRAM map'!$AF$3:$AG$319,MATCH(1,('NVRAM map'!$AF$3:$AF$319=$A100)*('NVRAM map'!$AI$3:$AI$319&gt;=L$3)*('NVRAM map'!$AJ$3:$AJ$319&lt;=L$3),0),2)),"-",INDEX('NVRAM map'!$AF$3:$AG$319,MATCH(1,('NVRAM map'!$AF$3:$AF$319=$A100)*('NVRAM map'!$AI$3:$AI$319&gt;=L$3)*('NVRAM map'!$AJ$3:$AJ$319&lt;=L$3),0),2))</f>
        <v>TRACEABILITY_CP</v>
      </c>
      <c r="M100" s="87" t="str">
        <f t="array" aca="1" ref="M100" ca="1">IF(ISNA(INDEX('NVRAM map'!$AF$3:$AG$319,MATCH(1,('NVRAM map'!$AF$3:$AF$319=$A100)*('NVRAM map'!$AI$3:$AI$319&gt;=M$3)*('NVRAM map'!$AJ$3:$AJ$319&lt;=M$3),0),2)),"-",INDEX('NVRAM map'!$AF$3:$AG$319,MATCH(1,('NVRAM map'!$AF$3:$AF$319=$A100)*('NVRAM map'!$AI$3:$AI$319&gt;=M$3)*('NVRAM map'!$AJ$3:$AJ$319&lt;=M$3),0),2))</f>
        <v>TRACEABILITY_CP</v>
      </c>
      <c r="N100" s="87" t="str">
        <f t="array" aca="1" ref="N100" ca="1">IF(ISNA(INDEX('NVRAM map'!$AF$3:$AG$319,MATCH(1,('NVRAM map'!$AF$3:$AF$319=$A100)*('NVRAM map'!$AI$3:$AI$319&gt;=N$3)*('NVRAM map'!$AJ$3:$AJ$319&lt;=N$3),0),2)),"-",INDEX('NVRAM map'!$AF$3:$AG$319,MATCH(1,('NVRAM map'!$AF$3:$AF$319=$A100)*('NVRAM map'!$AI$3:$AI$319&gt;=N$3)*('NVRAM map'!$AJ$3:$AJ$319&lt;=N$3),0),2))</f>
        <v>TRACEABILITY_CP</v>
      </c>
      <c r="O100" s="87" t="str">
        <f t="array" aca="1" ref="O100" ca="1">IF(ISNA(INDEX('NVRAM map'!$AF$3:$AG$319,MATCH(1,('NVRAM map'!$AF$3:$AF$319=$A100)*('NVRAM map'!$AI$3:$AI$319&gt;=O$3)*('NVRAM map'!$AJ$3:$AJ$319&lt;=O$3),0),2)),"-",INDEX('NVRAM map'!$AF$3:$AG$319,MATCH(1,('NVRAM map'!$AF$3:$AF$319=$A100)*('NVRAM map'!$AI$3:$AI$319&gt;=O$3)*('NVRAM map'!$AJ$3:$AJ$319&lt;=O$3),0),2))</f>
        <v>TRACEABILITY_CP</v>
      </c>
      <c r="P100" s="87" t="str">
        <f t="array" aca="1" ref="P100" ca="1">IF(ISNA(INDEX('NVRAM map'!$AF$3:$AG$319,MATCH(1,('NVRAM map'!$AF$3:$AF$319=$A100)*('NVRAM map'!$AI$3:$AI$319&gt;=P$3)*('NVRAM map'!$AJ$3:$AJ$319&lt;=P$3),0),2)),"-",INDEX('NVRAM map'!$AF$3:$AG$319,MATCH(1,('NVRAM map'!$AF$3:$AF$319=$A100)*('NVRAM map'!$AI$3:$AI$319&gt;=P$3)*('NVRAM map'!$AJ$3:$AJ$319&lt;=P$3),0),2))</f>
        <v>TRACEABILITY_CP</v>
      </c>
      <c r="Q100" s="87" t="str">
        <f t="array" aca="1" ref="Q100" ca="1">IF(ISNA(INDEX('NVRAM map'!$AF$3:$AG$319,MATCH(1,('NVRAM map'!$AF$3:$AF$319=$A100)*('NVRAM map'!$AI$3:$AI$319&gt;=Q$3)*('NVRAM map'!$AJ$3:$AJ$319&lt;=Q$3),0),2)),"-",INDEX('NVRAM map'!$AF$3:$AG$319,MATCH(1,('NVRAM map'!$AF$3:$AF$319=$A100)*('NVRAM map'!$AI$3:$AI$319&gt;=Q$3)*('NVRAM map'!$AJ$3:$AJ$319&lt;=Q$3),0),2))</f>
        <v>TRACEABILITY_CP</v>
      </c>
      <c r="R100" s="87" t="str">
        <f t="array" aca="1" ref="R100" ca="1">IF(ISNA(INDEX('NVRAM map'!$AF$3:$AG$319,MATCH(1,('NVRAM map'!$AF$3:$AF$319=$A100)*('NVRAM map'!$AI$3:$AI$319&gt;=R$3)*('NVRAM map'!$AJ$3:$AJ$319&lt;=R$3),0),2)),"-",INDEX('NVRAM map'!$AF$3:$AG$319,MATCH(1,('NVRAM map'!$AF$3:$AF$319=$A100)*('NVRAM map'!$AI$3:$AI$319&gt;=R$3)*('NVRAM map'!$AJ$3:$AJ$319&lt;=R$3),0),2))</f>
        <v>TRACEABILITY_CP</v>
      </c>
      <c r="S100" s="87" t="str">
        <f t="array" aca="1" ref="S100" ca="1">IF(ISNA(INDEX('NVRAM map'!$AF$3:$AG$319,MATCH(1,('NVRAM map'!$AF$3:$AF$319=$A100)*('NVRAM map'!$AI$3:$AI$319&gt;=S$3)*('NVRAM map'!$AJ$3:$AJ$319&lt;=S$3),0),2)),"-",INDEX('NVRAM map'!$AF$3:$AG$319,MATCH(1,('NVRAM map'!$AF$3:$AF$319=$A100)*('NVRAM map'!$AI$3:$AI$319&gt;=S$3)*('NVRAM map'!$AJ$3:$AJ$319&lt;=S$3),0),2))</f>
        <v>TRACEABILITY_CP</v>
      </c>
      <c r="T100" s="87" t="str">
        <f t="array" aca="1" ref="T100" ca="1">IF(ISNA(INDEX('NVRAM map'!$AF$3:$AG$319,MATCH(1,('NVRAM map'!$AF$3:$AF$319=$A100)*('NVRAM map'!$AI$3:$AI$319&gt;=T$3)*('NVRAM map'!$AJ$3:$AJ$319&lt;=T$3),0),2)),"-",INDEX('NVRAM map'!$AF$3:$AG$319,MATCH(1,('NVRAM map'!$AF$3:$AF$319=$A100)*('NVRAM map'!$AI$3:$AI$319&gt;=T$3)*('NVRAM map'!$AJ$3:$AJ$319&lt;=T$3),0),2))</f>
        <v>TRACEABILITY_CP</v>
      </c>
      <c r="U100" s="87" t="str">
        <f t="array" aca="1" ref="U100" ca="1">IF(ISNA(INDEX('NVRAM map'!$AF$3:$AG$319,MATCH(1,('NVRAM map'!$AF$3:$AF$319=$A100)*('NVRAM map'!$AI$3:$AI$319&gt;=U$3)*('NVRAM map'!$AJ$3:$AJ$319&lt;=U$3),0),2)),"-",INDEX('NVRAM map'!$AF$3:$AG$319,MATCH(1,('NVRAM map'!$AF$3:$AF$319=$A100)*('NVRAM map'!$AI$3:$AI$319&gt;=U$3)*('NVRAM map'!$AJ$3:$AJ$319&lt;=U$3),0),2))</f>
        <v>TRACEABILITY_CP</v>
      </c>
      <c r="V100" s="87" t="str">
        <f t="array" aca="1" ref="V100" ca="1">IF(ISNA(INDEX('NVRAM map'!$AF$3:$AG$319,MATCH(1,('NVRAM map'!$AF$3:$AF$319=$A100)*('NVRAM map'!$AI$3:$AI$319&gt;=V$3)*('NVRAM map'!$AJ$3:$AJ$319&lt;=V$3),0),2)),"-",INDEX('NVRAM map'!$AF$3:$AG$319,MATCH(1,('NVRAM map'!$AF$3:$AF$319=$A100)*('NVRAM map'!$AI$3:$AI$319&gt;=V$3)*('NVRAM map'!$AJ$3:$AJ$319&lt;=V$3),0),2))</f>
        <v>TRACEABILITY_CP</v>
      </c>
      <c r="W100" s="87" t="str">
        <f t="array" aca="1" ref="W100" ca="1">IF(ISNA(INDEX('NVRAM map'!$AF$3:$AG$319,MATCH(1,('NVRAM map'!$AF$3:$AF$319=$A100)*('NVRAM map'!$AI$3:$AI$319&gt;=W$3)*('NVRAM map'!$AJ$3:$AJ$319&lt;=W$3),0),2)),"-",INDEX('NVRAM map'!$AF$3:$AG$319,MATCH(1,('NVRAM map'!$AF$3:$AF$319=$A100)*('NVRAM map'!$AI$3:$AI$319&gt;=W$3)*('NVRAM map'!$AJ$3:$AJ$319&lt;=W$3),0),2))</f>
        <v>TRACEABILITY_CP</v>
      </c>
      <c r="X100" s="88" t="str">
        <f ca="1">INDEX('NVRAM map'!$B$3:$B$319,MATCH(A100,'NVRAM map'!$E$3:$E$319,0))</f>
        <v>MLX</v>
      </c>
      <c r="AB100" s="44">
        <f t="shared" ca="1" si="17"/>
        <v>0</v>
      </c>
      <c r="AC100" s="12" t="b">
        <f ca="1">COUNTIF('NVRAM map'!$AD$3:$AE$319,A100)&lt;2</f>
        <v>1</v>
      </c>
      <c r="AD100" s="12">
        <f ca="1">SUMIF('NVRAM map'!$AF$3:$AF$319,A100,'NVRAM map'!$AK$3:$AK$319)</f>
        <v>65535</v>
      </c>
      <c r="AE100" s="12" t="str">
        <f t="shared" ca="1" si="18"/>
        <v>FFFF</v>
      </c>
      <c r="AF100" s="12" t="str">
        <f t="shared" ca="1" si="19"/>
        <v>11111111</v>
      </c>
      <c r="AG100" s="12" t="str">
        <f t="shared" ca="1" si="20"/>
        <v>11111111</v>
      </c>
      <c r="AH100" s="12">
        <f t="shared" ca="1" si="21"/>
        <v>16</v>
      </c>
      <c r="AI100" s="12">
        <f ca="1">SUMIF('NVRAM map'!$AF$3:$AF$319,A100,'NVRAM map'!$AH$3:$AH$319)</f>
        <v>16</v>
      </c>
      <c r="AJ100" s="12" t="b">
        <f t="shared" ca="1" si="22"/>
        <v>1</v>
      </c>
      <c r="AK100" s="12">
        <f ca="1">COUNTIF('NVRAM map'!$AF$3:$AF$319,A100)</f>
        <v>1</v>
      </c>
      <c r="AM100" s="89">
        <v>0</v>
      </c>
      <c r="AN100" s="80">
        <f t="shared" ca="1" si="28"/>
        <v>0</v>
      </c>
      <c r="AO100" s="80">
        <f t="shared" ca="1" si="28"/>
        <v>0</v>
      </c>
      <c r="AP100" s="80">
        <f t="shared" ca="1" si="28"/>
        <v>0</v>
      </c>
      <c r="AQ100" s="80">
        <f t="shared" ca="1" si="28"/>
        <v>0</v>
      </c>
      <c r="AR100" s="80">
        <f t="shared" ca="1" si="28"/>
        <v>0</v>
      </c>
      <c r="AS100" s="80">
        <f t="shared" ca="1" si="28"/>
        <v>0</v>
      </c>
      <c r="AT100" s="80">
        <f t="shared" ca="1" si="28"/>
        <v>0</v>
      </c>
      <c r="AU100" s="80">
        <f t="shared" ca="1" si="28"/>
        <v>0</v>
      </c>
      <c r="AV100" s="80">
        <f t="shared" ca="1" si="28"/>
        <v>0</v>
      </c>
      <c r="AW100" s="80">
        <f t="shared" ca="1" si="28"/>
        <v>0</v>
      </c>
      <c r="AX100" s="80">
        <f t="shared" ca="1" si="28"/>
        <v>0</v>
      </c>
      <c r="AY100" s="80">
        <f t="shared" ca="1" si="28"/>
        <v>0</v>
      </c>
      <c r="AZ100" s="80">
        <f t="shared" ca="1" si="28"/>
        <v>0</v>
      </c>
      <c r="BA100" s="80">
        <f t="shared" ca="1" si="28"/>
        <v>0</v>
      </c>
      <c r="BB100" s="81">
        <f t="shared" ca="1" si="28"/>
        <v>0</v>
      </c>
      <c r="BD100" s="12" t="str">
        <f t="shared" si="23"/>
        <v>0x10C0</v>
      </c>
      <c r="BE100" s="12" t="str">
        <f t="shared" ca="1" si="24"/>
        <v>0000000000000000</v>
      </c>
      <c r="BG100" s="53" t="str">
        <f t="shared" ca="1" si="25"/>
        <v>`define EE_TRACEABILITY_CP 48</v>
      </c>
    </row>
    <row r="101" spans="1:59">
      <c r="A101" s="82" t="s">
        <v>367</v>
      </c>
      <c r="B101" s="82">
        <v>194</v>
      </c>
      <c r="C101" s="82">
        <v>48</v>
      </c>
      <c r="D101" s="83">
        <f ca="1">SUMIF('NVRAM map'!$AF$3:$AF$319,A101,'NVRAM map'!$AN$3:$AN$319)</f>
        <v>0</v>
      </c>
      <c r="E101" s="84" t="str">
        <f t="shared" ca="1" si="16"/>
        <v>0000</v>
      </c>
      <c r="F101" s="85" t="str">
        <f t="shared" ca="1" si="26"/>
        <v>0000</v>
      </c>
      <c r="G101" s="86" t="str">
        <f ca="1">VLOOKUP(MemoryView!A101,'NVRAM map'!$AD$3:$AE$319,2,0)</f>
        <v>EE_MLX_ID0_CP</v>
      </c>
      <c r="H101" s="87" t="str">
        <f t="array" aca="1" ref="H101" ca="1">IF(ISNA(INDEX('NVRAM map'!$AF$3:$AG$319,MATCH(1,('NVRAM map'!$AF$3:$AF$319=$A101)*('NVRAM map'!$AI$3:$AI$319&gt;=H$3)*('NVRAM map'!$AJ$3:$AJ$319&lt;=H$3),0),2)),"-",INDEX('NVRAM map'!$AF$3:$AG$319,MATCH(1,('NVRAM map'!$AF$3:$AF$319=$A101)*('NVRAM map'!$AI$3:$AI$319&gt;=H$3)*('NVRAM map'!$AJ$3:$AJ$319&lt;=H$3),0),2))</f>
        <v>MLX_ID0_CP</v>
      </c>
      <c r="I101" s="87" t="str">
        <f t="array" aca="1" ref="I101" ca="1">IF(ISNA(INDEX('NVRAM map'!$AF$3:$AG$319,MATCH(1,('NVRAM map'!$AF$3:$AF$319=$A101)*('NVRAM map'!$AI$3:$AI$319&gt;=I$3)*('NVRAM map'!$AJ$3:$AJ$319&lt;=I$3),0),2)),"-",INDEX('NVRAM map'!$AF$3:$AG$319,MATCH(1,('NVRAM map'!$AF$3:$AF$319=$A101)*('NVRAM map'!$AI$3:$AI$319&gt;=I$3)*('NVRAM map'!$AJ$3:$AJ$319&lt;=I$3),0),2))</f>
        <v>MLX_ID0_CP</v>
      </c>
      <c r="J101" s="87" t="str">
        <f t="array" aca="1" ref="J101" ca="1">IF(ISNA(INDEX('NVRAM map'!$AF$3:$AG$319,MATCH(1,('NVRAM map'!$AF$3:$AF$319=$A101)*('NVRAM map'!$AI$3:$AI$319&gt;=J$3)*('NVRAM map'!$AJ$3:$AJ$319&lt;=J$3),0),2)),"-",INDEX('NVRAM map'!$AF$3:$AG$319,MATCH(1,('NVRAM map'!$AF$3:$AF$319=$A101)*('NVRAM map'!$AI$3:$AI$319&gt;=J$3)*('NVRAM map'!$AJ$3:$AJ$319&lt;=J$3),0),2))</f>
        <v>MLX_ID0_CP</v>
      </c>
      <c r="K101" s="87" t="str">
        <f t="array" aca="1" ref="K101" ca="1">IF(ISNA(INDEX('NVRAM map'!$AF$3:$AG$319,MATCH(1,('NVRAM map'!$AF$3:$AF$319=$A101)*('NVRAM map'!$AI$3:$AI$319&gt;=K$3)*('NVRAM map'!$AJ$3:$AJ$319&lt;=K$3),0),2)),"-",INDEX('NVRAM map'!$AF$3:$AG$319,MATCH(1,('NVRAM map'!$AF$3:$AF$319=$A101)*('NVRAM map'!$AI$3:$AI$319&gt;=K$3)*('NVRAM map'!$AJ$3:$AJ$319&lt;=K$3),0),2))</f>
        <v>MLX_ID0_CP</v>
      </c>
      <c r="L101" s="87" t="str">
        <f t="array" aca="1" ref="L101" ca="1">IF(ISNA(INDEX('NVRAM map'!$AF$3:$AG$319,MATCH(1,('NVRAM map'!$AF$3:$AF$319=$A101)*('NVRAM map'!$AI$3:$AI$319&gt;=L$3)*('NVRAM map'!$AJ$3:$AJ$319&lt;=L$3),0),2)),"-",INDEX('NVRAM map'!$AF$3:$AG$319,MATCH(1,('NVRAM map'!$AF$3:$AF$319=$A101)*('NVRAM map'!$AI$3:$AI$319&gt;=L$3)*('NVRAM map'!$AJ$3:$AJ$319&lt;=L$3),0),2))</f>
        <v>MLX_ID0_CP</v>
      </c>
      <c r="M101" s="87" t="str">
        <f t="array" aca="1" ref="M101" ca="1">IF(ISNA(INDEX('NVRAM map'!$AF$3:$AG$319,MATCH(1,('NVRAM map'!$AF$3:$AF$319=$A101)*('NVRAM map'!$AI$3:$AI$319&gt;=M$3)*('NVRAM map'!$AJ$3:$AJ$319&lt;=M$3),0),2)),"-",INDEX('NVRAM map'!$AF$3:$AG$319,MATCH(1,('NVRAM map'!$AF$3:$AF$319=$A101)*('NVRAM map'!$AI$3:$AI$319&gt;=M$3)*('NVRAM map'!$AJ$3:$AJ$319&lt;=M$3),0),2))</f>
        <v>MLX_ID0_CP</v>
      </c>
      <c r="N101" s="87" t="str">
        <f t="array" aca="1" ref="N101" ca="1">IF(ISNA(INDEX('NVRAM map'!$AF$3:$AG$319,MATCH(1,('NVRAM map'!$AF$3:$AF$319=$A101)*('NVRAM map'!$AI$3:$AI$319&gt;=N$3)*('NVRAM map'!$AJ$3:$AJ$319&lt;=N$3),0),2)),"-",INDEX('NVRAM map'!$AF$3:$AG$319,MATCH(1,('NVRAM map'!$AF$3:$AF$319=$A101)*('NVRAM map'!$AI$3:$AI$319&gt;=N$3)*('NVRAM map'!$AJ$3:$AJ$319&lt;=N$3),0),2))</f>
        <v>MLX_ID0_CP</v>
      </c>
      <c r="O101" s="87" t="str">
        <f t="array" aca="1" ref="O101" ca="1">IF(ISNA(INDEX('NVRAM map'!$AF$3:$AG$319,MATCH(1,('NVRAM map'!$AF$3:$AF$319=$A101)*('NVRAM map'!$AI$3:$AI$319&gt;=O$3)*('NVRAM map'!$AJ$3:$AJ$319&lt;=O$3),0),2)),"-",INDEX('NVRAM map'!$AF$3:$AG$319,MATCH(1,('NVRAM map'!$AF$3:$AF$319=$A101)*('NVRAM map'!$AI$3:$AI$319&gt;=O$3)*('NVRAM map'!$AJ$3:$AJ$319&lt;=O$3),0),2))</f>
        <v>MLX_ID0_CP</v>
      </c>
      <c r="P101" s="87" t="str">
        <f t="array" aca="1" ref="P101" ca="1">IF(ISNA(INDEX('NVRAM map'!$AF$3:$AG$319,MATCH(1,('NVRAM map'!$AF$3:$AF$319=$A101)*('NVRAM map'!$AI$3:$AI$319&gt;=P$3)*('NVRAM map'!$AJ$3:$AJ$319&lt;=P$3),0),2)),"-",INDEX('NVRAM map'!$AF$3:$AG$319,MATCH(1,('NVRAM map'!$AF$3:$AF$319=$A101)*('NVRAM map'!$AI$3:$AI$319&gt;=P$3)*('NVRAM map'!$AJ$3:$AJ$319&lt;=P$3),0),2))</f>
        <v>MLX_ID0_CP</v>
      </c>
      <c r="Q101" s="87" t="str">
        <f t="array" aca="1" ref="Q101" ca="1">IF(ISNA(INDEX('NVRAM map'!$AF$3:$AG$319,MATCH(1,('NVRAM map'!$AF$3:$AF$319=$A101)*('NVRAM map'!$AI$3:$AI$319&gt;=Q$3)*('NVRAM map'!$AJ$3:$AJ$319&lt;=Q$3),0),2)),"-",INDEX('NVRAM map'!$AF$3:$AG$319,MATCH(1,('NVRAM map'!$AF$3:$AF$319=$A101)*('NVRAM map'!$AI$3:$AI$319&gt;=Q$3)*('NVRAM map'!$AJ$3:$AJ$319&lt;=Q$3),0),2))</f>
        <v>MLX_ID0_CP</v>
      </c>
      <c r="R101" s="87" t="str">
        <f t="array" aca="1" ref="R101" ca="1">IF(ISNA(INDEX('NVRAM map'!$AF$3:$AG$319,MATCH(1,('NVRAM map'!$AF$3:$AF$319=$A101)*('NVRAM map'!$AI$3:$AI$319&gt;=R$3)*('NVRAM map'!$AJ$3:$AJ$319&lt;=R$3),0),2)),"-",INDEX('NVRAM map'!$AF$3:$AG$319,MATCH(1,('NVRAM map'!$AF$3:$AF$319=$A101)*('NVRAM map'!$AI$3:$AI$319&gt;=R$3)*('NVRAM map'!$AJ$3:$AJ$319&lt;=R$3),0),2))</f>
        <v>MLX_ID0_CP</v>
      </c>
      <c r="S101" s="87" t="str">
        <f t="array" aca="1" ref="S101" ca="1">IF(ISNA(INDEX('NVRAM map'!$AF$3:$AG$319,MATCH(1,('NVRAM map'!$AF$3:$AF$319=$A101)*('NVRAM map'!$AI$3:$AI$319&gt;=S$3)*('NVRAM map'!$AJ$3:$AJ$319&lt;=S$3),0),2)),"-",INDEX('NVRAM map'!$AF$3:$AG$319,MATCH(1,('NVRAM map'!$AF$3:$AF$319=$A101)*('NVRAM map'!$AI$3:$AI$319&gt;=S$3)*('NVRAM map'!$AJ$3:$AJ$319&lt;=S$3),0),2))</f>
        <v>MLX_ID0_CP</v>
      </c>
      <c r="T101" s="87" t="str">
        <f t="array" aca="1" ref="T101" ca="1">IF(ISNA(INDEX('NVRAM map'!$AF$3:$AG$319,MATCH(1,('NVRAM map'!$AF$3:$AF$319=$A101)*('NVRAM map'!$AI$3:$AI$319&gt;=T$3)*('NVRAM map'!$AJ$3:$AJ$319&lt;=T$3),0),2)),"-",INDEX('NVRAM map'!$AF$3:$AG$319,MATCH(1,('NVRAM map'!$AF$3:$AF$319=$A101)*('NVRAM map'!$AI$3:$AI$319&gt;=T$3)*('NVRAM map'!$AJ$3:$AJ$319&lt;=T$3),0),2))</f>
        <v>MLX_ID0_CP</v>
      </c>
      <c r="U101" s="87" t="str">
        <f t="array" aca="1" ref="U101" ca="1">IF(ISNA(INDEX('NVRAM map'!$AF$3:$AG$319,MATCH(1,('NVRAM map'!$AF$3:$AF$319=$A101)*('NVRAM map'!$AI$3:$AI$319&gt;=U$3)*('NVRAM map'!$AJ$3:$AJ$319&lt;=U$3),0),2)),"-",INDEX('NVRAM map'!$AF$3:$AG$319,MATCH(1,('NVRAM map'!$AF$3:$AF$319=$A101)*('NVRAM map'!$AI$3:$AI$319&gt;=U$3)*('NVRAM map'!$AJ$3:$AJ$319&lt;=U$3),0),2))</f>
        <v>MLX_ID0_CP</v>
      </c>
      <c r="V101" s="87" t="str">
        <f t="array" aca="1" ref="V101" ca="1">IF(ISNA(INDEX('NVRAM map'!$AF$3:$AG$319,MATCH(1,('NVRAM map'!$AF$3:$AF$319=$A101)*('NVRAM map'!$AI$3:$AI$319&gt;=V$3)*('NVRAM map'!$AJ$3:$AJ$319&lt;=V$3),0),2)),"-",INDEX('NVRAM map'!$AF$3:$AG$319,MATCH(1,('NVRAM map'!$AF$3:$AF$319=$A101)*('NVRAM map'!$AI$3:$AI$319&gt;=V$3)*('NVRAM map'!$AJ$3:$AJ$319&lt;=V$3),0),2))</f>
        <v>MLX_ID0_CP</v>
      </c>
      <c r="W101" s="87" t="str">
        <f t="array" aca="1" ref="W101" ca="1">IF(ISNA(INDEX('NVRAM map'!$AF$3:$AG$319,MATCH(1,('NVRAM map'!$AF$3:$AF$319=$A101)*('NVRAM map'!$AI$3:$AI$319&gt;=W$3)*('NVRAM map'!$AJ$3:$AJ$319&lt;=W$3),0),2)),"-",INDEX('NVRAM map'!$AF$3:$AG$319,MATCH(1,('NVRAM map'!$AF$3:$AF$319=$A101)*('NVRAM map'!$AI$3:$AI$319&gt;=W$3)*('NVRAM map'!$AJ$3:$AJ$319&lt;=W$3),0),2))</f>
        <v>MLX_ID0_CP</v>
      </c>
      <c r="X101" s="88" t="str">
        <f ca="1">INDEX('NVRAM map'!$B$3:$B$319,MATCH(A101,'NVRAM map'!$E$3:$E$319,0))</f>
        <v>MLX</v>
      </c>
      <c r="AB101" s="44">
        <f t="shared" ca="1" si="17"/>
        <v>0</v>
      </c>
      <c r="AC101" s="12" t="b">
        <f ca="1">COUNTIF('NVRAM map'!$AD$3:$AE$319,A101)&lt;2</f>
        <v>1</v>
      </c>
      <c r="AD101" s="12">
        <f ca="1">SUMIF('NVRAM map'!$AF$3:$AF$319,A101,'NVRAM map'!$AK$3:$AK$319)</f>
        <v>65535</v>
      </c>
      <c r="AE101" s="12" t="str">
        <f t="shared" ca="1" si="18"/>
        <v>FFFF</v>
      </c>
      <c r="AF101" s="12" t="str">
        <f t="shared" ca="1" si="19"/>
        <v>11111111</v>
      </c>
      <c r="AG101" s="12" t="str">
        <f t="shared" ca="1" si="20"/>
        <v>11111111</v>
      </c>
      <c r="AH101" s="12">
        <f t="shared" ca="1" si="21"/>
        <v>16</v>
      </c>
      <c r="AI101" s="12">
        <f ca="1">SUMIF('NVRAM map'!$AF$3:$AF$319,A101,'NVRAM map'!$AH$3:$AH$319)</f>
        <v>16</v>
      </c>
      <c r="AJ101" s="12" t="b">
        <f t="shared" ca="1" si="22"/>
        <v>1</v>
      </c>
      <c r="AK101" s="12">
        <f ca="1">COUNTIF('NVRAM map'!$AF$3:$AF$319,A101)</f>
        <v>1</v>
      </c>
      <c r="AM101" s="89">
        <v>0</v>
      </c>
      <c r="AN101" s="80">
        <f t="shared" ca="1" si="28"/>
        <v>0</v>
      </c>
      <c r="AO101" s="80">
        <f t="shared" ca="1" si="28"/>
        <v>0</v>
      </c>
      <c r="AP101" s="80">
        <f t="shared" ca="1" si="28"/>
        <v>0</v>
      </c>
      <c r="AQ101" s="80">
        <f t="shared" ca="1" si="28"/>
        <v>0</v>
      </c>
      <c r="AR101" s="80">
        <f t="shared" ca="1" si="28"/>
        <v>0</v>
      </c>
      <c r="AS101" s="80">
        <f t="shared" ca="1" si="28"/>
        <v>0</v>
      </c>
      <c r="AT101" s="80">
        <f t="shared" ca="1" si="28"/>
        <v>0</v>
      </c>
      <c r="AU101" s="80">
        <f t="shared" ca="1" si="28"/>
        <v>0</v>
      </c>
      <c r="AV101" s="80">
        <f t="shared" ca="1" si="28"/>
        <v>0</v>
      </c>
      <c r="AW101" s="80">
        <f t="shared" ca="1" si="28"/>
        <v>0</v>
      </c>
      <c r="AX101" s="80">
        <f t="shared" ca="1" si="28"/>
        <v>0</v>
      </c>
      <c r="AY101" s="80">
        <f t="shared" ca="1" si="28"/>
        <v>0</v>
      </c>
      <c r="AZ101" s="80">
        <f t="shared" ca="1" si="28"/>
        <v>0</v>
      </c>
      <c r="BA101" s="80">
        <f t="shared" ca="1" si="28"/>
        <v>0</v>
      </c>
      <c r="BB101" s="81">
        <f t="shared" ca="1" si="28"/>
        <v>0</v>
      </c>
      <c r="BD101" s="12" t="str">
        <f t="shared" si="23"/>
        <v>0x10C2</v>
      </c>
      <c r="BE101" s="12" t="str">
        <f t="shared" ca="1" si="24"/>
        <v>0000000000000000</v>
      </c>
      <c r="BG101" s="53" t="str">
        <f t="shared" ca="1" si="25"/>
        <v>`define EE_MLX_ID0_CP 48</v>
      </c>
    </row>
    <row r="102" spans="1:59">
      <c r="A102" s="82" t="s">
        <v>368</v>
      </c>
      <c r="B102" s="82">
        <v>196</v>
      </c>
      <c r="C102" s="82">
        <v>49</v>
      </c>
      <c r="D102" s="83">
        <f ca="1">SUMIF('NVRAM map'!$AF$3:$AF$319,A102,'NVRAM map'!$AN$3:$AN$319)</f>
        <v>0</v>
      </c>
      <c r="E102" s="84" t="str">
        <f t="shared" ca="1" si="16"/>
        <v>0000</v>
      </c>
      <c r="F102" s="85" t="str">
        <f t="shared" ca="1" si="26"/>
        <v>0000</v>
      </c>
      <c r="G102" s="86" t="str">
        <f ca="1">VLOOKUP(MemoryView!A102,'NVRAM map'!$AD$3:$AE$319,2,0)</f>
        <v>EE_MLX_ID1_CP</v>
      </c>
      <c r="H102" s="87" t="str">
        <f t="array" aca="1" ref="H102" ca="1">IF(ISNA(INDEX('NVRAM map'!$AF$3:$AG$319,MATCH(1,('NVRAM map'!$AF$3:$AF$319=$A102)*('NVRAM map'!$AI$3:$AI$319&gt;=H$3)*('NVRAM map'!$AJ$3:$AJ$319&lt;=H$3),0),2)),"-",INDEX('NVRAM map'!$AF$3:$AG$319,MATCH(1,('NVRAM map'!$AF$3:$AF$319=$A102)*('NVRAM map'!$AI$3:$AI$319&gt;=H$3)*('NVRAM map'!$AJ$3:$AJ$319&lt;=H$3),0),2))</f>
        <v>MLX_ID1_CP</v>
      </c>
      <c r="I102" s="87" t="str">
        <f t="array" aca="1" ref="I102" ca="1">IF(ISNA(INDEX('NVRAM map'!$AF$3:$AG$319,MATCH(1,('NVRAM map'!$AF$3:$AF$319=$A102)*('NVRAM map'!$AI$3:$AI$319&gt;=I$3)*('NVRAM map'!$AJ$3:$AJ$319&lt;=I$3),0),2)),"-",INDEX('NVRAM map'!$AF$3:$AG$319,MATCH(1,('NVRAM map'!$AF$3:$AF$319=$A102)*('NVRAM map'!$AI$3:$AI$319&gt;=I$3)*('NVRAM map'!$AJ$3:$AJ$319&lt;=I$3),0),2))</f>
        <v>MLX_ID1_CP</v>
      </c>
      <c r="J102" s="87" t="str">
        <f t="array" aca="1" ref="J102" ca="1">IF(ISNA(INDEX('NVRAM map'!$AF$3:$AG$319,MATCH(1,('NVRAM map'!$AF$3:$AF$319=$A102)*('NVRAM map'!$AI$3:$AI$319&gt;=J$3)*('NVRAM map'!$AJ$3:$AJ$319&lt;=J$3),0),2)),"-",INDEX('NVRAM map'!$AF$3:$AG$319,MATCH(1,('NVRAM map'!$AF$3:$AF$319=$A102)*('NVRAM map'!$AI$3:$AI$319&gt;=J$3)*('NVRAM map'!$AJ$3:$AJ$319&lt;=J$3),0),2))</f>
        <v>MLX_ID1_CP</v>
      </c>
      <c r="K102" s="87" t="str">
        <f t="array" aca="1" ref="K102" ca="1">IF(ISNA(INDEX('NVRAM map'!$AF$3:$AG$319,MATCH(1,('NVRAM map'!$AF$3:$AF$319=$A102)*('NVRAM map'!$AI$3:$AI$319&gt;=K$3)*('NVRAM map'!$AJ$3:$AJ$319&lt;=K$3),0),2)),"-",INDEX('NVRAM map'!$AF$3:$AG$319,MATCH(1,('NVRAM map'!$AF$3:$AF$319=$A102)*('NVRAM map'!$AI$3:$AI$319&gt;=K$3)*('NVRAM map'!$AJ$3:$AJ$319&lt;=K$3),0),2))</f>
        <v>MLX_ID1_CP</v>
      </c>
      <c r="L102" s="87" t="str">
        <f t="array" aca="1" ref="L102" ca="1">IF(ISNA(INDEX('NVRAM map'!$AF$3:$AG$319,MATCH(1,('NVRAM map'!$AF$3:$AF$319=$A102)*('NVRAM map'!$AI$3:$AI$319&gt;=L$3)*('NVRAM map'!$AJ$3:$AJ$319&lt;=L$3),0),2)),"-",INDEX('NVRAM map'!$AF$3:$AG$319,MATCH(1,('NVRAM map'!$AF$3:$AF$319=$A102)*('NVRAM map'!$AI$3:$AI$319&gt;=L$3)*('NVRAM map'!$AJ$3:$AJ$319&lt;=L$3),0),2))</f>
        <v>MLX_ID1_CP</v>
      </c>
      <c r="M102" s="87" t="str">
        <f t="array" aca="1" ref="M102" ca="1">IF(ISNA(INDEX('NVRAM map'!$AF$3:$AG$319,MATCH(1,('NVRAM map'!$AF$3:$AF$319=$A102)*('NVRAM map'!$AI$3:$AI$319&gt;=M$3)*('NVRAM map'!$AJ$3:$AJ$319&lt;=M$3),0),2)),"-",INDEX('NVRAM map'!$AF$3:$AG$319,MATCH(1,('NVRAM map'!$AF$3:$AF$319=$A102)*('NVRAM map'!$AI$3:$AI$319&gt;=M$3)*('NVRAM map'!$AJ$3:$AJ$319&lt;=M$3),0),2))</f>
        <v>MLX_ID1_CP</v>
      </c>
      <c r="N102" s="87" t="str">
        <f t="array" aca="1" ref="N102" ca="1">IF(ISNA(INDEX('NVRAM map'!$AF$3:$AG$319,MATCH(1,('NVRAM map'!$AF$3:$AF$319=$A102)*('NVRAM map'!$AI$3:$AI$319&gt;=N$3)*('NVRAM map'!$AJ$3:$AJ$319&lt;=N$3),0),2)),"-",INDEX('NVRAM map'!$AF$3:$AG$319,MATCH(1,('NVRAM map'!$AF$3:$AF$319=$A102)*('NVRAM map'!$AI$3:$AI$319&gt;=N$3)*('NVRAM map'!$AJ$3:$AJ$319&lt;=N$3),0),2))</f>
        <v>MLX_ID1_CP</v>
      </c>
      <c r="O102" s="87" t="str">
        <f t="array" aca="1" ref="O102" ca="1">IF(ISNA(INDEX('NVRAM map'!$AF$3:$AG$319,MATCH(1,('NVRAM map'!$AF$3:$AF$319=$A102)*('NVRAM map'!$AI$3:$AI$319&gt;=O$3)*('NVRAM map'!$AJ$3:$AJ$319&lt;=O$3),0),2)),"-",INDEX('NVRAM map'!$AF$3:$AG$319,MATCH(1,('NVRAM map'!$AF$3:$AF$319=$A102)*('NVRAM map'!$AI$3:$AI$319&gt;=O$3)*('NVRAM map'!$AJ$3:$AJ$319&lt;=O$3),0),2))</f>
        <v>MLX_ID1_CP</v>
      </c>
      <c r="P102" s="87" t="str">
        <f t="array" aca="1" ref="P102" ca="1">IF(ISNA(INDEX('NVRAM map'!$AF$3:$AG$319,MATCH(1,('NVRAM map'!$AF$3:$AF$319=$A102)*('NVRAM map'!$AI$3:$AI$319&gt;=P$3)*('NVRAM map'!$AJ$3:$AJ$319&lt;=P$3),0),2)),"-",INDEX('NVRAM map'!$AF$3:$AG$319,MATCH(1,('NVRAM map'!$AF$3:$AF$319=$A102)*('NVRAM map'!$AI$3:$AI$319&gt;=P$3)*('NVRAM map'!$AJ$3:$AJ$319&lt;=P$3),0),2))</f>
        <v>MLX_ID1_CP</v>
      </c>
      <c r="Q102" s="87" t="str">
        <f t="array" aca="1" ref="Q102" ca="1">IF(ISNA(INDEX('NVRAM map'!$AF$3:$AG$319,MATCH(1,('NVRAM map'!$AF$3:$AF$319=$A102)*('NVRAM map'!$AI$3:$AI$319&gt;=Q$3)*('NVRAM map'!$AJ$3:$AJ$319&lt;=Q$3),0),2)),"-",INDEX('NVRAM map'!$AF$3:$AG$319,MATCH(1,('NVRAM map'!$AF$3:$AF$319=$A102)*('NVRAM map'!$AI$3:$AI$319&gt;=Q$3)*('NVRAM map'!$AJ$3:$AJ$319&lt;=Q$3),0),2))</f>
        <v>MLX_ID1_CP</v>
      </c>
      <c r="R102" s="87" t="str">
        <f t="array" aca="1" ref="R102" ca="1">IF(ISNA(INDEX('NVRAM map'!$AF$3:$AG$319,MATCH(1,('NVRAM map'!$AF$3:$AF$319=$A102)*('NVRAM map'!$AI$3:$AI$319&gt;=R$3)*('NVRAM map'!$AJ$3:$AJ$319&lt;=R$3),0),2)),"-",INDEX('NVRAM map'!$AF$3:$AG$319,MATCH(1,('NVRAM map'!$AF$3:$AF$319=$A102)*('NVRAM map'!$AI$3:$AI$319&gt;=R$3)*('NVRAM map'!$AJ$3:$AJ$319&lt;=R$3),0),2))</f>
        <v>MLX_ID1_CP</v>
      </c>
      <c r="S102" s="87" t="str">
        <f t="array" aca="1" ref="S102" ca="1">IF(ISNA(INDEX('NVRAM map'!$AF$3:$AG$319,MATCH(1,('NVRAM map'!$AF$3:$AF$319=$A102)*('NVRAM map'!$AI$3:$AI$319&gt;=S$3)*('NVRAM map'!$AJ$3:$AJ$319&lt;=S$3),0),2)),"-",INDEX('NVRAM map'!$AF$3:$AG$319,MATCH(1,('NVRAM map'!$AF$3:$AF$319=$A102)*('NVRAM map'!$AI$3:$AI$319&gt;=S$3)*('NVRAM map'!$AJ$3:$AJ$319&lt;=S$3),0),2))</f>
        <v>MLX_ID1_CP</v>
      </c>
      <c r="T102" s="87" t="str">
        <f t="array" aca="1" ref="T102" ca="1">IF(ISNA(INDEX('NVRAM map'!$AF$3:$AG$319,MATCH(1,('NVRAM map'!$AF$3:$AF$319=$A102)*('NVRAM map'!$AI$3:$AI$319&gt;=T$3)*('NVRAM map'!$AJ$3:$AJ$319&lt;=T$3),0),2)),"-",INDEX('NVRAM map'!$AF$3:$AG$319,MATCH(1,('NVRAM map'!$AF$3:$AF$319=$A102)*('NVRAM map'!$AI$3:$AI$319&gt;=T$3)*('NVRAM map'!$AJ$3:$AJ$319&lt;=T$3),0),2))</f>
        <v>MLX_ID1_CP</v>
      </c>
      <c r="U102" s="87" t="str">
        <f t="array" aca="1" ref="U102" ca="1">IF(ISNA(INDEX('NVRAM map'!$AF$3:$AG$319,MATCH(1,('NVRAM map'!$AF$3:$AF$319=$A102)*('NVRAM map'!$AI$3:$AI$319&gt;=U$3)*('NVRAM map'!$AJ$3:$AJ$319&lt;=U$3),0),2)),"-",INDEX('NVRAM map'!$AF$3:$AG$319,MATCH(1,('NVRAM map'!$AF$3:$AF$319=$A102)*('NVRAM map'!$AI$3:$AI$319&gt;=U$3)*('NVRAM map'!$AJ$3:$AJ$319&lt;=U$3),0),2))</f>
        <v>MLX_ID1_CP</v>
      </c>
      <c r="V102" s="87" t="str">
        <f t="array" aca="1" ref="V102" ca="1">IF(ISNA(INDEX('NVRAM map'!$AF$3:$AG$319,MATCH(1,('NVRAM map'!$AF$3:$AF$319=$A102)*('NVRAM map'!$AI$3:$AI$319&gt;=V$3)*('NVRAM map'!$AJ$3:$AJ$319&lt;=V$3),0),2)),"-",INDEX('NVRAM map'!$AF$3:$AG$319,MATCH(1,('NVRAM map'!$AF$3:$AF$319=$A102)*('NVRAM map'!$AI$3:$AI$319&gt;=V$3)*('NVRAM map'!$AJ$3:$AJ$319&lt;=V$3),0),2))</f>
        <v>MLX_ID1_CP</v>
      </c>
      <c r="W102" s="87" t="str">
        <f t="array" aca="1" ref="W102" ca="1">IF(ISNA(INDEX('NVRAM map'!$AF$3:$AG$319,MATCH(1,('NVRAM map'!$AF$3:$AF$319=$A102)*('NVRAM map'!$AI$3:$AI$319&gt;=W$3)*('NVRAM map'!$AJ$3:$AJ$319&lt;=W$3),0),2)),"-",INDEX('NVRAM map'!$AF$3:$AG$319,MATCH(1,('NVRAM map'!$AF$3:$AF$319=$A102)*('NVRAM map'!$AI$3:$AI$319&gt;=W$3)*('NVRAM map'!$AJ$3:$AJ$319&lt;=W$3),0),2))</f>
        <v>MLX_ID1_CP</v>
      </c>
      <c r="X102" s="88" t="str">
        <f ca="1">INDEX('NVRAM map'!$B$3:$B$319,MATCH(A102,'NVRAM map'!$E$3:$E$319,0))</f>
        <v>MLX</v>
      </c>
      <c r="AB102" s="44">
        <f t="shared" ca="1" si="17"/>
        <v>0</v>
      </c>
      <c r="AC102" s="12" t="b">
        <f ca="1">COUNTIF('NVRAM map'!$AD$3:$AE$319,A102)&lt;2</f>
        <v>1</v>
      </c>
      <c r="AD102" s="12">
        <f ca="1">SUMIF('NVRAM map'!$AF$3:$AF$319,A102,'NVRAM map'!$AK$3:$AK$319)</f>
        <v>65535</v>
      </c>
      <c r="AE102" s="12" t="str">
        <f t="shared" ca="1" si="18"/>
        <v>FFFF</v>
      </c>
      <c r="AF102" s="12" t="str">
        <f t="shared" ca="1" si="19"/>
        <v>11111111</v>
      </c>
      <c r="AG102" s="12" t="str">
        <f t="shared" ca="1" si="20"/>
        <v>11111111</v>
      </c>
      <c r="AH102" s="12">
        <f t="shared" ca="1" si="21"/>
        <v>16</v>
      </c>
      <c r="AI102" s="12">
        <f ca="1">SUMIF('NVRAM map'!$AF$3:$AF$319,A102,'NVRAM map'!$AH$3:$AH$319)</f>
        <v>16</v>
      </c>
      <c r="AJ102" s="12" t="b">
        <f t="shared" ca="1" si="22"/>
        <v>1</v>
      </c>
      <c r="AK102" s="12">
        <f ca="1">COUNTIF('NVRAM map'!$AF$3:$AF$319,A102)</f>
        <v>1</v>
      </c>
      <c r="AM102" s="89">
        <v>0</v>
      </c>
      <c r="AN102" s="80">
        <f t="shared" ca="1" si="28"/>
        <v>0</v>
      </c>
      <c r="AO102" s="80">
        <f t="shared" ca="1" si="28"/>
        <v>0</v>
      </c>
      <c r="AP102" s="80">
        <f t="shared" ca="1" si="28"/>
        <v>0</v>
      </c>
      <c r="AQ102" s="80">
        <f t="shared" ca="1" si="28"/>
        <v>0</v>
      </c>
      <c r="AR102" s="80">
        <f t="shared" ca="1" si="28"/>
        <v>0</v>
      </c>
      <c r="AS102" s="80">
        <f t="shared" ca="1" si="28"/>
        <v>0</v>
      </c>
      <c r="AT102" s="80">
        <f t="shared" ca="1" si="28"/>
        <v>0</v>
      </c>
      <c r="AU102" s="80">
        <f t="shared" ca="1" si="28"/>
        <v>0</v>
      </c>
      <c r="AV102" s="80">
        <f t="shared" ca="1" si="28"/>
        <v>0</v>
      </c>
      <c r="AW102" s="80">
        <f t="shared" ca="1" si="28"/>
        <v>0</v>
      </c>
      <c r="AX102" s="80">
        <f t="shared" ca="1" si="28"/>
        <v>0</v>
      </c>
      <c r="AY102" s="80">
        <f t="shared" ca="1" si="28"/>
        <v>0</v>
      </c>
      <c r="AZ102" s="80">
        <f t="shared" ca="1" si="28"/>
        <v>0</v>
      </c>
      <c r="BA102" s="80">
        <f t="shared" ca="1" si="28"/>
        <v>0</v>
      </c>
      <c r="BB102" s="81">
        <f t="shared" ca="1" si="28"/>
        <v>0</v>
      </c>
      <c r="BD102" s="12" t="str">
        <f t="shared" si="23"/>
        <v>0x10C4</v>
      </c>
      <c r="BE102" s="12" t="str">
        <f t="shared" ca="1" si="24"/>
        <v>0000000000000000</v>
      </c>
      <c r="BG102" s="53" t="str">
        <f t="shared" ca="1" si="25"/>
        <v>`define EE_MLX_ID1_CP 49</v>
      </c>
    </row>
    <row r="103" spans="1:59">
      <c r="A103" s="82" t="s">
        <v>369</v>
      </c>
      <c r="B103" s="82">
        <v>198</v>
      </c>
      <c r="C103" s="82">
        <v>49</v>
      </c>
      <c r="D103" s="83">
        <f ca="1">SUMIF('NVRAM map'!$AF$3:$AF$319,A103,'NVRAM map'!$AN$3:$AN$319)</f>
        <v>0</v>
      </c>
      <c r="E103" s="84" t="str">
        <f t="shared" ca="1" si="16"/>
        <v>0000</v>
      </c>
      <c r="F103" s="85" t="str">
        <f t="shared" ca="1" si="26"/>
        <v>0000</v>
      </c>
      <c r="G103" s="86" t="str">
        <f ca="1">VLOOKUP(MemoryView!A103,'NVRAM map'!$AD$3:$AE$319,2,0)</f>
        <v>EE_MLX_ID2_CP</v>
      </c>
      <c r="H103" s="87" t="str">
        <f t="array" aca="1" ref="H103" ca="1">IF(ISNA(INDEX('NVRAM map'!$AF$3:$AG$319,MATCH(1,('NVRAM map'!$AF$3:$AF$319=$A103)*('NVRAM map'!$AI$3:$AI$319&gt;=H$3)*('NVRAM map'!$AJ$3:$AJ$319&lt;=H$3),0),2)),"-",INDEX('NVRAM map'!$AF$3:$AG$319,MATCH(1,('NVRAM map'!$AF$3:$AF$319=$A103)*('NVRAM map'!$AI$3:$AI$319&gt;=H$3)*('NVRAM map'!$AJ$3:$AJ$319&lt;=H$3),0),2))</f>
        <v>MLX_ID2_CP</v>
      </c>
      <c r="I103" s="87" t="str">
        <f t="array" aca="1" ref="I103" ca="1">IF(ISNA(INDEX('NVRAM map'!$AF$3:$AG$319,MATCH(1,('NVRAM map'!$AF$3:$AF$319=$A103)*('NVRAM map'!$AI$3:$AI$319&gt;=I$3)*('NVRAM map'!$AJ$3:$AJ$319&lt;=I$3),0),2)),"-",INDEX('NVRAM map'!$AF$3:$AG$319,MATCH(1,('NVRAM map'!$AF$3:$AF$319=$A103)*('NVRAM map'!$AI$3:$AI$319&gt;=I$3)*('NVRAM map'!$AJ$3:$AJ$319&lt;=I$3),0),2))</f>
        <v>MLX_ID2_CP</v>
      </c>
      <c r="J103" s="87" t="str">
        <f t="array" aca="1" ref="J103" ca="1">IF(ISNA(INDEX('NVRAM map'!$AF$3:$AG$319,MATCH(1,('NVRAM map'!$AF$3:$AF$319=$A103)*('NVRAM map'!$AI$3:$AI$319&gt;=J$3)*('NVRAM map'!$AJ$3:$AJ$319&lt;=J$3),0),2)),"-",INDEX('NVRAM map'!$AF$3:$AG$319,MATCH(1,('NVRAM map'!$AF$3:$AF$319=$A103)*('NVRAM map'!$AI$3:$AI$319&gt;=J$3)*('NVRAM map'!$AJ$3:$AJ$319&lt;=J$3),0),2))</f>
        <v>MLX_ID2_CP</v>
      </c>
      <c r="K103" s="87" t="str">
        <f t="array" aca="1" ref="K103" ca="1">IF(ISNA(INDEX('NVRAM map'!$AF$3:$AG$319,MATCH(1,('NVRAM map'!$AF$3:$AF$319=$A103)*('NVRAM map'!$AI$3:$AI$319&gt;=K$3)*('NVRAM map'!$AJ$3:$AJ$319&lt;=K$3),0),2)),"-",INDEX('NVRAM map'!$AF$3:$AG$319,MATCH(1,('NVRAM map'!$AF$3:$AF$319=$A103)*('NVRAM map'!$AI$3:$AI$319&gt;=K$3)*('NVRAM map'!$AJ$3:$AJ$319&lt;=K$3),0),2))</f>
        <v>MLX_ID2_CP</v>
      </c>
      <c r="L103" s="87" t="str">
        <f t="array" aca="1" ref="L103" ca="1">IF(ISNA(INDEX('NVRAM map'!$AF$3:$AG$319,MATCH(1,('NVRAM map'!$AF$3:$AF$319=$A103)*('NVRAM map'!$AI$3:$AI$319&gt;=L$3)*('NVRAM map'!$AJ$3:$AJ$319&lt;=L$3),0),2)),"-",INDEX('NVRAM map'!$AF$3:$AG$319,MATCH(1,('NVRAM map'!$AF$3:$AF$319=$A103)*('NVRAM map'!$AI$3:$AI$319&gt;=L$3)*('NVRAM map'!$AJ$3:$AJ$319&lt;=L$3),0),2))</f>
        <v>MLX_ID2_CP</v>
      </c>
      <c r="M103" s="87" t="str">
        <f t="array" aca="1" ref="M103" ca="1">IF(ISNA(INDEX('NVRAM map'!$AF$3:$AG$319,MATCH(1,('NVRAM map'!$AF$3:$AF$319=$A103)*('NVRAM map'!$AI$3:$AI$319&gt;=M$3)*('NVRAM map'!$AJ$3:$AJ$319&lt;=M$3),0),2)),"-",INDEX('NVRAM map'!$AF$3:$AG$319,MATCH(1,('NVRAM map'!$AF$3:$AF$319=$A103)*('NVRAM map'!$AI$3:$AI$319&gt;=M$3)*('NVRAM map'!$AJ$3:$AJ$319&lt;=M$3),0),2))</f>
        <v>MLX_ID2_CP</v>
      </c>
      <c r="N103" s="87" t="str">
        <f t="array" aca="1" ref="N103" ca="1">IF(ISNA(INDEX('NVRAM map'!$AF$3:$AG$319,MATCH(1,('NVRAM map'!$AF$3:$AF$319=$A103)*('NVRAM map'!$AI$3:$AI$319&gt;=N$3)*('NVRAM map'!$AJ$3:$AJ$319&lt;=N$3),0),2)),"-",INDEX('NVRAM map'!$AF$3:$AG$319,MATCH(1,('NVRAM map'!$AF$3:$AF$319=$A103)*('NVRAM map'!$AI$3:$AI$319&gt;=N$3)*('NVRAM map'!$AJ$3:$AJ$319&lt;=N$3),0),2))</f>
        <v>MLX_ID2_CP</v>
      </c>
      <c r="O103" s="87" t="str">
        <f t="array" aca="1" ref="O103" ca="1">IF(ISNA(INDEX('NVRAM map'!$AF$3:$AG$319,MATCH(1,('NVRAM map'!$AF$3:$AF$319=$A103)*('NVRAM map'!$AI$3:$AI$319&gt;=O$3)*('NVRAM map'!$AJ$3:$AJ$319&lt;=O$3),0),2)),"-",INDEX('NVRAM map'!$AF$3:$AG$319,MATCH(1,('NVRAM map'!$AF$3:$AF$319=$A103)*('NVRAM map'!$AI$3:$AI$319&gt;=O$3)*('NVRAM map'!$AJ$3:$AJ$319&lt;=O$3),0),2))</f>
        <v>MLX_ID2_CP</v>
      </c>
      <c r="P103" s="87" t="str">
        <f t="array" aca="1" ref="P103" ca="1">IF(ISNA(INDEX('NVRAM map'!$AF$3:$AG$319,MATCH(1,('NVRAM map'!$AF$3:$AF$319=$A103)*('NVRAM map'!$AI$3:$AI$319&gt;=P$3)*('NVRAM map'!$AJ$3:$AJ$319&lt;=P$3),0),2)),"-",INDEX('NVRAM map'!$AF$3:$AG$319,MATCH(1,('NVRAM map'!$AF$3:$AF$319=$A103)*('NVRAM map'!$AI$3:$AI$319&gt;=P$3)*('NVRAM map'!$AJ$3:$AJ$319&lt;=P$3),0),2))</f>
        <v>MLX_ID2_CP</v>
      </c>
      <c r="Q103" s="87" t="str">
        <f t="array" aca="1" ref="Q103" ca="1">IF(ISNA(INDEX('NVRAM map'!$AF$3:$AG$319,MATCH(1,('NVRAM map'!$AF$3:$AF$319=$A103)*('NVRAM map'!$AI$3:$AI$319&gt;=Q$3)*('NVRAM map'!$AJ$3:$AJ$319&lt;=Q$3),0),2)),"-",INDEX('NVRAM map'!$AF$3:$AG$319,MATCH(1,('NVRAM map'!$AF$3:$AF$319=$A103)*('NVRAM map'!$AI$3:$AI$319&gt;=Q$3)*('NVRAM map'!$AJ$3:$AJ$319&lt;=Q$3),0),2))</f>
        <v>MLX_ID2_CP</v>
      </c>
      <c r="R103" s="87" t="str">
        <f t="array" aca="1" ref="R103" ca="1">IF(ISNA(INDEX('NVRAM map'!$AF$3:$AG$319,MATCH(1,('NVRAM map'!$AF$3:$AF$319=$A103)*('NVRAM map'!$AI$3:$AI$319&gt;=R$3)*('NVRAM map'!$AJ$3:$AJ$319&lt;=R$3),0),2)),"-",INDEX('NVRAM map'!$AF$3:$AG$319,MATCH(1,('NVRAM map'!$AF$3:$AF$319=$A103)*('NVRAM map'!$AI$3:$AI$319&gt;=R$3)*('NVRAM map'!$AJ$3:$AJ$319&lt;=R$3),0),2))</f>
        <v>MLX_ID2_CP</v>
      </c>
      <c r="S103" s="87" t="str">
        <f t="array" aca="1" ref="S103" ca="1">IF(ISNA(INDEX('NVRAM map'!$AF$3:$AG$319,MATCH(1,('NVRAM map'!$AF$3:$AF$319=$A103)*('NVRAM map'!$AI$3:$AI$319&gt;=S$3)*('NVRAM map'!$AJ$3:$AJ$319&lt;=S$3),0),2)),"-",INDEX('NVRAM map'!$AF$3:$AG$319,MATCH(1,('NVRAM map'!$AF$3:$AF$319=$A103)*('NVRAM map'!$AI$3:$AI$319&gt;=S$3)*('NVRAM map'!$AJ$3:$AJ$319&lt;=S$3),0),2))</f>
        <v>MLX_ID2_CP</v>
      </c>
      <c r="T103" s="87" t="str">
        <f t="array" aca="1" ref="T103" ca="1">IF(ISNA(INDEX('NVRAM map'!$AF$3:$AG$319,MATCH(1,('NVRAM map'!$AF$3:$AF$319=$A103)*('NVRAM map'!$AI$3:$AI$319&gt;=T$3)*('NVRAM map'!$AJ$3:$AJ$319&lt;=T$3),0),2)),"-",INDEX('NVRAM map'!$AF$3:$AG$319,MATCH(1,('NVRAM map'!$AF$3:$AF$319=$A103)*('NVRAM map'!$AI$3:$AI$319&gt;=T$3)*('NVRAM map'!$AJ$3:$AJ$319&lt;=T$3),0),2))</f>
        <v>MLX_ID2_CP</v>
      </c>
      <c r="U103" s="87" t="str">
        <f t="array" aca="1" ref="U103" ca="1">IF(ISNA(INDEX('NVRAM map'!$AF$3:$AG$319,MATCH(1,('NVRAM map'!$AF$3:$AF$319=$A103)*('NVRAM map'!$AI$3:$AI$319&gt;=U$3)*('NVRAM map'!$AJ$3:$AJ$319&lt;=U$3),0),2)),"-",INDEX('NVRAM map'!$AF$3:$AG$319,MATCH(1,('NVRAM map'!$AF$3:$AF$319=$A103)*('NVRAM map'!$AI$3:$AI$319&gt;=U$3)*('NVRAM map'!$AJ$3:$AJ$319&lt;=U$3),0),2))</f>
        <v>MLX_ID2_CP</v>
      </c>
      <c r="V103" s="87" t="str">
        <f t="array" aca="1" ref="V103" ca="1">IF(ISNA(INDEX('NVRAM map'!$AF$3:$AG$319,MATCH(1,('NVRAM map'!$AF$3:$AF$319=$A103)*('NVRAM map'!$AI$3:$AI$319&gt;=V$3)*('NVRAM map'!$AJ$3:$AJ$319&lt;=V$3),0),2)),"-",INDEX('NVRAM map'!$AF$3:$AG$319,MATCH(1,('NVRAM map'!$AF$3:$AF$319=$A103)*('NVRAM map'!$AI$3:$AI$319&gt;=V$3)*('NVRAM map'!$AJ$3:$AJ$319&lt;=V$3),0),2))</f>
        <v>MLX_ID2_CP</v>
      </c>
      <c r="W103" s="87" t="str">
        <f t="array" aca="1" ref="W103" ca="1">IF(ISNA(INDEX('NVRAM map'!$AF$3:$AG$319,MATCH(1,('NVRAM map'!$AF$3:$AF$319=$A103)*('NVRAM map'!$AI$3:$AI$319&gt;=W$3)*('NVRAM map'!$AJ$3:$AJ$319&lt;=W$3),0),2)),"-",INDEX('NVRAM map'!$AF$3:$AG$319,MATCH(1,('NVRAM map'!$AF$3:$AF$319=$A103)*('NVRAM map'!$AI$3:$AI$319&gt;=W$3)*('NVRAM map'!$AJ$3:$AJ$319&lt;=W$3),0),2))</f>
        <v>MLX_ID2_CP</v>
      </c>
      <c r="X103" s="88" t="str">
        <f ca="1">INDEX('NVRAM map'!$B$3:$B$319,MATCH(A103,'NVRAM map'!$E$3:$E$319,0))</f>
        <v>MLX</v>
      </c>
      <c r="AB103" s="44">
        <f t="shared" ca="1" si="17"/>
        <v>0</v>
      </c>
      <c r="AC103" s="12" t="b">
        <f ca="1">COUNTIF('NVRAM map'!$AD$3:$AE$319,A103)&lt;2</f>
        <v>1</v>
      </c>
      <c r="AD103" s="12">
        <f ca="1">SUMIF('NVRAM map'!$AF$3:$AF$319,A103,'NVRAM map'!$AK$3:$AK$319)</f>
        <v>65535</v>
      </c>
      <c r="AE103" s="12" t="str">
        <f t="shared" ca="1" si="18"/>
        <v>FFFF</v>
      </c>
      <c r="AF103" s="12" t="str">
        <f t="shared" ca="1" si="19"/>
        <v>11111111</v>
      </c>
      <c r="AG103" s="12" t="str">
        <f t="shared" ca="1" si="20"/>
        <v>11111111</v>
      </c>
      <c r="AH103" s="12">
        <f t="shared" ca="1" si="21"/>
        <v>16</v>
      </c>
      <c r="AI103" s="12">
        <f ca="1">SUMIF('NVRAM map'!$AF$3:$AF$319,A103,'NVRAM map'!$AH$3:$AH$319)</f>
        <v>16</v>
      </c>
      <c r="AJ103" s="12" t="b">
        <f t="shared" ca="1" si="22"/>
        <v>1</v>
      </c>
      <c r="AK103" s="12">
        <f ca="1">COUNTIF('NVRAM map'!$AF$3:$AF$319,A103)</f>
        <v>1</v>
      </c>
      <c r="AM103" s="89">
        <v>0</v>
      </c>
      <c r="AN103" s="80">
        <f t="shared" ca="1" si="28"/>
        <v>0</v>
      </c>
      <c r="AO103" s="80">
        <f t="shared" ca="1" si="28"/>
        <v>0</v>
      </c>
      <c r="AP103" s="80">
        <f t="shared" ca="1" si="28"/>
        <v>0</v>
      </c>
      <c r="AQ103" s="80">
        <f t="shared" ca="1" si="28"/>
        <v>0</v>
      </c>
      <c r="AR103" s="80">
        <f t="shared" ca="1" si="28"/>
        <v>0</v>
      </c>
      <c r="AS103" s="80">
        <f t="shared" ca="1" si="28"/>
        <v>0</v>
      </c>
      <c r="AT103" s="80">
        <f t="shared" ca="1" si="28"/>
        <v>0</v>
      </c>
      <c r="AU103" s="80">
        <f t="shared" ca="1" si="28"/>
        <v>0</v>
      </c>
      <c r="AV103" s="80">
        <f t="shared" ca="1" si="28"/>
        <v>0</v>
      </c>
      <c r="AW103" s="80">
        <f t="shared" ca="1" si="28"/>
        <v>0</v>
      </c>
      <c r="AX103" s="80">
        <f t="shared" ca="1" si="28"/>
        <v>0</v>
      </c>
      <c r="AY103" s="80">
        <f t="shared" ca="1" si="28"/>
        <v>0</v>
      </c>
      <c r="AZ103" s="80">
        <f t="shared" ca="1" si="28"/>
        <v>0</v>
      </c>
      <c r="BA103" s="80">
        <f t="shared" ca="1" si="28"/>
        <v>0</v>
      </c>
      <c r="BB103" s="81">
        <f t="shared" ca="1" si="28"/>
        <v>0</v>
      </c>
      <c r="BD103" s="12" t="str">
        <f t="shared" si="23"/>
        <v>0x10C6</v>
      </c>
      <c r="BE103" s="12" t="str">
        <f t="shared" ca="1" si="24"/>
        <v>0000000000000000</v>
      </c>
      <c r="BG103" s="53" t="str">
        <f t="shared" ca="1" si="25"/>
        <v>`define EE_MLX_ID2_CP 49</v>
      </c>
    </row>
    <row r="104" spans="1:59" ht="25.5">
      <c r="A104" s="82" t="s">
        <v>548</v>
      </c>
      <c r="B104" s="82">
        <v>200</v>
      </c>
      <c r="C104" s="82">
        <v>50</v>
      </c>
      <c r="D104" s="129">
        <f ca="1">SUMIF('NVRAM map'!$AF$3:$AF$319,A104,'NVRAM map'!$AN$3:$AN$319)</f>
        <v>0</v>
      </c>
      <c r="E104" s="84" t="str">
        <f t="shared" ref="E104:E107" ca="1" si="33">DEC2HEX(D104,4)</f>
        <v>0000</v>
      </c>
      <c r="F104" s="85" t="str">
        <f t="shared" ref="F104:F107" ca="1" si="34">E104</f>
        <v>0000</v>
      </c>
      <c r="G104" s="86" t="str">
        <f ca="1">VLOOKUP(MemoryView!A104,'NVRAM map'!$AD$3:$AE$319,2,0)</f>
        <v>EE_TRACEABILITY</v>
      </c>
      <c r="H104" s="87" t="str">
        <f t="array" aca="1" ref="H104" ca="1">IF(ISNA(INDEX('NVRAM map'!$AF$3:$AG$319,MATCH(1,('NVRAM map'!$AF$3:$AF$319=$A104)*('NVRAM map'!$AI$3:$AI$319&gt;=H$3)*('NVRAM map'!$AJ$3:$AJ$319&lt;=H$3),0),2)),"-",INDEX('NVRAM map'!$AF$3:$AG$319,MATCH(1,('NVRAM map'!$AF$3:$AF$319=$A104)*('NVRAM map'!$AI$3:$AI$319&gt;=H$3)*('NVRAM map'!$AJ$3:$AJ$319&lt;=H$3),0),2))</f>
        <v>TRACEABILITY</v>
      </c>
      <c r="I104" s="87" t="str">
        <f t="array" aca="1" ref="I104" ca="1">IF(ISNA(INDEX('NVRAM map'!$AF$3:$AG$319,MATCH(1,('NVRAM map'!$AF$3:$AF$319=$A104)*('NVRAM map'!$AI$3:$AI$319&gt;=I$3)*('NVRAM map'!$AJ$3:$AJ$319&lt;=I$3),0),2)),"-",INDEX('NVRAM map'!$AF$3:$AG$319,MATCH(1,('NVRAM map'!$AF$3:$AF$319=$A104)*('NVRAM map'!$AI$3:$AI$319&gt;=I$3)*('NVRAM map'!$AJ$3:$AJ$319&lt;=I$3),0),2))</f>
        <v>TRACEABILITY</v>
      </c>
      <c r="J104" s="87" t="str">
        <f t="array" aca="1" ref="J104" ca="1">IF(ISNA(INDEX('NVRAM map'!$AF$3:$AG$319,MATCH(1,('NVRAM map'!$AF$3:$AF$319=$A104)*('NVRAM map'!$AI$3:$AI$319&gt;=J$3)*('NVRAM map'!$AJ$3:$AJ$319&lt;=J$3),0),2)),"-",INDEX('NVRAM map'!$AF$3:$AG$319,MATCH(1,('NVRAM map'!$AF$3:$AF$319=$A104)*('NVRAM map'!$AI$3:$AI$319&gt;=J$3)*('NVRAM map'!$AJ$3:$AJ$319&lt;=J$3),0),2))</f>
        <v>TRACEABILITY</v>
      </c>
      <c r="K104" s="87" t="str">
        <f t="array" aca="1" ref="K104" ca="1">IF(ISNA(INDEX('NVRAM map'!$AF$3:$AG$319,MATCH(1,('NVRAM map'!$AF$3:$AF$319=$A104)*('NVRAM map'!$AI$3:$AI$319&gt;=K$3)*('NVRAM map'!$AJ$3:$AJ$319&lt;=K$3),0),2)),"-",INDEX('NVRAM map'!$AF$3:$AG$319,MATCH(1,('NVRAM map'!$AF$3:$AF$319=$A104)*('NVRAM map'!$AI$3:$AI$319&gt;=K$3)*('NVRAM map'!$AJ$3:$AJ$319&lt;=K$3),0),2))</f>
        <v>TRACEABILITY</v>
      </c>
      <c r="L104" s="87" t="str">
        <f t="array" aca="1" ref="L104" ca="1">IF(ISNA(INDEX('NVRAM map'!$AF$3:$AG$319,MATCH(1,('NVRAM map'!$AF$3:$AF$319=$A104)*('NVRAM map'!$AI$3:$AI$319&gt;=L$3)*('NVRAM map'!$AJ$3:$AJ$319&lt;=L$3),0),2)),"-",INDEX('NVRAM map'!$AF$3:$AG$319,MATCH(1,('NVRAM map'!$AF$3:$AF$319=$A104)*('NVRAM map'!$AI$3:$AI$319&gt;=L$3)*('NVRAM map'!$AJ$3:$AJ$319&lt;=L$3),0),2))</f>
        <v>TRACEABILITY</v>
      </c>
      <c r="M104" s="87" t="str">
        <f t="array" aca="1" ref="M104" ca="1">IF(ISNA(INDEX('NVRAM map'!$AF$3:$AG$319,MATCH(1,('NVRAM map'!$AF$3:$AF$319=$A104)*('NVRAM map'!$AI$3:$AI$319&gt;=M$3)*('NVRAM map'!$AJ$3:$AJ$319&lt;=M$3),0),2)),"-",INDEX('NVRAM map'!$AF$3:$AG$319,MATCH(1,('NVRAM map'!$AF$3:$AF$319=$A104)*('NVRAM map'!$AI$3:$AI$319&gt;=M$3)*('NVRAM map'!$AJ$3:$AJ$319&lt;=M$3),0),2))</f>
        <v>TRACEABILITY</v>
      </c>
      <c r="N104" s="87" t="str">
        <f t="array" aca="1" ref="N104" ca="1">IF(ISNA(INDEX('NVRAM map'!$AF$3:$AG$319,MATCH(1,('NVRAM map'!$AF$3:$AF$319=$A104)*('NVRAM map'!$AI$3:$AI$319&gt;=N$3)*('NVRAM map'!$AJ$3:$AJ$319&lt;=N$3),0),2)),"-",INDEX('NVRAM map'!$AF$3:$AG$319,MATCH(1,('NVRAM map'!$AF$3:$AF$319=$A104)*('NVRAM map'!$AI$3:$AI$319&gt;=N$3)*('NVRAM map'!$AJ$3:$AJ$319&lt;=N$3),0),2))</f>
        <v>TRACEABILITY</v>
      </c>
      <c r="O104" s="87" t="str">
        <f t="array" aca="1" ref="O104" ca="1">IF(ISNA(INDEX('NVRAM map'!$AF$3:$AG$319,MATCH(1,('NVRAM map'!$AF$3:$AF$319=$A104)*('NVRAM map'!$AI$3:$AI$319&gt;=O$3)*('NVRAM map'!$AJ$3:$AJ$319&lt;=O$3),0),2)),"-",INDEX('NVRAM map'!$AF$3:$AG$319,MATCH(1,('NVRAM map'!$AF$3:$AF$319=$A104)*('NVRAM map'!$AI$3:$AI$319&gt;=O$3)*('NVRAM map'!$AJ$3:$AJ$319&lt;=O$3),0),2))</f>
        <v>TRACEABILITY</v>
      </c>
      <c r="P104" s="87" t="str">
        <f t="array" aca="1" ref="P104" ca="1">IF(ISNA(INDEX('NVRAM map'!$AF$3:$AG$319,MATCH(1,('NVRAM map'!$AF$3:$AF$319=$A104)*('NVRAM map'!$AI$3:$AI$319&gt;=P$3)*('NVRAM map'!$AJ$3:$AJ$319&lt;=P$3),0),2)),"-",INDEX('NVRAM map'!$AF$3:$AG$319,MATCH(1,('NVRAM map'!$AF$3:$AF$319=$A104)*('NVRAM map'!$AI$3:$AI$319&gt;=P$3)*('NVRAM map'!$AJ$3:$AJ$319&lt;=P$3),0),2))</f>
        <v>TRACEABILITY</v>
      </c>
      <c r="Q104" s="87" t="str">
        <f t="array" aca="1" ref="Q104" ca="1">IF(ISNA(INDEX('NVRAM map'!$AF$3:$AG$319,MATCH(1,('NVRAM map'!$AF$3:$AF$319=$A104)*('NVRAM map'!$AI$3:$AI$319&gt;=Q$3)*('NVRAM map'!$AJ$3:$AJ$319&lt;=Q$3),0),2)),"-",INDEX('NVRAM map'!$AF$3:$AG$319,MATCH(1,('NVRAM map'!$AF$3:$AF$319=$A104)*('NVRAM map'!$AI$3:$AI$319&gt;=Q$3)*('NVRAM map'!$AJ$3:$AJ$319&lt;=Q$3),0),2))</f>
        <v>TRACEABILITY</v>
      </c>
      <c r="R104" s="87" t="str">
        <f t="array" aca="1" ref="R104" ca="1">IF(ISNA(INDEX('NVRAM map'!$AF$3:$AG$319,MATCH(1,('NVRAM map'!$AF$3:$AF$319=$A104)*('NVRAM map'!$AI$3:$AI$319&gt;=R$3)*('NVRAM map'!$AJ$3:$AJ$319&lt;=R$3),0),2)),"-",INDEX('NVRAM map'!$AF$3:$AG$319,MATCH(1,('NVRAM map'!$AF$3:$AF$319=$A104)*('NVRAM map'!$AI$3:$AI$319&gt;=R$3)*('NVRAM map'!$AJ$3:$AJ$319&lt;=R$3),0),2))</f>
        <v>TRACEABILITY</v>
      </c>
      <c r="S104" s="87" t="str">
        <f t="array" aca="1" ref="S104" ca="1">IF(ISNA(INDEX('NVRAM map'!$AF$3:$AG$319,MATCH(1,('NVRAM map'!$AF$3:$AF$319=$A104)*('NVRAM map'!$AI$3:$AI$319&gt;=S$3)*('NVRAM map'!$AJ$3:$AJ$319&lt;=S$3),0),2)),"-",INDEX('NVRAM map'!$AF$3:$AG$319,MATCH(1,('NVRAM map'!$AF$3:$AF$319=$A104)*('NVRAM map'!$AI$3:$AI$319&gt;=S$3)*('NVRAM map'!$AJ$3:$AJ$319&lt;=S$3),0),2))</f>
        <v>TRACEABILITY</v>
      </c>
      <c r="T104" s="87" t="str">
        <f t="array" aca="1" ref="T104" ca="1">IF(ISNA(INDEX('NVRAM map'!$AF$3:$AG$319,MATCH(1,('NVRAM map'!$AF$3:$AF$319=$A104)*('NVRAM map'!$AI$3:$AI$319&gt;=T$3)*('NVRAM map'!$AJ$3:$AJ$319&lt;=T$3),0),2)),"-",INDEX('NVRAM map'!$AF$3:$AG$319,MATCH(1,('NVRAM map'!$AF$3:$AF$319=$A104)*('NVRAM map'!$AI$3:$AI$319&gt;=T$3)*('NVRAM map'!$AJ$3:$AJ$319&lt;=T$3),0),2))</f>
        <v>TRACEABILITY</v>
      </c>
      <c r="U104" s="87" t="str">
        <f t="array" aca="1" ref="U104" ca="1">IF(ISNA(INDEX('NVRAM map'!$AF$3:$AG$319,MATCH(1,('NVRAM map'!$AF$3:$AF$319=$A104)*('NVRAM map'!$AI$3:$AI$319&gt;=U$3)*('NVRAM map'!$AJ$3:$AJ$319&lt;=U$3),0),2)),"-",INDEX('NVRAM map'!$AF$3:$AG$319,MATCH(1,('NVRAM map'!$AF$3:$AF$319=$A104)*('NVRAM map'!$AI$3:$AI$319&gt;=U$3)*('NVRAM map'!$AJ$3:$AJ$319&lt;=U$3),0),2))</f>
        <v>TRACEABILITY</v>
      </c>
      <c r="V104" s="87" t="str">
        <f t="array" aca="1" ref="V104" ca="1">IF(ISNA(INDEX('NVRAM map'!$AF$3:$AG$319,MATCH(1,('NVRAM map'!$AF$3:$AF$319=$A104)*('NVRAM map'!$AI$3:$AI$319&gt;=V$3)*('NVRAM map'!$AJ$3:$AJ$319&lt;=V$3),0),2)),"-",INDEX('NVRAM map'!$AF$3:$AG$319,MATCH(1,('NVRAM map'!$AF$3:$AF$319=$A104)*('NVRAM map'!$AI$3:$AI$319&gt;=V$3)*('NVRAM map'!$AJ$3:$AJ$319&lt;=V$3),0),2))</f>
        <v>TRACEABILITY</v>
      </c>
      <c r="W104" s="87" t="str">
        <f t="array" aca="1" ref="W104" ca="1">IF(ISNA(INDEX('NVRAM map'!$AF$3:$AG$319,MATCH(1,('NVRAM map'!$AF$3:$AF$319=$A104)*('NVRAM map'!$AI$3:$AI$319&gt;=W$3)*('NVRAM map'!$AJ$3:$AJ$319&lt;=W$3),0),2)),"-",INDEX('NVRAM map'!$AF$3:$AG$319,MATCH(1,('NVRAM map'!$AF$3:$AF$319=$A104)*('NVRAM map'!$AI$3:$AI$319&gt;=W$3)*('NVRAM map'!$AJ$3:$AJ$319&lt;=W$3),0),2))</f>
        <v>TRACEABILITY</v>
      </c>
      <c r="X104" s="88" t="str">
        <f ca="1">INDEX('NVRAM map'!$B$3:$B$319,MATCH(A104,'NVRAM map'!$E$3:$E$319,0))</f>
        <v>MLX_PROD</v>
      </c>
      <c r="AC104" s="12" t="b">
        <f ca="1">COUNTIF('NVRAM map'!$AD$3:$AE$319,A104)&lt;2</f>
        <v>1</v>
      </c>
      <c r="AD104" s="12">
        <f ca="1">SUMIF('NVRAM map'!$AF$3:$AF$319,A104,'NVRAM map'!$AK$3:$AK$319)</f>
        <v>65535</v>
      </c>
      <c r="AE104" s="12" t="str">
        <f t="shared" ref="AE104:AE107" ca="1" si="35">DEC2HEX(AD104,4)</f>
        <v>FFFF</v>
      </c>
      <c r="AF104" s="12" t="str">
        <f t="shared" ref="AF104:AF107" ca="1" si="36">HEX2BIN(LEFT(AE104,2),8)</f>
        <v>11111111</v>
      </c>
      <c r="AG104" s="12" t="str">
        <f t="shared" ref="AG104:AG107" ca="1" si="37">HEX2BIN(RIGHT(AE104,2),8)</f>
        <v>11111111</v>
      </c>
      <c r="AH104" s="12">
        <f t="shared" ref="AH104:AH107" ca="1" si="38">LEN(SUBSTITUTE(AF104,0,""))+LEN(SUBSTITUTE(AG104,0,""))</f>
        <v>16</v>
      </c>
      <c r="AI104" s="12">
        <f ca="1">SUMIF('NVRAM map'!$AF$3:$AF$319,A104,'NVRAM map'!$AH$3:$AH$319)</f>
        <v>16</v>
      </c>
      <c r="AJ104" s="12" t="b">
        <f t="shared" ref="AJ104:AJ107" ca="1" si="39">IF(ISNUMBER(AH104),AI104=AH104,0)</f>
        <v>1</v>
      </c>
      <c r="AK104" s="12">
        <f ca="1">COUNTIF('NVRAM map'!$AF$3:$AF$319,A104)</f>
        <v>1</v>
      </c>
      <c r="AM104" s="89">
        <v>0</v>
      </c>
      <c r="AN104" s="80">
        <f t="shared" ref="AN104:AN107" ca="1" si="40">IF(I104=H104,AM104,IF(AM104=1,0,1))</f>
        <v>0</v>
      </c>
      <c r="AO104" s="80">
        <f t="shared" ref="AO104:AO107" ca="1" si="41">IF(J104=I104,AN104,IF(AN104=1,0,1))</f>
        <v>0</v>
      </c>
      <c r="AP104" s="80">
        <f t="shared" ref="AP104:AP107" ca="1" si="42">IF(K104=J104,AO104,IF(AO104=1,0,1))</f>
        <v>0</v>
      </c>
      <c r="AQ104" s="80">
        <f t="shared" ref="AQ104:AQ107" ca="1" si="43">IF(L104=K104,AP104,IF(AP104=1,0,1))</f>
        <v>0</v>
      </c>
      <c r="AR104" s="80">
        <f t="shared" ref="AR104:AR107" ca="1" si="44">IF(M104=L104,AQ104,IF(AQ104=1,0,1))</f>
        <v>0</v>
      </c>
      <c r="AS104" s="80">
        <f t="shared" ref="AS104:AS107" ca="1" si="45">IF(N104=M104,AR104,IF(AR104=1,0,1))</f>
        <v>0</v>
      </c>
      <c r="AT104" s="80">
        <f t="shared" ref="AT104:AT107" ca="1" si="46">IF(O104=N104,AS104,IF(AS104=1,0,1))</f>
        <v>0</v>
      </c>
      <c r="AU104" s="80">
        <f t="shared" ref="AU104:AU107" ca="1" si="47">IF(P104=O104,AT104,IF(AT104=1,0,1))</f>
        <v>0</v>
      </c>
      <c r="AV104" s="80">
        <f t="shared" ref="AV104:AV107" ca="1" si="48">IF(Q104=P104,AU104,IF(AU104=1,0,1))</f>
        <v>0</v>
      </c>
      <c r="AW104" s="80">
        <f t="shared" ref="AW104:AW107" ca="1" si="49">IF(R104=Q104,AV104,IF(AV104=1,0,1))</f>
        <v>0</v>
      </c>
      <c r="AX104" s="80">
        <f t="shared" ref="AX104:AX107" ca="1" si="50">IF(S104=R104,AW104,IF(AW104=1,0,1))</f>
        <v>0</v>
      </c>
      <c r="AY104" s="80">
        <f t="shared" ref="AY104:AY107" ca="1" si="51">IF(T104=S104,AX104,IF(AX104=1,0,1))</f>
        <v>0</v>
      </c>
      <c r="AZ104" s="80">
        <f t="shared" ref="AZ104:AZ107" ca="1" si="52">IF(U104=T104,AY104,IF(AY104=1,0,1))</f>
        <v>0</v>
      </c>
      <c r="BA104" s="80">
        <f t="shared" ref="BA104:BA107" ca="1" si="53">IF(V104=U104,AZ104,IF(AZ104=1,0,1))</f>
        <v>0</v>
      </c>
      <c r="BB104" s="81">
        <f t="shared" ref="BB104:BB107" ca="1" si="54">IF(W104=V104,BA104,IF(BA104=1,0,1))</f>
        <v>0</v>
      </c>
      <c r="BD104" s="12" t="str">
        <f t="shared" ref="BD104:BD107" si="55">A104</f>
        <v>0x10C8</v>
      </c>
      <c r="BE104" s="12" t="str">
        <f t="shared" ref="BE104:BE107" ca="1" si="56">HEX2BIN(LEFT(F104,2),8)&amp;HEX2BIN(RIGHT(F104,2),8)</f>
        <v>0000000000000000</v>
      </c>
      <c r="BG104" s="53" t="str">
        <f t="shared" ref="BG104:BG107" ca="1" si="57">IF(ISNA(G104),"-",CONCATENATE("`define ",G104," ",C104))</f>
        <v>`define EE_TRACEABILITY 50</v>
      </c>
    </row>
    <row r="105" spans="1:59" ht="25.5">
      <c r="A105" s="131" t="s">
        <v>549</v>
      </c>
      <c r="B105" s="82">
        <v>202</v>
      </c>
      <c r="C105" s="82">
        <v>50</v>
      </c>
      <c r="D105" s="129">
        <f ca="1">SUMIF('NVRAM map'!$AF$3:$AF$319,A105,'NVRAM map'!$AN$3:$AN$319)</f>
        <v>0</v>
      </c>
      <c r="E105" s="84" t="str">
        <f t="shared" ca="1" si="33"/>
        <v>0000</v>
      </c>
      <c r="F105" s="85" t="str">
        <f t="shared" ca="1" si="34"/>
        <v>0000</v>
      </c>
      <c r="G105" s="86" t="str">
        <f ca="1">VLOOKUP(MemoryView!A105,'NVRAM map'!$AD$3:$AE$319,2,0)</f>
        <v>EE_MLX_ID0</v>
      </c>
      <c r="H105" s="87" t="str">
        <f t="array" aca="1" ref="H105" ca="1">IF(ISNA(INDEX('NVRAM map'!$AF$3:$AG$319,MATCH(1,('NVRAM map'!$AF$3:$AF$319=$A105)*('NVRAM map'!$AI$3:$AI$319&gt;=H$3)*('NVRAM map'!$AJ$3:$AJ$319&lt;=H$3),0),2)),"-",INDEX('NVRAM map'!$AF$3:$AG$319,MATCH(1,('NVRAM map'!$AF$3:$AF$319=$A105)*('NVRAM map'!$AI$3:$AI$319&gt;=H$3)*('NVRAM map'!$AJ$3:$AJ$319&lt;=H$3),0),2))</f>
        <v>YPOS</v>
      </c>
      <c r="I105" s="87" t="str">
        <f t="array" aca="1" ref="I105" ca="1">IF(ISNA(INDEX('NVRAM map'!$AF$3:$AG$319,MATCH(1,('NVRAM map'!$AF$3:$AF$319=$A105)*('NVRAM map'!$AI$3:$AI$319&gt;=I$3)*('NVRAM map'!$AJ$3:$AJ$319&lt;=I$3),0),2)),"-",INDEX('NVRAM map'!$AF$3:$AG$319,MATCH(1,('NVRAM map'!$AF$3:$AF$319=$A105)*('NVRAM map'!$AI$3:$AI$319&gt;=I$3)*('NVRAM map'!$AJ$3:$AJ$319&lt;=I$3),0),2))</f>
        <v>YPOS</v>
      </c>
      <c r="J105" s="87" t="str">
        <f t="array" aca="1" ref="J105" ca="1">IF(ISNA(INDEX('NVRAM map'!$AF$3:$AG$319,MATCH(1,('NVRAM map'!$AF$3:$AF$319=$A105)*('NVRAM map'!$AI$3:$AI$319&gt;=J$3)*('NVRAM map'!$AJ$3:$AJ$319&lt;=J$3),0),2)),"-",INDEX('NVRAM map'!$AF$3:$AG$319,MATCH(1,('NVRAM map'!$AF$3:$AF$319=$A105)*('NVRAM map'!$AI$3:$AI$319&gt;=J$3)*('NVRAM map'!$AJ$3:$AJ$319&lt;=J$3),0),2))</f>
        <v>YPOS</v>
      </c>
      <c r="K105" s="87" t="str">
        <f t="array" aca="1" ref="K105" ca="1">IF(ISNA(INDEX('NVRAM map'!$AF$3:$AG$319,MATCH(1,('NVRAM map'!$AF$3:$AF$319=$A105)*('NVRAM map'!$AI$3:$AI$319&gt;=K$3)*('NVRAM map'!$AJ$3:$AJ$319&lt;=K$3),0),2)),"-",INDEX('NVRAM map'!$AF$3:$AG$319,MATCH(1,('NVRAM map'!$AF$3:$AF$319=$A105)*('NVRAM map'!$AI$3:$AI$319&gt;=K$3)*('NVRAM map'!$AJ$3:$AJ$319&lt;=K$3),0),2))</f>
        <v>YPOS</v>
      </c>
      <c r="L105" s="87" t="str">
        <f t="array" aca="1" ref="L105" ca="1">IF(ISNA(INDEX('NVRAM map'!$AF$3:$AG$319,MATCH(1,('NVRAM map'!$AF$3:$AF$319=$A105)*('NVRAM map'!$AI$3:$AI$319&gt;=L$3)*('NVRAM map'!$AJ$3:$AJ$319&lt;=L$3),0),2)),"-",INDEX('NVRAM map'!$AF$3:$AG$319,MATCH(1,('NVRAM map'!$AF$3:$AF$319=$A105)*('NVRAM map'!$AI$3:$AI$319&gt;=L$3)*('NVRAM map'!$AJ$3:$AJ$319&lt;=L$3),0),2))</f>
        <v>YPOS</v>
      </c>
      <c r="M105" s="87" t="str">
        <f t="array" aca="1" ref="M105" ca="1">IF(ISNA(INDEX('NVRAM map'!$AF$3:$AG$319,MATCH(1,('NVRAM map'!$AF$3:$AF$319=$A105)*('NVRAM map'!$AI$3:$AI$319&gt;=M$3)*('NVRAM map'!$AJ$3:$AJ$319&lt;=M$3),0),2)),"-",INDEX('NVRAM map'!$AF$3:$AG$319,MATCH(1,('NVRAM map'!$AF$3:$AF$319=$A105)*('NVRAM map'!$AI$3:$AI$319&gt;=M$3)*('NVRAM map'!$AJ$3:$AJ$319&lt;=M$3),0),2))</f>
        <v>YPOS</v>
      </c>
      <c r="N105" s="87" t="str">
        <f t="array" aca="1" ref="N105" ca="1">IF(ISNA(INDEX('NVRAM map'!$AF$3:$AG$319,MATCH(1,('NVRAM map'!$AF$3:$AF$319=$A105)*('NVRAM map'!$AI$3:$AI$319&gt;=N$3)*('NVRAM map'!$AJ$3:$AJ$319&lt;=N$3),0),2)),"-",INDEX('NVRAM map'!$AF$3:$AG$319,MATCH(1,('NVRAM map'!$AF$3:$AF$319=$A105)*('NVRAM map'!$AI$3:$AI$319&gt;=N$3)*('NVRAM map'!$AJ$3:$AJ$319&lt;=N$3),0),2))</f>
        <v>YPOS</v>
      </c>
      <c r="O105" s="87" t="str">
        <f t="array" aca="1" ref="O105" ca="1">IF(ISNA(INDEX('NVRAM map'!$AF$3:$AG$319,MATCH(1,('NVRAM map'!$AF$3:$AF$319=$A105)*('NVRAM map'!$AI$3:$AI$319&gt;=O$3)*('NVRAM map'!$AJ$3:$AJ$319&lt;=O$3),0),2)),"-",INDEX('NVRAM map'!$AF$3:$AG$319,MATCH(1,('NVRAM map'!$AF$3:$AF$319=$A105)*('NVRAM map'!$AI$3:$AI$319&gt;=O$3)*('NVRAM map'!$AJ$3:$AJ$319&lt;=O$3),0),2))</f>
        <v>YPOS</v>
      </c>
      <c r="P105" s="87" t="str">
        <f t="array" aca="1" ref="P105" ca="1">IF(ISNA(INDEX('NVRAM map'!$AF$3:$AG$319,MATCH(1,('NVRAM map'!$AF$3:$AF$319=$A105)*('NVRAM map'!$AI$3:$AI$319&gt;=P$3)*('NVRAM map'!$AJ$3:$AJ$319&lt;=P$3),0),2)),"-",INDEX('NVRAM map'!$AF$3:$AG$319,MATCH(1,('NVRAM map'!$AF$3:$AF$319=$A105)*('NVRAM map'!$AI$3:$AI$319&gt;=P$3)*('NVRAM map'!$AJ$3:$AJ$319&lt;=P$3),0),2))</f>
        <v>XPOS</v>
      </c>
      <c r="Q105" s="87" t="str">
        <f t="array" aca="1" ref="Q105" ca="1">IF(ISNA(INDEX('NVRAM map'!$AF$3:$AG$319,MATCH(1,('NVRAM map'!$AF$3:$AF$319=$A105)*('NVRAM map'!$AI$3:$AI$319&gt;=Q$3)*('NVRAM map'!$AJ$3:$AJ$319&lt;=Q$3),0),2)),"-",INDEX('NVRAM map'!$AF$3:$AG$319,MATCH(1,('NVRAM map'!$AF$3:$AF$319=$A105)*('NVRAM map'!$AI$3:$AI$319&gt;=Q$3)*('NVRAM map'!$AJ$3:$AJ$319&lt;=Q$3),0),2))</f>
        <v>XPOS</v>
      </c>
      <c r="R105" s="87" t="str">
        <f t="array" aca="1" ref="R105" ca="1">IF(ISNA(INDEX('NVRAM map'!$AF$3:$AG$319,MATCH(1,('NVRAM map'!$AF$3:$AF$319=$A105)*('NVRAM map'!$AI$3:$AI$319&gt;=R$3)*('NVRAM map'!$AJ$3:$AJ$319&lt;=R$3),0),2)),"-",INDEX('NVRAM map'!$AF$3:$AG$319,MATCH(1,('NVRAM map'!$AF$3:$AF$319=$A105)*('NVRAM map'!$AI$3:$AI$319&gt;=R$3)*('NVRAM map'!$AJ$3:$AJ$319&lt;=R$3),0),2))</f>
        <v>XPOS</v>
      </c>
      <c r="S105" s="87" t="str">
        <f t="array" aca="1" ref="S105" ca="1">IF(ISNA(INDEX('NVRAM map'!$AF$3:$AG$319,MATCH(1,('NVRAM map'!$AF$3:$AF$319=$A105)*('NVRAM map'!$AI$3:$AI$319&gt;=S$3)*('NVRAM map'!$AJ$3:$AJ$319&lt;=S$3),0),2)),"-",INDEX('NVRAM map'!$AF$3:$AG$319,MATCH(1,('NVRAM map'!$AF$3:$AF$319=$A105)*('NVRAM map'!$AI$3:$AI$319&gt;=S$3)*('NVRAM map'!$AJ$3:$AJ$319&lt;=S$3),0),2))</f>
        <v>XPOS</v>
      </c>
      <c r="T105" s="87" t="str">
        <f t="array" aca="1" ref="T105" ca="1">IF(ISNA(INDEX('NVRAM map'!$AF$3:$AG$319,MATCH(1,('NVRAM map'!$AF$3:$AF$319=$A105)*('NVRAM map'!$AI$3:$AI$319&gt;=T$3)*('NVRAM map'!$AJ$3:$AJ$319&lt;=T$3),0),2)),"-",INDEX('NVRAM map'!$AF$3:$AG$319,MATCH(1,('NVRAM map'!$AF$3:$AF$319=$A105)*('NVRAM map'!$AI$3:$AI$319&gt;=T$3)*('NVRAM map'!$AJ$3:$AJ$319&lt;=T$3),0),2))</f>
        <v>XPOS</v>
      </c>
      <c r="U105" s="87" t="str">
        <f t="array" aca="1" ref="U105" ca="1">IF(ISNA(INDEX('NVRAM map'!$AF$3:$AG$319,MATCH(1,('NVRAM map'!$AF$3:$AF$319=$A105)*('NVRAM map'!$AI$3:$AI$319&gt;=U$3)*('NVRAM map'!$AJ$3:$AJ$319&lt;=U$3),0),2)),"-",INDEX('NVRAM map'!$AF$3:$AG$319,MATCH(1,('NVRAM map'!$AF$3:$AF$319=$A105)*('NVRAM map'!$AI$3:$AI$319&gt;=U$3)*('NVRAM map'!$AJ$3:$AJ$319&lt;=U$3),0),2))</f>
        <v>XPOS</v>
      </c>
      <c r="V105" s="87" t="str">
        <f t="array" aca="1" ref="V105" ca="1">IF(ISNA(INDEX('NVRAM map'!$AF$3:$AG$319,MATCH(1,('NVRAM map'!$AF$3:$AF$319=$A105)*('NVRAM map'!$AI$3:$AI$319&gt;=V$3)*('NVRAM map'!$AJ$3:$AJ$319&lt;=V$3),0),2)),"-",INDEX('NVRAM map'!$AF$3:$AG$319,MATCH(1,('NVRAM map'!$AF$3:$AF$319=$A105)*('NVRAM map'!$AI$3:$AI$319&gt;=V$3)*('NVRAM map'!$AJ$3:$AJ$319&lt;=V$3),0),2))</f>
        <v>XPOS</v>
      </c>
      <c r="W105" s="87" t="str">
        <f t="array" aca="1" ref="W105" ca="1">IF(ISNA(INDEX('NVRAM map'!$AF$3:$AG$319,MATCH(1,('NVRAM map'!$AF$3:$AF$319=$A105)*('NVRAM map'!$AI$3:$AI$319&gt;=W$3)*('NVRAM map'!$AJ$3:$AJ$319&lt;=W$3),0),2)),"-",INDEX('NVRAM map'!$AF$3:$AG$319,MATCH(1,('NVRAM map'!$AF$3:$AF$319=$A105)*('NVRAM map'!$AI$3:$AI$319&gt;=W$3)*('NVRAM map'!$AJ$3:$AJ$319&lt;=W$3),0),2))</f>
        <v>XPOS</v>
      </c>
      <c r="X105" s="88" t="str">
        <f ca="1">INDEX('NVRAM map'!$B$3:$B$319,MATCH(A105,'NVRAM map'!$E$3:$E$319,0))</f>
        <v>MLX_PROD</v>
      </c>
      <c r="AC105" s="12" t="b">
        <f ca="1">COUNTIF('NVRAM map'!$AD$3:$AE$319,A105)&lt;2</f>
        <v>1</v>
      </c>
      <c r="AD105" s="12">
        <f ca="1">SUMIF('NVRAM map'!$AF$3:$AF$319,A105,'NVRAM map'!$AK$3:$AK$319)</f>
        <v>65535</v>
      </c>
      <c r="AE105" s="12" t="str">
        <f t="shared" ca="1" si="35"/>
        <v>FFFF</v>
      </c>
      <c r="AF105" s="12" t="str">
        <f t="shared" ca="1" si="36"/>
        <v>11111111</v>
      </c>
      <c r="AG105" s="12" t="str">
        <f t="shared" ca="1" si="37"/>
        <v>11111111</v>
      </c>
      <c r="AH105" s="12">
        <f t="shared" ca="1" si="38"/>
        <v>16</v>
      </c>
      <c r="AI105" s="12">
        <f ca="1">SUMIF('NVRAM map'!$AF$3:$AF$319,A105,'NVRAM map'!$AH$3:$AH$319)</f>
        <v>16</v>
      </c>
      <c r="AJ105" s="12" t="b">
        <f t="shared" ca="1" si="39"/>
        <v>1</v>
      </c>
      <c r="AK105" s="12">
        <f ca="1">COUNTIF('NVRAM map'!$AF$3:$AF$319,A105)</f>
        <v>2</v>
      </c>
      <c r="AM105" s="89">
        <v>0</v>
      </c>
      <c r="AN105" s="80">
        <f t="shared" ca="1" si="40"/>
        <v>0</v>
      </c>
      <c r="AO105" s="80">
        <f t="shared" ca="1" si="41"/>
        <v>0</v>
      </c>
      <c r="AP105" s="80">
        <f t="shared" ca="1" si="42"/>
        <v>0</v>
      </c>
      <c r="AQ105" s="80">
        <f t="shared" ca="1" si="43"/>
        <v>0</v>
      </c>
      <c r="AR105" s="80">
        <f t="shared" ca="1" si="44"/>
        <v>0</v>
      </c>
      <c r="AS105" s="80">
        <f t="shared" ca="1" si="45"/>
        <v>0</v>
      </c>
      <c r="AT105" s="80">
        <f t="shared" ca="1" si="46"/>
        <v>0</v>
      </c>
      <c r="AU105" s="80">
        <f t="shared" ca="1" si="47"/>
        <v>1</v>
      </c>
      <c r="AV105" s="80">
        <f t="shared" ca="1" si="48"/>
        <v>1</v>
      </c>
      <c r="AW105" s="80">
        <f t="shared" ca="1" si="49"/>
        <v>1</v>
      </c>
      <c r="AX105" s="80">
        <f t="shared" ca="1" si="50"/>
        <v>1</v>
      </c>
      <c r="AY105" s="80">
        <f t="shared" ca="1" si="51"/>
        <v>1</v>
      </c>
      <c r="AZ105" s="80">
        <f t="shared" ca="1" si="52"/>
        <v>1</v>
      </c>
      <c r="BA105" s="80">
        <f t="shared" ca="1" si="53"/>
        <v>1</v>
      </c>
      <c r="BB105" s="81">
        <f t="shared" ca="1" si="54"/>
        <v>1</v>
      </c>
      <c r="BD105" s="12" t="str">
        <f t="shared" si="55"/>
        <v>0x10CA</v>
      </c>
      <c r="BE105" s="12" t="str">
        <f t="shared" ca="1" si="56"/>
        <v>0000000000000000</v>
      </c>
      <c r="BG105" s="53" t="str">
        <f t="shared" ca="1" si="57"/>
        <v>`define EE_MLX_ID0 50</v>
      </c>
    </row>
    <row r="106" spans="1:59" ht="25.5">
      <c r="A106" s="131" t="s">
        <v>550</v>
      </c>
      <c r="B106" s="82">
        <v>204</v>
      </c>
      <c r="C106" s="82">
        <v>51</v>
      </c>
      <c r="D106" s="129">
        <f ca="1">SUMIF('NVRAM map'!$AF$3:$AF$319,A106,'NVRAM map'!$AN$3:$AN$319)</f>
        <v>0</v>
      </c>
      <c r="E106" s="84" t="str">
        <f t="shared" ca="1" si="33"/>
        <v>0000</v>
      </c>
      <c r="F106" s="85" t="str">
        <f t="shared" ca="1" si="34"/>
        <v>0000</v>
      </c>
      <c r="G106" s="86" t="str">
        <f ca="1">VLOOKUP(MemoryView!A106,'NVRAM map'!$AD$3:$AE$319,2,0)</f>
        <v>EE_MLX_ID1</v>
      </c>
      <c r="H106" s="87" t="str">
        <f t="array" aca="1" ref="H106" ca="1">IF(ISNA(INDEX('NVRAM map'!$AF$3:$AG$319,MATCH(1,('NVRAM map'!$AF$3:$AF$319=$A106)*('NVRAM map'!$AI$3:$AI$319&gt;=H$3)*('NVRAM map'!$AJ$3:$AJ$319&lt;=H$3),0),2)),"-",INDEX('NVRAM map'!$AF$3:$AG$319,MATCH(1,('NVRAM map'!$AF$3:$AF$319=$A106)*('NVRAM map'!$AI$3:$AI$319&gt;=H$3)*('NVRAM map'!$AJ$3:$AJ$319&lt;=H$3),0),2))</f>
        <v>LOT_LSB</v>
      </c>
      <c r="I106" s="87" t="str">
        <f t="array" aca="1" ref="I106" ca="1">IF(ISNA(INDEX('NVRAM map'!$AF$3:$AG$319,MATCH(1,('NVRAM map'!$AF$3:$AF$319=$A106)*('NVRAM map'!$AI$3:$AI$319&gt;=I$3)*('NVRAM map'!$AJ$3:$AJ$319&lt;=I$3),0),2)),"-",INDEX('NVRAM map'!$AF$3:$AG$319,MATCH(1,('NVRAM map'!$AF$3:$AF$319=$A106)*('NVRAM map'!$AI$3:$AI$319&gt;=I$3)*('NVRAM map'!$AJ$3:$AJ$319&lt;=I$3),0),2))</f>
        <v>LOT_LSB</v>
      </c>
      <c r="J106" s="87" t="str">
        <f t="array" aca="1" ref="J106" ca="1">IF(ISNA(INDEX('NVRAM map'!$AF$3:$AG$319,MATCH(1,('NVRAM map'!$AF$3:$AF$319=$A106)*('NVRAM map'!$AI$3:$AI$319&gt;=J$3)*('NVRAM map'!$AJ$3:$AJ$319&lt;=J$3),0),2)),"-",INDEX('NVRAM map'!$AF$3:$AG$319,MATCH(1,('NVRAM map'!$AF$3:$AF$319=$A106)*('NVRAM map'!$AI$3:$AI$319&gt;=J$3)*('NVRAM map'!$AJ$3:$AJ$319&lt;=J$3),0),2))</f>
        <v>LOT_LSB</v>
      </c>
      <c r="K106" s="87" t="str">
        <f t="array" aca="1" ref="K106" ca="1">IF(ISNA(INDEX('NVRAM map'!$AF$3:$AG$319,MATCH(1,('NVRAM map'!$AF$3:$AF$319=$A106)*('NVRAM map'!$AI$3:$AI$319&gt;=K$3)*('NVRAM map'!$AJ$3:$AJ$319&lt;=K$3),0),2)),"-",INDEX('NVRAM map'!$AF$3:$AG$319,MATCH(1,('NVRAM map'!$AF$3:$AF$319=$A106)*('NVRAM map'!$AI$3:$AI$319&gt;=K$3)*('NVRAM map'!$AJ$3:$AJ$319&lt;=K$3),0),2))</f>
        <v>LOT_LSB</v>
      </c>
      <c r="L106" s="87" t="str">
        <f t="array" aca="1" ref="L106" ca="1">IF(ISNA(INDEX('NVRAM map'!$AF$3:$AG$319,MATCH(1,('NVRAM map'!$AF$3:$AF$319=$A106)*('NVRAM map'!$AI$3:$AI$319&gt;=L$3)*('NVRAM map'!$AJ$3:$AJ$319&lt;=L$3),0),2)),"-",INDEX('NVRAM map'!$AF$3:$AG$319,MATCH(1,('NVRAM map'!$AF$3:$AF$319=$A106)*('NVRAM map'!$AI$3:$AI$319&gt;=L$3)*('NVRAM map'!$AJ$3:$AJ$319&lt;=L$3),0),2))</f>
        <v>LOT_LSB</v>
      </c>
      <c r="M106" s="87" t="str">
        <f t="array" aca="1" ref="M106" ca="1">IF(ISNA(INDEX('NVRAM map'!$AF$3:$AG$319,MATCH(1,('NVRAM map'!$AF$3:$AF$319=$A106)*('NVRAM map'!$AI$3:$AI$319&gt;=M$3)*('NVRAM map'!$AJ$3:$AJ$319&lt;=M$3),0),2)),"-",INDEX('NVRAM map'!$AF$3:$AG$319,MATCH(1,('NVRAM map'!$AF$3:$AF$319=$A106)*('NVRAM map'!$AI$3:$AI$319&gt;=M$3)*('NVRAM map'!$AJ$3:$AJ$319&lt;=M$3),0),2))</f>
        <v>LOT_LSB</v>
      </c>
      <c r="N106" s="87" t="str">
        <f t="array" aca="1" ref="N106" ca="1">IF(ISNA(INDEX('NVRAM map'!$AF$3:$AG$319,MATCH(1,('NVRAM map'!$AF$3:$AF$319=$A106)*('NVRAM map'!$AI$3:$AI$319&gt;=N$3)*('NVRAM map'!$AJ$3:$AJ$319&lt;=N$3),0),2)),"-",INDEX('NVRAM map'!$AF$3:$AG$319,MATCH(1,('NVRAM map'!$AF$3:$AF$319=$A106)*('NVRAM map'!$AI$3:$AI$319&gt;=N$3)*('NVRAM map'!$AJ$3:$AJ$319&lt;=N$3),0),2))</f>
        <v>LOT_LSB</v>
      </c>
      <c r="O106" s="87" t="str">
        <f t="array" aca="1" ref="O106" ca="1">IF(ISNA(INDEX('NVRAM map'!$AF$3:$AG$319,MATCH(1,('NVRAM map'!$AF$3:$AF$319=$A106)*('NVRAM map'!$AI$3:$AI$319&gt;=O$3)*('NVRAM map'!$AJ$3:$AJ$319&lt;=O$3),0),2)),"-",INDEX('NVRAM map'!$AF$3:$AG$319,MATCH(1,('NVRAM map'!$AF$3:$AF$319=$A106)*('NVRAM map'!$AI$3:$AI$319&gt;=O$3)*('NVRAM map'!$AJ$3:$AJ$319&lt;=O$3),0),2))</f>
        <v>LOT_LSB</v>
      </c>
      <c r="P106" s="87" t="str">
        <f t="array" aca="1" ref="P106" ca="1">IF(ISNA(INDEX('NVRAM map'!$AF$3:$AG$319,MATCH(1,('NVRAM map'!$AF$3:$AF$319=$A106)*('NVRAM map'!$AI$3:$AI$319&gt;=P$3)*('NVRAM map'!$AJ$3:$AJ$319&lt;=P$3),0),2)),"-",INDEX('NVRAM map'!$AF$3:$AG$319,MATCH(1,('NVRAM map'!$AF$3:$AF$319=$A106)*('NVRAM map'!$AI$3:$AI$319&gt;=P$3)*('NVRAM map'!$AJ$3:$AJ$319&lt;=P$3),0),2))</f>
        <v>LOT_LSB</v>
      </c>
      <c r="Q106" s="87" t="str">
        <f t="array" aca="1" ref="Q106" ca="1">IF(ISNA(INDEX('NVRAM map'!$AF$3:$AG$319,MATCH(1,('NVRAM map'!$AF$3:$AF$319=$A106)*('NVRAM map'!$AI$3:$AI$319&gt;=Q$3)*('NVRAM map'!$AJ$3:$AJ$319&lt;=Q$3),0),2)),"-",INDEX('NVRAM map'!$AF$3:$AG$319,MATCH(1,('NVRAM map'!$AF$3:$AF$319=$A106)*('NVRAM map'!$AI$3:$AI$319&gt;=Q$3)*('NVRAM map'!$AJ$3:$AJ$319&lt;=Q$3),0),2))</f>
        <v>LOT_LSB</v>
      </c>
      <c r="R106" s="87" t="str">
        <f t="array" aca="1" ref="R106" ca="1">IF(ISNA(INDEX('NVRAM map'!$AF$3:$AG$319,MATCH(1,('NVRAM map'!$AF$3:$AF$319=$A106)*('NVRAM map'!$AI$3:$AI$319&gt;=R$3)*('NVRAM map'!$AJ$3:$AJ$319&lt;=R$3),0),2)),"-",INDEX('NVRAM map'!$AF$3:$AG$319,MATCH(1,('NVRAM map'!$AF$3:$AF$319=$A106)*('NVRAM map'!$AI$3:$AI$319&gt;=R$3)*('NVRAM map'!$AJ$3:$AJ$319&lt;=R$3),0),2))</f>
        <v>LOT_LSB</v>
      </c>
      <c r="S106" s="87" t="str">
        <f t="array" aca="1" ref="S106" ca="1">IF(ISNA(INDEX('NVRAM map'!$AF$3:$AG$319,MATCH(1,('NVRAM map'!$AF$3:$AF$319=$A106)*('NVRAM map'!$AI$3:$AI$319&gt;=S$3)*('NVRAM map'!$AJ$3:$AJ$319&lt;=S$3),0),2)),"-",INDEX('NVRAM map'!$AF$3:$AG$319,MATCH(1,('NVRAM map'!$AF$3:$AF$319=$A106)*('NVRAM map'!$AI$3:$AI$319&gt;=S$3)*('NVRAM map'!$AJ$3:$AJ$319&lt;=S$3),0),2))</f>
        <v>WAFER</v>
      </c>
      <c r="T106" s="87" t="str">
        <f t="array" aca="1" ref="T106" ca="1">IF(ISNA(INDEX('NVRAM map'!$AF$3:$AG$319,MATCH(1,('NVRAM map'!$AF$3:$AF$319=$A106)*('NVRAM map'!$AI$3:$AI$319&gt;=T$3)*('NVRAM map'!$AJ$3:$AJ$319&lt;=T$3),0),2)),"-",INDEX('NVRAM map'!$AF$3:$AG$319,MATCH(1,('NVRAM map'!$AF$3:$AF$319=$A106)*('NVRAM map'!$AI$3:$AI$319&gt;=T$3)*('NVRAM map'!$AJ$3:$AJ$319&lt;=T$3),0),2))</f>
        <v>WAFER</v>
      </c>
      <c r="U106" s="87" t="str">
        <f t="array" aca="1" ref="U106" ca="1">IF(ISNA(INDEX('NVRAM map'!$AF$3:$AG$319,MATCH(1,('NVRAM map'!$AF$3:$AF$319=$A106)*('NVRAM map'!$AI$3:$AI$319&gt;=U$3)*('NVRAM map'!$AJ$3:$AJ$319&lt;=U$3),0),2)),"-",INDEX('NVRAM map'!$AF$3:$AG$319,MATCH(1,('NVRAM map'!$AF$3:$AF$319=$A106)*('NVRAM map'!$AI$3:$AI$319&gt;=U$3)*('NVRAM map'!$AJ$3:$AJ$319&lt;=U$3),0),2))</f>
        <v>WAFER</v>
      </c>
      <c r="V106" s="87" t="str">
        <f t="array" aca="1" ref="V106" ca="1">IF(ISNA(INDEX('NVRAM map'!$AF$3:$AG$319,MATCH(1,('NVRAM map'!$AF$3:$AF$319=$A106)*('NVRAM map'!$AI$3:$AI$319&gt;=V$3)*('NVRAM map'!$AJ$3:$AJ$319&lt;=V$3),0),2)),"-",INDEX('NVRAM map'!$AF$3:$AG$319,MATCH(1,('NVRAM map'!$AF$3:$AF$319=$A106)*('NVRAM map'!$AI$3:$AI$319&gt;=V$3)*('NVRAM map'!$AJ$3:$AJ$319&lt;=V$3),0),2))</f>
        <v>WAFER</v>
      </c>
      <c r="W106" s="87" t="str">
        <f t="array" aca="1" ref="W106" ca="1">IF(ISNA(INDEX('NVRAM map'!$AF$3:$AG$319,MATCH(1,('NVRAM map'!$AF$3:$AF$319=$A106)*('NVRAM map'!$AI$3:$AI$319&gt;=W$3)*('NVRAM map'!$AJ$3:$AJ$319&lt;=W$3),0),2)),"-",INDEX('NVRAM map'!$AF$3:$AG$319,MATCH(1,('NVRAM map'!$AF$3:$AF$319=$A106)*('NVRAM map'!$AI$3:$AI$319&gt;=W$3)*('NVRAM map'!$AJ$3:$AJ$319&lt;=W$3),0),2))</f>
        <v>WAFER</v>
      </c>
      <c r="X106" s="88" t="str">
        <f ca="1">INDEX('NVRAM map'!$B$3:$B$319,MATCH(A106,'NVRAM map'!$E$3:$E$319,0))</f>
        <v>MLX_PROD</v>
      </c>
      <c r="AC106" s="12" t="b">
        <f ca="1">COUNTIF('NVRAM map'!$AD$3:$AE$319,A106)&lt;2</f>
        <v>1</v>
      </c>
      <c r="AD106" s="12">
        <f ca="1">SUMIF('NVRAM map'!$AF$3:$AF$319,A106,'NVRAM map'!$AK$3:$AK$319)</f>
        <v>65535</v>
      </c>
      <c r="AE106" s="12" t="str">
        <f t="shared" ca="1" si="35"/>
        <v>FFFF</v>
      </c>
      <c r="AF106" s="12" t="str">
        <f t="shared" ca="1" si="36"/>
        <v>11111111</v>
      </c>
      <c r="AG106" s="12" t="str">
        <f t="shared" ca="1" si="37"/>
        <v>11111111</v>
      </c>
      <c r="AH106" s="12">
        <f t="shared" ca="1" si="38"/>
        <v>16</v>
      </c>
      <c r="AI106" s="12">
        <f ca="1">SUMIF('NVRAM map'!$AF$3:$AF$319,A106,'NVRAM map'!$AH$3:$AH$319)</f>
        <v>16</v>
      </c>
      <c r="AJ106" s="12" t="b">
        <f t="shared" ca="1" si="39"/>
        <v>1</v>
      </c>
      <c r="AK106" s="12">
        <f ca="1">COUNTIF('NVRAM map'!$AF$3:$AF$319,A106)</f>
        <v>2</v>
      </c>
      <c r="AM106" s="89">
        <v>0</v>
      </c>
      <c r="AN106" s="80">
        <f t="shared" ca="1" si="40"/>
        <v>0</v>
      </c>
      <c r="AO106" s="80">
        <f t="shared" ca="1" si="41"/>
        <v>0</v>
      </c>
      <c r="AP106" s="80">
        <f t="shared" ca="1" si="42"/>
        <v>0</v>
      </c>
      <c r="AQ106" s="80">
        <f t="shared" ca="1" si="43"/>
        <v>0</v>
      </c>
      <c r="AR106" s="80">
        <f t="shared" ca="1" si="44"/>
        <v>0</v>
      </c>
      <c r="AS106" s="80">
        <f t="shared" ca="1" si="45"/>
        <v>0</v>
      </c>
      <c r="AT106" s="80">
        <f t="shared" ca="1" si="46"/>
        <v>0</v>
      </c>
      <c r="AU106" s="80">
        <f t="shared" ca="1" si="47"/>
        <v>0</v>
      </c>
      <c r="AV106" s="80">
        <f t="shared" ca="1" si="48"/>
        <v>0</v>
      </c>
      <c r="AW106" s="80">
        <f t="shared" ca="1" si="49"/>
        <v>0</v>
      </c>
      <c r="AX106" s="80">
        <f t="shared" ca="1" si="50"/>
        <v>1</v>
      </c>
      <c r="AY106" s="80">
        <f t="shared" ca="1" si="51"/>
        <v>1</v>
      </c>
      <c r="AZ106" s="80">
        <f t="shared" ca="1" si="52"/>
        <v>1</v>
      </c>
      <c r="BA106" s="80">
        <f t="shared" ca="1" si="53"/>
        <v>1</v>
      </c>
      <c r="BB106" s="81">
        <f t="shared" ca="1" si="54"/>
        <v>1</v>
      </c>
      <c r="BD106" s="12" t="str">
        <f t="shared" si="55"/>
        <v>0x10CC</v>
      </c>
      <c r="BE106" s="12" t="str">
        <f t="shared" ca="1" si="56"/>
        <v>0000000000000000</v>
      </c>
      <c r="BG106" s="53" t="str">
        <f t="shared" ca="1" si="57"/>
        <v>`define EE_MLX_ID1 51</v>
      </c>
    </row>
    <row r="107" spans="1:59" ht="25.5">
      <c r="A107" s="131" t="s">
        <v>551</v>
      </c>
      <c r="B107" s="82">
        <v>206</v>
      </c>
      <c r="C107" s="82">
        <v>51</v>
      </c>
      <c r="D107" s="129">
        <f ca="1">SUMIF('NVRAM map'!$AF$3:$AF$319,A107,'NVRAM map'!$AN$3:$AN$319)</f>
        <v>0</v>
      </c>
      <c r="E107" s="84" t="str">
        <f t="shared" ca="1" si="33"/>
        <v>0000</v>
      </c>
      <c r="F107" s="85" t="str">
        <f t="shared" ca="1" si="34"/>
        <v>0000</v>
      </c>
      <c r="G107" s="86" t="str">
        <f ca="1">VLOOKUP(MemoryView!A107,'NVRAM map'!$AD$3:$AE$319,2,0)</f>
        <v>EE_MLX_ID2</v>
      </c>
      <c r="H107" s="87" t="str">
        <f t="array" aca="1" ref="H107" ca="1">IF(ISNA(INDEX('NVRAM map'!$AF$3:$AG$319,MATCH(1,('NVRAM map'!$AF$3:$AF$319=$A107)*('NVRAM map'!$AI$3:$AI$319&gt;=H$3)*('NVRAM map'!$AJ$3:$AJ$319&lt;=H$3),0),2)),"-",INDEX('NVRAM map'!$AF$3:$AG$319,MATCH(1,('NVRAM map'!$AF$3:$AF$319=$A107)*('NVRAM map'!$AI$3:$AI$319&gt;=H$3)*('NVRAM map'!$AJ$3:$AJ$319&lt;=H$3),0),2))</f>
        <v>CORDAT</v>
      </c>
      <c r="I107" s="87" t="str">
        <f t="array" aca="1" ref="I107" ca="1">IF(ISNA(INDEX('NVRAM map'!$AF$3:$AG$319,MATCH(1,('NVRAM map'!$AF$3:$AF$319=$A107)*('NVRAM map'!$AI$3:$AI$319&gt;=I$3)*('NVRAM map'!$AJ$3:$AJ$319&lt;=I$3),0),2)),"-",INDEX('NVRAM map'!$AF$3:$AG$319,MATCH(1,('NVRAM map'!$AF$3:$AF$319=$A107)*('NVRAM map'!$AI$3:$AI$319&gt;=I$3)*('NVRAM map'!$AJ$3:$AJ$319&lt;=I$3),0),2))</f>
        <v>CORDAT</v>
      </c>
      <c r="J107" s="87" t="str">
        <f t="array" aca="1" ref="J107" ca="1">IF(ISNA(INDEX('NVRAM map'!$AF$3:$AG$319,MATCH(1,('NVRAM map'!$AF$3:$AF$319=$A107)*('NVRAM map'!$AI$3:$AI$319&gt;=J$3)*('NVRAM map'!$AJ$3:$AJ$319&lt;=J$3),0),2)),"-",INDEX('NVRAM map'!$AF$3:$AG$319,MATCH(1,('NVRAM map'!$AF$3:$AF$319=$A107)*('NVRAM map'!$AI$3:$AI$319&gt;=J$3)*('NVRAM map'!$AJ$3:$AJ$319&lt;=J$3),0),2))</f>
        <v>CORDAT</v>
      </c>
      <c r="K107" s="87" t="str">
        <f t="array" aca="1" ref="K107" ca="1">IF(ISNA(INDEX('NVRAM map'!$AF$3:$AG$319,MATCH(1,('NVRAM map'!$AF$3:$AF$319=$A107)*('NVRAM map'!$AI$3:$AI$319&gt;=K$3)*('NVRAM map'!$AJ$3:$AJ$319&lt;=K$3),0),2)),"-",INDEX('NVRAM map'!$AF$3:$AG$319,MATCH(1,('NVRAM map'!$AF$3:$AF$319=$A107)*('NVRAM map'!$AI$3:$AI$319&gt;=K$3)*('NVRAM map'!$AJ$3:$AJ$319&lt;=K$3),0),2))</f>
        <v>CORDAT</v>
      </c>
      <c r="L107" s="87" t="str">
        <f t="array" aca="1" ref="L107" ca="1">IF(ISNA(INDEX('NVRAM map'!$AF$3:$AG$319,MATCH(1,('NVRAM map'!$AF$3:$AF$319=$A107)*('NVRAM map'!$AI$3:$AI$319&gt;=L$3)*('NVRAM map'!$AJ$3:$AJ$319&lt;=L$3),0),2)),"-",INDEX('NVRAM map'!$AF$3:$AG$319,MATCH(1,('NVRAM map'!$AF$3:$AF$319=$A107)*('NVRAM map'!$AI$3:$AI$319&gt;=L$3)*('NVRAM map'!$AJ$3:$AJ$319&lt;=L$3),0),2))</f>
        <v>CORDAT</v>
      </c>
      <c r="M107" s="87" t="str">
        <f t="array" aca="1" ref="M107" ca="1">IF(ISNA(INDEX('NVRAM map'!$AF$3:$AG$319,MATCH(1,('NVRAM map'!$AF$3:$AF$319=$A107)*('NVRAM map'!$AI$3:$AI$319&gt;=M$3)*('NVRAM map'!$AJ$3:$AJ$319&lt;=M$3),0),2)),"-",INDEX('NVRAM map'!$AF$3:$AG$319,MATCH(1,('NVRAM map'!$AF$3:$AF$319=$A107)*('NVRAM map'!$AI$3:$AI$319&gt;=M$3)*('NVRAM map'!$AJ$3:$AJ$319&lt;=M$3),0),2))</f>
        <v>CORDAT</v>
      </c>
      <c r="N107" s="87" t="str">
        <f t="array" aca="1" ref="N107" ca="1">IF(ISNA(INDEX('NVRAM map'!$AF$3:$AG$319,MATCH(1,('NVRAM map'!$AF$3:$AF$319=$A107)*('NVRAM map'!$AI$3:$AI$319&gt;=N$3)*('NVRAM map'!$AJ$3:$AJ$319&lt;=N$3),0),2)),"-",INDEX('NVRAM map'!$AF$3:$AG$319,MATCH(1,('NVRAM map'!$AF$3:$AF$319=$A107)*('NVRAM map'!$AI$3:$AI$319&gt;=N$3)*('NVRAM map'!$AJ$3:$AJ$319&lt;=N$3),0),2))</f>
        <v>FAB</v>
      </c>
      <c r="O107" s="87" t="str">
        <f t="array" aca="1" ref="O107" ca="1">IF(ISNA(INDEX('NVRAM map'!$AF$3:$AG$319,MATCH(1,('NVRAM map'!$AF$3:$AF$319=$A107)*('NVRAM map'!$AI$3:$AI$319&gt;=O$3)*('NVRAM map'!$AJ$3:$AJ$319&lt;=O$3),0),2)),"-",INDEX('NVRAM map'!$AF$3:$AG$319,MATCH(1,('NVRAM map'!$AF$3:$AF$319=$A107)*('NVRAM map'!$AI$3:$AI$319&gt;=O$3)*('NVRAM map'!$AJ$3:$AJ$319&lt;=O$3),0),2))</f>
        <v>FAB</v>
      </c>
      <c r="P107" s="87" t="str">
        <f t="array" aca="1" ref="P107" ca="1">IF(ISNA(INDEX('NVRAM map'!$AF$3:$AG$319,MATCH(1,('NVRAM map'!$AF$3:$AF$319=$A107)*('NVRAM map'!$AI$3:$AI$319&gt;=P$3)*('NVRAM map'!$AJ$3:$AJ$319&lt;=P$3),0),2)),"-",INDEX('NVRAM map'!$AF$3:$AG$319,MATCH(1,('NVRAM map'!$AF$3:$AF$319=$A107)*('NVRAM map'!$AI$3:$AI$319&gt;=P$3)*('NVRAM map'!$AJ$3:$AJ$319&lt;=P$3),0),2))</f>
        <v>FAB</v>
      </c>
      <c r="Q107" s="87" t="str">
        <f t="array" aca="1" ref="Q107" ca="1">IF(ISNA(INDEX('NVRAM map'!$AF$3:$AG$319,MATCH(1,('NVRAM map'!$AF$3:$AF$319=$A107)*('NVRAM map'!$AI$3:$AI$319&gt;=Q$3)*('NVRAM map'!$AJ$3:$AJ$319&lt;=Q$3),0),2)),"-",INDEX('NVRAM map'!$AF$3:$AG$319,MATCH(1,('NVRAM map'!$AF$3:$AF$319=$A107)*('NVRAM map'!$AI$3:$AI$319&gt;=Q$3)*('NVRAM map'!$AJ$3:$AJ$319&lt;=Q$3),0),2))</f>
        <v>FAB</v>
      </c>
      <c r="R107" s="87" t="str">
        <f t="array" aca="1" ref="R107" ca="1">IF(ISNA(INDEX('NVRAM map'!$AF$3:$AG$319,MATCH(1,('NVRAM map'!$AF$3:$AF$319=$A107)*('NVRAM map'!$AI$3:$AI$319&gt;=R$3)*('NVRAM map'!$AJ$3:$AJ$319&lt;=R$3),0),2)),"-",INDEX('NVRAM map'!$AF$3:$AG$319,MATCH(1,('NVRAM map'!$AF$3:$AF$319=$A107)*('NVRAM map'!$AI$3:$AI$319&gt;=R$3)*('NVRAM map'!$AJ$3:$AJ$319&lt;=R$3),0),2))</f>
        <v>LOT_MSB</v>
      </c>
      <c r="S107" s="87" t="str">
        <f t="array" aca="1" ref="S107" ca="1">IF(ISNA(INDEX('NVRAM map'!$AF$3:$AG$319,MATCH(1,('NVRAM map'!$AF$3:$AF$319=$A107)*('NVRAM map'!$AI$3:$AI$319&gt;=S$3)*('NVRAM map'!$AJ$3:$AJ$319&lt;=S$3),0),2)),"-",INDEX('NVRAM map'!$AF$3:$AG$319,MATCH(1,('NVRAM map'!$AF$3:$AF$319=$A107)*('NVRAM map'!$AI$3:$AI$319&gt;=S$3)*('NVRAM map'!$AJ$3:$AJ$319&lt;=S$3),0),2))</f>
        <v>LOT_MSB</v>
      </c>
      <c r="T107" s="87" t="str">
        <f t="array" aca="1" ref="T107" ca="1">IF(ISNA(INDEX('NVRAM map'!$AF$3:$AG$319,MATCH(1,('NVRAM map'!$AF$3:$AF$319=$A107)*('NVRAM map'!$AI$3:$AI$319&gt;=T$3)*('NVRAM map'!$AJ$3:$AJ$319&lt;=T$3),0),2)),"-",INDEX('NVRAM map'!$AF$3:$AG$319,MATCH(1,('NVRAM map'!$AF$3:$AF$319=$A107)*('NVRAM map'!$AI$3:$AI$319&gt;=T$3)*('NVRAM map'!$AJ$3:$AJ$319&lt;=T$3),0),2))</f>
        <v>LOT_MSB</v>
      </c>
      <c r="U107" s="87" t="str">
        <f t="array" aca="1" ref="U107" ca="1">IF(ISNA(INDEX('NVRAM map'!$AF$3:$AG$319,MATCH(1,('NVRAM map'!$AF$3:$AF$319=$A107)*('NVRAM map'!$AI$3:$AI$319&gt;=U$3)*('NVRAM map'!$AJ$3:$AJ$319&lt;=U$3),0),2)),"-",INDEX('NVRAM map'!$AF$3:$AG$319,MATCH(1,('NVRAM map'!$AF$3:$AF$319=$A107)*('NVRAM map'!$AI$3:$AI$319&gt;=U$3)*('NVRAM map'!$AJ$3:$AJ$319&lt;=U$3),0),2))</f>
        <v>LOT_MSB</v>
      </c>
      <c r="V107" s="87" t="str">
        <f t="array" aca="1" ref="V107" ca="1">IF(ISNA(INDEX('NVRAM map'!$AF$3:$AG$319,MATCH(1,('NVRAM map'!$AF$3:$AF$319=$A107)*('NVRAM map'!$AI$3:$AI$319&gt;=V$3)*('NVRAM map'!$AJ$3:$AJ$319&lt;=V$3),0),2)),"-",INDEX('NVRAM map'!$AF$3:$AG$319,MATCH(1,('NVRAM map'!$AF$3:$AF$319=$A107)*('NVRAM map'!$AI$3:$AI$319&gt;=V$3)*('NVRAM map'!$AJ$3:$AJ$319&lt;=V$3),0),2))</f>
        <v>LOT_MSB</v>
      </c>
      <c r="W107" s="87" t="str">
        <f t="array" aca="1" ref="W107" ca="1">IF(ISNA(INDEX('NVRAM map'!$AF$3:$AG$319,MATCH(1,('NVRAM map'!$AF$3:$AF$319=$A107)*('NVRAM map'!$AI$3:$AI$319&gt;=W$3)*('NVRAM map'!$AJ$3:$AJ$319&lt;=W$3),0),2)),"-",INDEX('NVRAM map'!$AF$3:$AG$319,MATCH(1,('NVRAM map'!$AF$3:$AF$319=$A107)*('NVRAM map'!$AI$3:$AI$319&gt;=W$3)*('NVRAM map'!$AJ$3:$AJ$319&lt;=W$3),0),2))</f>
        <v>LOT_MSB</v>
      </c>
      <c r="X107" s="88" t="str">
        <f ca="1">INDEX('NVRAM map'!$B$3:$B$319,MATCH(A107,'NVRAM map'!$E$3:$E$319,0))</f>
        <v>MLX_PROD</v>
      </c>
      <c r="AC107" s="12" t="b">
        <f ca="1">COUNTIF('NVRAM map'!$AD$3:$AE$319,A107)&lt;2</f>
        <v>1</v>
      </c>
      <c r="AD107" s="12">
        <f ca="1">SUMIF('NVRAM map'!$AF$3:$AF$319,A107,'NVRAM map'!$AK$3:$AK$319)</f>
        <v>65535</v>
      </c>
      <c r="AE107" s="12" t="str">
        <f t="shared" ca="1" si="35"/>
        <v>FFFF</v>
      </c>
      <c r="AF107" s="12" t="str">
        <f t="shared" ca="1" si="36"/>
        <v>11111111</v>
      </c>
      <c r="AG107" s="12" t="str">
        <f t="shared" ca="1" si="37"/>
        <v>11111111</v>
      </c>
      <c r="AH107" s="12">
        <f t="shared" ca="1" si="38"/>
        <v>16</v>
      </c>
      <c r="AI107" s="12">
        <f ca="1">SUMIF('NVRAM map'!$AF$3:$AF$319,A107,'NVRAM map'!$AH$3:$AH$319)</f>
        <v>16</v>
      </c>
      <c r="AJ107" s="12" t="b">
        <f t="shared" ca="1" si="39"/>
        <v>1</v>
      </c>
      <c r="AK107" s="12">
        <f ca="1">COUNTIF('NVRAM map'!$AF$3:$AF$319,A107)</f>
        <v>3</v>
      </c>
      <c r="AM107" s="89">
        <v>0</v>
      </c>
      <c r="AN107" s="80">
        <f t="shared" ca="1" si="40"/>
        <v>0</v>
      </c>
      <c r="AO107" s="80">
        <f t="shared" ca="1" si="41"/>
        <v>0</v>
      </c>
      <c r="AP107" s="80">
        <f t="shared" ca="1" si="42"/>
        <v>0</v>
      </c>
      <c r="AQ107" s="80">
        <f t="shared" ca="1" si="43"/>
        <v>0</v>
      </c>
      <c r="AR107" s="80">
        <f t="shared" ca="1" si="44"/>
        <v>0</v>
      </c>
      <c r="AS107" s="80">
        <f t="shared" ca="1" si="45"/>
        <v>1</v>
      </c>
      <c r="AT107" s="80">
        <f t="shared" ca="1" si="46"/>
        <v>1</v>
      </c>
      <c r="AU107" s="80">
        <f t="shared" ca="1" si="47"/>
        <v>1</v>
      </c>
      <c r="AV107" s="80">
        <f t="shared" ca="1" si="48"/>
        <v>1</v>
      </c>
      <c r="AW107" s="80">
        <f t="shared" ca="1" si="49"/>
        <v>0</v>
      </c>
      <c r="AX107" s="80">
        <f t="shared" ca="1" si="50"/>
        <v>0</v>
      </c>
      <c r="AY107" s="80">
        <f t="shared" ca="1" si="51"/>
        <v>0</v>
      </c>
      <c r="AZ107" s="80">
        <f t="shared" ca="1" si="52"/>
        <v>0</v>
      </c>
      <c r="BA107" s="80">
        <f t="shared" ca="1" si="53"/>
        <v>0</v>
      </c>
      <c r="BB107" s="81">
        <f t="shared" ca="1" si="54"/>
        <v>0</v>
      </c>
      <c r="BD107" s="12" t="str">
        <f t="shared" si="55"/>
        <v>0x10CE</v>
      </c>
      <c r="BE107" s="12" t="str">
        <f t="shared" ca="1" si="56"/>
        <v>0000000000000000</v>
      </c>
      <c r="BG107" s="53" t="str">
        <f t="shared" ca="1" si="57"/>
        <v>`define EE_MLX_ID2 51</v>
      </c>
    </row>
    <row r="108" spans="1:59">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BG108" s="45" t="s">
        <v>370</v>
      </c>
    </row>
  </sheetData>
  <mergeCells count="7">
    <mergeCell ref="AM2:BB2"/>
    <mergeCell ref="D1:E1"/>
    <mergeCell ref="A2:C2"/>
    <mergeCell ref="D2:E2"/>
    <mergeCell ref="G2:G3"/>
    <mergeCell ref="H2:W2"/>
    <mergeCell ref="X2:X3"/>
  </mergeCells>
  <conditionalFormatting sqref="AC2 AC4:AC54">
    <cfRule type="cellIs" dxfId="1634" priority="1" operator="equal">
      <formula>0</formula>
    </cfRule>
    <cfRule type="cellIs" dxfId="1633" priority="2" operator="equal">
      <formula>1</formula>
    </cfRule>
  </conditionalFormatting>
  <conditionalFormatting sqref="AJ2 AJ4:AJ54">
    <cfRule type="cellIs" dxfId="1632" priority="3" operator="equal">
      <formula>1</formula>
    </cfRule>
    <cfRule type="cellIs" dxfId="1631" priority="4" operator="equal">
      <formula>0</formula>
    </cfRule>
  </conditionalFormatting>
  <conditionalFormatting sqref="H4:W107">
    <cfRule type="expression" dxfId="1630" priority="5">
      <formula>AM4=1</formula>
    </cfRule>
    <cfRule type="expression" dxfId="1629" priority="6">
      <formula>AM4=0</formula>
    </cfRule>
  </conditionalFormatting>
  <conditionalFormatting sqref="AC64:AC107">
    <cfRule type="cellIs" dxfId="1628" priority="7" operator="equal">
      <formula>0</formula>
    </cfRule>
    <cfRule type="cellIs" dxfId="1627" priority="8" operator="equal">
      <formula>1</formula>
    </cfRule>
  </conditionalFormatting>
  <conditionalFormatting sqref="AJ64:AJ107">
    <cfRule type="cellIs" dxfId="1626" priority="9" operator="equal">
      <formula>1</formula>
    </cfRule>
    <cfRule type="cellIs" dxfId="1625" priority="10" operator="equal">
      <formula>0</formula>
    </cfRule>
  </conditionalFormatting>
  <conditionalFormatting sqref="AC55:AC63">
    <cfRule type="cellIs" dxfId="1624" priority="11" operator="equal">
      <formula>0</formula>
    </cfRule>
    <cfRule type="cellIs" dxfId="1623" priority="12" operator="equal">
      <formula>1</formula>
    </cfRule>
  </conditionalFormatting>
  <conditionalFormatting sqref="AJ55:AJ63">
    <cfRule type="cellIs" dxfId="1622" priority="13" operator="equal">
      <formula>1</formula>
    </cfRule>
    <cfRule type="cellIs" dxfId="1621" priority="14" operator="equal">
      <formula>0</formula>
    </cfRule>
  </conditionalFormatting>
  <conditionalFormatting sqref="X4:X107">
    <cfRule type="containsText" dxfId="1620" priority="15" operator="containsText" text="CS">
      <formula>NOT(ISERROR(SEARCH("CS",X4)))</formula>
    </cfRule>
    <cfRule type="containsText" dxfId="1619" priority="16" operator="containsText" text="MA-MLX">
      <formula>NOT(ISERROR(SEARCH("MA-MLX",X4)))</formula>
    </cfRule>
    <cfRule type="containsText" dxfId="1618" priority="17" operator="containsText" text="MA-CUST">
      <formula>NOT(ISERROR(SEARCH("MA-CUST",X4)))</formula>
    </cfRule>
  </conditionalFormatting>
  <pageMargins left="0.7" right="0.7" top="0.75" bottom="0.75" header="0.51180555555555496" footer="0.51180555555555496"/>
  <pageSetup paperSize="9" firstPageNumber="0"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O319"/>
  <sheetViews>
    <sheetView tabSelected="1" topLeftCell="B1" zoomScale="85" zoomScaleNormal="85" workbookViewId="0">
      <pane ySplit="2" topLeftCell="A138" activePane="bottomLeft" state="frozen"/>
      <selection pane="bottomLeft" activeCell="M3" sqref="M3"/>
    </sheetView>
  </sheetViews>
  <sheetFormatPr defaultColWidth="17.140625" defaultRowHeight="12.75"/>
  <cols>
    <col min="1" max="1" width="9.42578125" style="12" customWidth="1"/>
    <col min="2" max="2" width="11.140625" style="12" customWidth="1"/>
    <col min="3" max="3" width="25.5703125" style="12" customWidth="1"/>
    <col min="4" max="4" width="30.140625" style="12" customWidth="1"/>
    <col min="5" max="5" width="9.85546875" style="22" bestFit="1" customWidth="1"/>
    <col min="6" max="6" width="10" style="22" bestFit="1" customWidth="1"/>
    <col min="7" max="7" width="10.85546875" style="22" customWidth="1"/>
    <col min="8" max="8" width="12" style="22" customWidth="1"/>
    <col min="9" max="9" width="9.5703125" style="22" customWidth="1"/>
    <col min="10" max="10" width="10.85546875" style="22" customWidth="1"/>
    <col min="11" max="11" width="8.140625" style="22" customWidth="1"/>
    <col min="12" max="12" width="7.42578125" style="22" customWidth="1"/>
    <col min="13" max="13" width="91.140625" style="12" customWidth="1"/>
    <col min="14" max="14" width="2.140625" style="12" customWidth="1"/>
    <col min="15" max="18" width="9" style="22" customWidth="1"/>
    <col min="19" max="22" width="9" style="149" customWidth="1"/>
    <col min="23" max="23" width="2.140625" style="12" customWidth="1"/>
    <col min="24" max="24" width="11" style="22" customWidth="1"/>
    <col min="25" max="25" width="2.140625" style="12" customWidth="1"/>
    <col min="26" max="28" width="11" style="22" customWidth="1"/>
    <col min="29" max="30" width="11" style="12" customWidth="1"/>
    <col min="31" max="31" width="36.140625" style="12" customWidth="1"/>
    <col min="32" max="32" width="9.5703125" style="12" customWidth="1"/>
    <col min="33" max="33" width="36.140625" style="12" customWidth="1"/>
    <col min="34" max="36" width="4.85546875" style="12" customWidth="1"/>
    <col min="37" max="38" width="16.5703125" style="12" customWidth="1"/>
    <col min="39" max="39" width="20" style="22" customWidth="1"/>
    <col min="40" max="40" width="16.5703125" style="12" customWidth="1"/>
    <col min="41" max="42" width="22.85546875" style="22" customWidth="1"/>
    <col min="43" max="43" width="62.140625" style="12" customWidth="1"/>
    <col min="44" max="44" width="105.85546875" style="12" customWidth="1"/>
    <col min="45" max="45" width="35.42578125" style="12" customWidth="1"/>
    <col min="46" max="1015" width="17.140625" style="12"/>
    <col min="1016" max="1029" width="9.140625" style="12" customWidth="1"/>
    <col min="1030" max="16384" width="17.140625" style="2"/>
  </cols>
  <sheetData>
    <row r="1" spans="1:1029" ht="25.5" customHeight="1">
      <c r="A1" s="12" t="s">
        <v>20</v>
      </c>
      <c r="B1" s="13"/>
      <c r="C1" s="14" t="str">
        <f>"# "&amp;Contents!B4</f>
        <v># EEPROM memory map and contents for 90343</v>
      </c>
      <c r="D1" s="15" t="s">
        <v>21</v>
      </c>
      <c r="E1" s="16" t="b">
        <f>AC2</f>
        <v>1</v>
      </c>
      <c r="F1" s="177" t="s">
        <v>22</v>
      </c>
      <c r="G1" s="177"/>
      <c r="H1" s="177"/>
      <c r="I1" s="16" t="b">
        <f ca="1">MemoryView!AC2</f>
        <v>1</v>
      </c>
      <c r="J1" s="178" t="s">
        <v>23</v>
      </c>
      <c r="K1" s="178"/>
      <c r="L1" s="16" t="b">
        <f ca="1">MemoryView!AJ2</f>
        <v>1</v>
      </c>
      <c r="M1" s="17" t="str">
        <f>Contents!C30</f>
        <v>PRES_ptat_TDEV_tung_diff</v>
      </c>
      <c r="N1" s="18"/>
      <c r="O1" s="179" t="s">
        <v>24</v>
      </c>
      <c r="P1" s="179"/>
      <c r="Q1" s="179"/>
      <c r="R1" s="179"/>
      <c r="S1" s="17"/>
      <c r="T1" s="17"/>
      <c r="U1" s="17"/>
      <c r="V1" s="17"/>
      <c r="W1" s="19"/>
      <c r="X1" s="20" t="s">
        <v>25</v>
      </c>
      <c r="Y1" s="21"/>
      <c r="AM1" s="12"/>
      <c r="AO1" s="180" t="s">
        <v>26</v>
      </c>
      <c r="AP1" s="180"/>
      <c r="AR1" s="23" t="s">
        <v>27</v>
      </c>
    </row>
    <row r="2" spans="1:1029" ht="38.25">
      <c r="A2" s="24" t="s">
        <v>28</v>
      </c>
      <c r="B2" s="25" t="s">
        <v>29</v>
      </c>
      <c r="C2" s="25" t="s">
        <v>30</v>
      </c>
      <c r="D2" s="25" t="s">
        <v>31</v>
      </c>
      <c r="E2" s="25" t="s">
        <v>32</v>
      </c>
      <c r="F2" s="25" t="s">
        <v>33</v>
      </c>
      <c r="G2" s="25" t="s">
        <v>34</v>
      </c>
      <c r="H2" s="25" t="s">
        <v>35</v>
      </c>
      <c r="I2" s="26" t="s">
        <v>36</v>
      </c>
      <c r="J2" s="27" t="s">
        <v>37</v>
      </c>
      <c r="K2" s="27" t="s">
        <v>38</v>
      </c>
      <c r="L2" s="27" t="s">
        <v>39</v>
      </c>
      <c r="M2" s="25" t="s">
        <v>40</v>
      </c>
      <c r="N2" s="28" t="s">
        <v>41</v>
      </c>
      <c r="O2" s="29" t="s">
        <v>767</v>
      </c>
      <c r="P2" s="29" t="s">
        <v>657</v>
      </c>
      <c r="Q2" s="29" t="s">
        <v>658</v>
      </c>
      <c r="R2" s="29" t="s">
        <v>659</v>
      </c>
      <c r="S2" s="164" t="s">
        <v>742</v>
      </c>
      <c r="T2" s="164" t="s">
        <v>739</v>
      </c>
      <c r="U2" s="164" t="s">
        <v>762</v>
      </c>
      <c r="V2" s="164" t="s">
        <v>763</v>
      </c>
      <c r="W2" s="30" t="s">
        <v>41</v>
      </c>
      <c r="X2" s="31" t="s">
        <v>42</v>
      </c>
      <c r="Y2" s="32"/>
      <c r="AC2" s="12" t="b">
        <f>AND(AC3:AC319)</f>
        <v>1</v>
      </c>
      <c r="AD2" s="12" t="s">
        <v>43</v>
      </c>
      <c r="AE2" s="12" t="s">
        <v>44</v>
      </c>
      <c r="AF2" s="12" t="s">
        <v>45</v>
      </c>
      <c r="AG2" s="12" t="s">
        <v>46</v>
      </c>
      <c r="AH2" s="12" t="s">
        <v>47</v>
      </c>
      <c r="AI2" s="12" t="s">
        <v>48</v>
      </c>
      <c r="AJ2" s="12" t="s">
        <v>49</v>
      </c>
      <c r="AK2" s="12" t="s">
        <v>50</v>
      </c>
      <c r="AL2" s="12" t="s">
        <v>51</v>
      </c>
      <c r="AM2" s="12" t="str">
        <f>M1</f>
        <v>PRES_ptat_TDEV_tung_diff</v>
      </c>
      <c r="AN2" s="12" t="s">
        <v>52</v>
      </c>
      <c r="AO2" s="12" t="s">
        <v>53</v>
      </c>
      <c r="AP2" s="33" t="s">
        <v>54</v>
      </c>
      <c r="AQ2" s="34" t="s">
        <v>55</v>
      </c>
      <c r="AR2" s="35" t="s">
        <v>56</v>
      </c>
      <c r="AS2" s="12" t="s">
        <v>57</v>
      </c>
    </row>
    <row r="3" spans="1:1029" s="33" customFormat="1">
      <c r="A3" s="33" t="s">
        <v>20</v>
      </c>
      <c r="B3" s="36"/>
      <c r="C3" s="37" t="s">
        <v>58</v>
      </c>
      <c r="D3" s="38" t="s">
        <v>58</v>
      </c>
      <c r="E3" s="39"/>
      <c r="F3" s="39"/>
      <c r="G3" s="39"/>
      <c r="H3" s="39"/>
      <c r="I3" s="39"/>
      <c r="J3" s="40"/>
      <c r="K3" s="40"/>
      <c r="L3" s="40"/>
      <c r="M3" s="37" t="s">
        <v>59</v>
      </c>
      <c r="N3" s="41"/>
      <c r="O3" s="40"/>
      <c r="P3" s="40"/>
      <c r="Q3" s="40"/>
      <c r="R3" s="40"/>
      <c r="S3" s="162"/>
      <c r="T3" s="162"/>
      <c r="U3" s="162"/>
      <c r="V3" s="162"/>
      <c r="W3" s="42"/>
      <c r="X3" s="42"/>
      <c r="Y3" s="43"/>
      <c r="Z3" s="44"/>
      <c r="AA3" s="44"/>
      <c r="AB3" s="44"/>
      <c r="AM3" s="44"/>
      <c r="AO3" s="44"/>
      <c r="AP3" s="44"/>
      <c r="AQ3" s="45" t="s">
        <v>60</v>
      </c>
      <c r="AR3" s="46" t="s">
        <v>61</v>
      </c>
    </row>
    <row r="4" spans="1:1029">
      <c r="B4" s="47" t="s">
        <v>64</v>
      </c>
      <c r="C4" s="47" t="s">
        <v>435</v>
      </c>
      <c r="D4" s="48" t="s">
        <v>58</v>
      </c>
      <c r="E4" s="49" t="s">
        <v>62</v>
      </c>
      <c r="F4" s="49">
        <v>16</v>
      </c>
      <c r="G4" s="49">
        <v>0</v>
      </c>
      <c r="H4" s="49">
        <v>0</v>
      </c>
      <c r="I4" s="49" t="s">
        <v>58</v>
      </c>
      <c r="J4" s="50" t="str">
        <f t="shared" ref="J4:J110" si="0">IF(D4&lt;&gt;"-","["&amp;AI4&amp;":"&amp;AJ4&amp;"]","-")</f>
        <v>-</v>
      </c>
      <c r="K4" s="50">
        <f t="shared" ref="K4:K110" si="1">IF(H4,-L4-1,0)</f>
        <v>0</v>
      </c>
      <c r="L4" s="50">
        <f t="shared" ref="L4:L110" si="2">IF(H4,FLOOR((2^F4-1)/2,1),2^F4-1)</f>
        <v>65535</v>
      </c>
      <c r="M4" s="51" t="s">
        <v>436</v>
      </c>
      <c r="N4" s="28"/>
      <c r="O4" s="52"/>
      <c r="P4" s="52"/>
      <c r="Q4" s="52"/>
      <c r="R4" s="52"/>
      <c r="S4" s="140"/>
      <c r="T4" s="165"/>
      <c r="U4" s="165"/>
      <c r="V4" s="165"/>
      <c r="W4" s="28"/>
      <c r="X4" s="52">
        <f t="shared" ref="X4:X110" ca="1" si="3">IF(H4=0,AP4,    IF(AP4&lt;=2^(F4-1)-1,AP4,AP4-2^F4)  )</f>
        <v>291</v>
      </c>
      <c r="Y4" s="32"/>
      <c r="AC4" s="12">
        <f t="shared" ref="AC4:AC67" si="4">IF($AG4="-",1,COUNTIF($AG$3:$AG$319,$AG4)&lt;2)</f>
        <v>1</v>
      </c>
      <c r="AD4" s="12" t="str">
        <f t="shared" ref="AD4:AD110" si="5">IF(AND(D4="-",C4&lt;&gt;"-"),E4,"-")</f>
        <v>0x1000</v>
      </c>
      <c r="AE4" s="12" t="str">
        <f t="shared" ref="AE4:AE110" si="6">IF(D4="-",C4,"-")</f>
        <v>EE_CHECKSUM</v>
      </c>
      <c r="AF4" s="12" t="str">
        <f t="shared" ref="AF4:AF110" si="7">IF(AND(D4&lt;&gt;"-",ISTEXT(D4)),E4,"-")</f>
        <v>-</v>
      </c>
      <c r="AG4" s="12" t="str">
        <f t="shared" ref="AG4:AG110" si="8">IF(AND(D4&lt;&gt;"-",ISTEXT(D4)),D4,"-")</f>
        <v>-</v>
      </c>
      <c r="AH4" s="12" t="str">
        <f t="shared" ref="AH4:AH110" si="9">IF(D4&lt;&gt;"-",F4,"-")</f>
        <v>-</v>
      </c>
      <c r="AI4" s="12" t="str">
        <f t="shared" ref="AI4:AI110" si="10">IF(D4&lt;&gt;"-",G4+F4-1,"-")</f>
        <v>-</v>
      </c>
      <c r="AJ4" s="12" t="str">
        <f t="shared" ref="AJ4:AJ110" si="11">IF(D4&lt;&gt;"-",G4,"-")</f>
        <v>-</v>
      </c>
      <c r="AK4" s="12" t="str">
        <f t="shared" ref="AK4:AK110" si="12">IF(OR(AH4="-",AJ4="-"),AD4,(2^AH4-1)*2^AJ4)</f>
        <v>0x1000</v>
      </c>
      <c r="AL4" s="12" t="str">
        <f t="shared" ref="AL4:AL110" si="13">IF(D4="-",B4,"-")</f>
        <v>CUST</v>
      </c>
      <c r="AM4" s="22">
        <f t="shared" ref="AM4:AM67" si="14">HLOOKUP($AM$2,$N$2:$W$319,ROW()-ROW($AM$2)+1,0)</f>
        <v>0</v>
      </c>
      <c r="AN4" s="12" t="str">
        <f t="shared" ref="AN4:AN110" si="15">IF(OR(AH4="-",AJ4="-"),AD4,IF(AM4&lt;0,AM4+2^AH4,AM4)*2^AJ4)</f>
        <v>0x1000</v>
      </c>
      <c r="AO4" s="22" t="str">
        <f ca="1">IF(AF4="-",VLOOKUP(AD4,MemoryView!$A$3:$F$108,6,0),MID(VLOOKUP(AF4,MemoryView!$BD$3:$BE$108,2,0),15-AI4+1,AH4))</f>
        <v>0123</v>
      </c>
      <c r="AP4" s="22">
        <f t="shared" ref="AP4:AP110" ca="1" si="16">IF(AF4="-",HEX2DEC(AO4),IF(LEN(AO4)&gt;8,BIN2DEC(LEFT(AO4,LEN(AO4)-8))*2^8+BIN2DEC(RIGHT(AO4,8)),BIN2DEC(AO4)))</f>
        <v>291</v>
      </c>
      <c r="AQ4" s="53" t="str">
        <f t="shared" ref="AQ4:AQ110" si="17">IF(AG4&lt;&gt;"-",CONCATENATE("`EE_MNG.",AG4,".SET(",AM4,");        // [",K4,"..",L4,"]"),"-")</f>
        <v>-</v>
      </c>
      <c r="AR4" s="54" t="str">
        <f t="shared" ref="AR4:AR110" si="18">IF(AND(AD4="-",AE4="-",AF4="-",AG4="-"),"-",IF(AG4&lt;&gt;"-",CONCATENATE("EE_MEM #(`PARAM(16'h",RIGHT(AF4,4),", ",G4,", ",F4,", ",H4,")) ",AG4,"(); bit ",IF(H4=0,"unsigned [","signed ["),F4,"-1:0] ", AG4,"_V; assign ",AG4,"_V = ",AG4,".GET;"), CONCATENATE("EE_MEM #(`PARAM(16'h",RIGHT(AD4,4),", ",G4,", ",F4,", ",H4,")) ",AE4,"(); bit ",IF(H4=0,"unsigned [","signed ["),F4,"-1:0] ", AE4,"_V; assign ",AE4,"_V = ",AE4,".GET;")))</f>
        <v>EE_MEM #(`PARAM(16'h1000, 0, 16, 0)) EE_CHECKSUM(); bit unsigned [16-1:0] EE_CHECKSUM_V; assign EE_CHECKSUM_V = EE_CHECKSUM.GET;</v>
      </c>
      <c r="AS4" s="12" t="str">
        <f t="shared" ref="AS4:AS110" ca="1" si="19">IF(AG4="-",AE4,INDIRECT(ADDRESS(ROW()-1,COLUMN())))</f>
        <v>EE_CHECKSUM</v>
      </c>
    </row>
    <row r="5" spans="1:1029" ht="51">
      <c r="B5" s="55" t="s">
        <v>64</v>
      </c>
      <c r="C5" s="55" t="s">
        <v>58</v>
      </c>
      <c r="D5" s="56" t="s">
        <v>437</v>
      </c>
      <c r="E5" s="57" t="str">
        <f ca="1">INDIRECT(ADDRESS(ROW()-1,COLUMN()))</f>
        <v>0x1000</v>
      </c>
      <c r="F5" s="57">
        <v>16</v>
      </c>
      <c r="G5" s="57">
        <v>0</v>
      </c>
      <c r="H5" s="57">
        <v>0</v>
      </c>
      <c r="I5" s="57" t="s">
        <v>65</v>
      </c>
      <c r="J5" s="50" t="str">
        <f t="shared" si="0"/>
        <v>[15:0]</v>
      </c>
      <c r="K5" s="50">
        <f t="shared" si="1"/>
        <v>0</v>
      </c>
      <c r="L5" s="50">
        <f t="shared" si="2"/>
        <v>65535</v>
      </c>
      <c r="M5" s="58" t="s">
        <v>507</v>
      </c>
      <c r="N5" s="28"/>
      <c r="O5" s="124">
        <v>291</v>
      </c>
      <c r="P5" s="57">
        <f>O5</f>
        <v>291</v>
      </c>
      <c r="Q5" s="57">
        <f>O5</f>
        <v>291</v>
      </c>
      <c r="R5" s="57">
        <f>O5</f>
        <v>291</v>
      </c>
      <c r="S5" s="163">
        <f>P5</f>
        <v>291</v>
      </c>
      <c r="T5" s="163">
        <v>291</v>
      </c>
      <c r="U5" s="163">
        <f>S5</f>
        <v>291</v>
      </c>
      <c r="V5" s="163">
        <f>S5</f>
        <v>291</v>
      </c>
      <c r="W5" s="59"/>
      <c r="X5" s="57">
        <f t="shared" ca="1" si="3"/>
        <v>291</v>
      </c>
      <c r="Y5" s="32"/>
      <c r="AC5" s="12" t="b">
        <f t="shared" si="4"/>
        <v>1</v>
      </c>
      <c r="AD5" s="12" t="str">
        <f t="shared" si="5"/>
        <v>-</v>
      </c>
      <c r="AE5" s="12" t="str">
        <f t="shared" si="6"/>
        <v>-</v>
      </c>
      <c r="AF5" s="12" t="str">
        <f t="shared" ca="1" si="7"/>
        <v>0x1000</v>
      </c>
      <c r="AG5" s="12" t="str">
        <f t="shared" si="8"/>
        <v>EEPROM_CHECKSUM</v>
      </c>
      <c r="AH5" s="12">
        <f t="shared" si="9"/>
        <v>16</v>
      </c>
      <c r="AI5" s="12">
        <f t="shared" si="10"/>
        <v>15</v>
      </c>
      <c r="AJ5" s="12">
        <f t="shared" si="11"/>
        <v>0</v>
      </c>
      <c r="AK5" s="12">
        <f t="shared" si="12"/>
        <v>65535</v>
      </c>
      <c r="AL5" s="12" t="str">
        <f t="shared" si="13"/>
        <v>-</v>
      </c>
      <c r="AM5" s="22">
        <f t="shared" si="14"/>
        <v>291</v>
      </c>
      <c r="AN5" s="12">
        <f t="shared" si="15"/>
        <v>291</v>
      </c>
      <c r="AO5" s="22" t="str">
        <f ca="1">IF(AF5="-",VLOOKUP(AD5,MemoryView!$A$3:$F$108,6,0),MID(VLOOKUP(AF5,MemoryView!$BD$3:$BE$108,2,0),15-AI5+1,AH5))</f>
        <v>0000000100100011</v>
      </c>
      <c r="AP5" s="22">
        <f t="shared" ca="1" si="16"/>
        <v>291</v>
      </c>
      <c r="AQ5" s="53" t="str">
        <f t="shared" si="17"/>
        <v>`EE_MNG.EEPROM_CHECKSUM.SET(291);        // [0..65535]</v>
      </c>
      <c r="AR5" s="54" t="str">
        <f t="shared" ca="1" si="18"/>
        <v>EE_MEM #(`PARAM(16'h1000, 0, 16, 0)) EEPROM_CHECKSUM(); bit unsigned [16-1:0] EEPROM_CHECKSUM_V; assign EEPROM_CHECKSUM_V = EEPROM_CHECKSUM.GET;</v>
      </c>
      <c r="AS5" s="12" t="str">
        <f t="shared" ca="1" si="19"/>
        <v>EE_CHECKSUM</v>
      </c>
    </row>
    <row r="6" spans="1:1029">
      <c r="B6" s="47" t="str">
        <f t="shared" ref="B6:B110" ca="1" si="20">INDIRECT(ADDRESS(ROW()-1,COLUMN()))</f>
        <v>CUST</v>
      </c>
      <c r="C6" s="47" t="s">
        <v>439</v>
      </c>
      <c r="D6" s="48" t="s">
        <v>58</v>
      </c>
      <c r="E6" s="60" t="str">
        <f ca="1">"0x"&amp;DEC2HEX(HEX2DEC(RIGHT(INDIRECT(ADDRESS(ROW()-1,COLUMN())),4))+2,4)</f>
        <v>0x1002</v>
      </c>
      <c r="F6" s="49">
        <v>16</v>
      </c>
      <c r="G6" s="49">
        <v>0</v>
      </c>
      <c r="H6" s="49">
        <v>0</v>
      </c>
      <c r="I6" s="49" t="s">
        <v>58</v>
      </c>
      <c r="J6" s="50" t="str">
        <f t="shared" si="0"/>
        <v>-</v>
      </c>
      <c r="K6" s="50">
        <f t="shared" si="1"/>
        <v>0</v>
      </c>
      <c r="L6" s="50">
        <f t="shared" si="2"/>
        <v>65535</v>
      </c>
      <c r="M6" s="51" t="s">
        <v>66</v>
      </c>
      <c r="N6" s="28"/>
      <c r="O6" s="52"/>
      <c r="P6" s="52"/>
      <c r="Q6" s="52"/>
      <c r="R6" s="52"/>
      <c r="S6" s="140"/>
      <c r="T6" s="165"/>
      <c r="U6" s="165"/>
      <c r="V6" s="165"/>
      <c r="W6" s="28"/>
      <c r="X6" s="52">
        <f t="shared" ca="1" si="3"/>
        <v>18952</v>
      </c>
      <c r="Y6" s="32"/>
      <c r="AC6" s="12">
        <f t="shared" si="4"/>
        <v>1</v>
      </c>
      <c r="AD6" s="12" t="str">
        <f t="shared" ca="1" si="5"/>
        <v>0x1002</v>
      </c>
      <c r="AE6" s="12" t="str">
        <f t="shared" si="6"/>
        <v>EE_GEN_CTRL1</v>
      </c>
      <c r="AF6" s="12" t="str">
        <f t="shared" si="7"/>
        <v>-</v>
      </c>
      <c r="AG6" s="12" t="str">
        <f t="shared" si="8"/>
        <v>-</v>
      </c>
      <c r="AH6" s="12" t="str">
        <f t="shared" si="9"/>
        <v>-</v>
      </c>
      <c r="AI6" s="12" t="str">
        <f t="shared" si="10"/>
        <v>-</v>
      </c>
      <c r="AJ6" s="12" t="str">
        <f t="shared" si="11"/>
        <v>-</v>
      </c>
      <c r="AK6" s="12" t="str">
        <f t="shared" ca="1" si="12"/>
        <v>0x1002</v>
      </c>
      <c r="AL6" s="12" t="str">
        <f t="shared" ca="1" si="13"/>
        <v>CUST</v>
      </c>
      <c r="AM6" s="22">
        <f t="shared" si="14"/>
        <v>0</v>
      </c>
      <c r="AN6" s="12" t="str">
        <f t="shared" ca="1" si="15"/>
        <v>0x1002</v>
      </c>
      <c r="AO6" s="22" t="str">
        <f ca="1">IF(AF6="-",VLOOKUP(AD6,MemoryView!$A$3:$F$108,6,0),MID(VLOOKUP(AF6,MemoryView!$BD$3:$BE$108,2,0),15-AI6+1,AH6))</f>
        <v>4A08</v>
      </c>
      <c r="AP6" s="22">
        <f t="shared" ca="1" si="16"/>
        <v>18952</v>
      </c>
      <c r="AQ6" s="53" t="str">
        <f t="shared" si="17"/>
        <v>-</v>
      </c>
      <c r="AR6" s="54" t="str">
        <f t="shared" ca="1" si="18"/>
        <v>EE_MEM #(`PARAM(16'h1002, 0, 16, 0)) EE_GEN_CTRL1(); bit unsigned [16-1:0] EE_GEN_CTRL1_V; assign EE_GEN_CTRL1_V = EE_GEN_CTRL1.GET;</v>
      </c>
      <c r="AS6" s="12" t="str">
        <f t="shared" ca="1" si="19"/>
        <v>EE_GEN_CTRL1</v>
      </c>
    </row>
    <row r="7" spans="1:1029" ht="178.5">
      <c r="B7" s="55" t="str">
        <f t="shared" ca="1" si="20"/>
        <v>CUST</v>
      </c>
      <c r="C7" s="55" t="s">
        <v>58</v>
      </c>
      <c r="D7" s="56" t="s">
        <v>67</v>
      </c>
      <c r="E7" s="57" t="str">
        <f t="shared" ref="E7:E40" ca="1" si="21">INDIRECT(ADDRESS(ROW()-1,COLUMN()))</f>
        <v>0x1002</v>
      </c>
      <c r="F7" s="57">
        <v>2</v>
      </c>
      <c r="G7" s="57">
        <v>14</v>
      </c>
      <c r="H7" s="57">
        <v>0</v>
      </c>
      <c r="I7" s="57" t="s">
        <v>68</v>
      </c>
      <c r="J7" s="50" t="str">
        <f t="shared" si="0"/>
        <v>[15:14]</v>
      </c>
      <c r="K7" s="50">
        <f t="shared" si="1"/>
        <v>0</v>
      </c>
      <c r="L7" s="50">
        <f t="shared" si="2"/>
        <v>3</v>
      </c>
      <c r="M7" s="58" t="s">
        <v>754</v>
      </c>
      <c r="N7" s="28"/>
      <c r="O7" s="57">
        <v>1</v>
      </c>
      <c r="P7" s="57">
        <f t="shared" ref="P7:P19" si="22">O7</f>
        <v>1</v>
      </c>
      <c r="Q7" s="57">
        <f t="shared" ref="Q7:Q19" si="23">O7</f>
        <v>1</v>
      </c>
      <c r="R7" s="57">
        <f t="shared" ref="R7:S19" si="24">O7</f>
        <v>1</v>
      </c>
      <c r="S7" s="163">
        <f t="shared" si="24"/>
        <v>1</v>
      </c>
      <c r="T7" s="163">
        <v>1</v>
      </c>
      <c r="U7" s="163">
        <f>S7</f>
        <v>1</v>
      </c>
      <c r="V7" s="163">
        <f>S7</f>
        <v>1</v>
      </c>
      <c r="W7" s="59"/>
      <c r="X7" s="57">
        <f t="shared" ca="1" si="3"/>
        <v>1</v>
      </c>
      <c r="Y7" s="32"/>
      <c r="AC7" s="12" t="b">
        <f t="shared" si="4"/>
        <v>1</v>
      </c>
      <c r="AD7" s="12" t="str">
        <f t="shared" si="5"/>
        <v>-</v>
      </c>
      <c r="AE7" s="12" t="str">
        <f t="shared" si="6"/>
        <v>-</v>
      </c>
      <c r="AF7" s="12" t="str">
        <f t="shared" ca="1" si="7"/>
        <v>0x1002</v>
      </c>
      <c r="AG7" s="12" t="str">
        <f t="shared" si="8"/>
        <v>EE_LOCK</v>
      </c>
      <c r="AH7" s="12">
        <f t="shared" si="9"/>
        <v>2</v>
      </c>
      <c r="AI7" s="12">
        <f t="shared" si="10"/>
        <v>15</v>
      </c>
      <c r="AJ7" s="12">
        <f t="shared" si="11"/>
        <v>14</v>
      </c>
      <c r="AK7" s="12">
        <f t="shared" si="12"/>
        <v>49152</v>
      </c>
      <c r="AL7" s="12" t="str">
        <f t="shared" si="13"/>
        <v>-</v>
      </c>
      <c r="AM7" s="22">
        <f t="shared" si="14"/>
        <v>1</v>
      </c>
      <c r="AN7" s="12">
        <f t="shared" si="15"/>
        <v>16384</v>
      </c>
      <c r="AO7" s="22" t="str">
        <f ca="1">IF(AF7="-",VLOOKUP(AD7,MemoryView!$A$3:$F$108,6,0),MID(VLOOKUP(AF7,MemoryView!$BD$3:$BE$108,2,0),15-AI7+1,AH7))</f>
        <v>01</v>
      </c>
      <c r="AP7" s="22">
        <f t="shared" ca="1" si="16"/>
        <v>1</v>
      </c>
      <c r="AQ7" s="53" t="str">
        <f t="shared" si="17"/>
        <v>`EE_MNG.EE_LOCK.SET(1);        // [0..3]</v>
      </c>
      <c r="AR7" s="54" t="str">
        <f t="shared" ca="1" si="18"/>
        <v>EE_MEM #(`PARAM(16'h1002, 14, 2, 0)) EE_LOCK(); bit unsigned [2-1:0] EE_LOCK_V; assign EE_LOCK_V = EE_LOCK.GET;</v>
      </c>
      <c r="AS7" s="12" t="str">
        <f t="shared" ca="1" si="19"/>
        <v>EE_GEN_CTRL1</v>
      </c>
    </row>
    <row r="8" spans="1:1029" s="147" customFormat="1">
      <c r="A8" s="148"/>
      <c r="B8" s="155" t="str">
        <f t="shared" ca="1" si="20"/>
        <v>CUST</v>
      </c>
      <c r="C8" s="155" t="s">
        <v>58</v>
      </c>
      <c r="D8" s="156" t="s">
        <v>582</v>
      </c>
      <c r="E8" s="157" t="str">
        <f t="shared" ca="1" si="21"/>
        <v>0x1002</v>
      </c>
      <c r="F8" s="157">
        <v>1</v>
      </c>
      <c r="G8" s="157">
        <v>13</v>
      </c>
      <c r="H8" s="157">
        <v>0</v>
      </c>
      <c r="I8" s="157" t="s">
        <v>68</v>
      </c>
      <c r="J8" s="151" t="str">
        <f t="shared" ref="J8" si="25">IF(D8&lt;&gt;"-","["&amp;AI8&amp;":"&amp;AJ8&amp;"]","-")</f>
        <v>[13:13]</v>
      </c>
      <c r="K8" s="151">
        <f t="shared" ref="K8" si="26">IF(H8,-L8-1,0)</f>
        <v>0</v>
      </c>
      <c r="L8" s="151">
        <f t="shared" ref="L8" si="27">IF(H8,FLOOR((2^F8-1)/2,1),2^F8-1)</f>
        <v>1</v>
      </c>
      <c r="M8" s="58" t="s">
        <v>583</v>
      </c>
      <c r="N8" s="28"/>
      <c r="O8" s="157">
        <v>0</v>
      </c>
      <c r="P8" s="157">
        <f t="shared" ref="P8" si="28">O8</f>
        <v>0</v>
      </c>
      <c r="Q8" s="157">
        <f t="shared" ref="Q8" si="29">O8</f>
        <v>0</v>
      </c>
      <c r="R8" s="157">
        <f t="shared" ref="R8:S8" si="30">O8</f>
        <v>0</v>
      </c>
      <c r="S8" s="163">
        <f t="shared" si="30"/>
        <v>0</v>
      </c>
      <c r="T8" s="163">
        <v>0</v>
      </c>
      <c r="U8" s="163">
        <f>S8</f>
        <v>0</v>
      </c>
      <c r="V8" s="163">
        <f>S8</f>
        <v>0</v>
      </c>
      <c r="W8" s="158"/>
      <c r="X8" s="157">
        <f t="shared" ref="X8" ca="1" si="31">IF(H8=0,AP8,    IF(AP8&lt;=2^(F8-1)-1,AP8,AP8-2^F8)  )</f>
        <v>0</v>
      </c>
      <c r="Y8" s="150"/>
      <c r="Z8" s="149"/>
      <c r="AA8" s="149"/>
      <c r="AB8" s="149"/>
      <c r="AC8" s="148" t="b">
        <f t="shared" si="4"/>
        <v>1</v>
      </c>
      <c r="AD8" s="148" t="str">
        <f t="shared" ref="AD8" si="32">IF(AND(D8="-",C8&lt;&gt;"-"),E8,"-")</f>
        <v>-</v>
      </c>
      <c r="AE8" s="148" t="str">
        <f t="shared" ref="AE8" si="33">IF(D8="-",C8,"-")</f>
        <v>-</v>
      </c>
      <c r="AF8" s="148" t="str">
        <f t="shared" ref="AF8" ca="1" si="34">IF(AND(D8&lt;&gt;"-",ISTEXT(D8)),E8,"-")</f>
        <v>0x1002</v>
      </c>
      <c r="AG8" s="148" t="str">
        <f t="shared" ref="AG8" si="35">IF(AND(D8&lt;&gt;"-",ISTEXT(D8)),D8,"-")</f>
        <v>GEN_CTRL1_RESERVED</v>
      </c>
      <c r="AH8" s="148">
        <f t="shared" ref="AH8" si="36">IF(D8&lt;&gt;"-",F8,"-")</f>
        <v>1</v>
      </c>
      <c r="AI8" s="148">
        <f t="shared" ref="AI8" si="37">IF(D8&lt;&gt;"-",G8+F8-1,"-")</f>
        <v>13</v>
      </c>
      <c r="AJ8" s="148">
        <f t="shared" ref="AJ8" si="38">IF(D8&lt;&gt;"-",G8,"-")</f>
        <v>13</v>
      </c>
      <c r="AK8" s="148">
        <f t="shared" ref="AK8" si="39">IF(OR(AH8="-",AJ8="-"),AD8,(2^AH8-1)*2^AJ8)</f>
        <v>8192</v>
      </c>
      <c r="AL8" s="148" t="str">
        <f t="shared" ref="AL8" si="40">IF(D8="-",B8,"-")</f>
        <v>-</v>
      </c>
      <c r="AM8" s="149">
        <f t="shared" si="14"/>
        <v>0</v>
      </c>
      <c r="AN8" s="148">
        <f t="shared" ref="AN8" si="41">IF(OR(AH8="-",AJ8="-"),AD8,IF(AM8&lt;0,AM8+2^AH8,AM8)*2^AJ8)</f>
        <v>0</v>
      </c>
      <c r="AO8" s="149" t="str">
        <f ca="1">IF(AF8="-",VLOOKUP(AD8,MemoryView!$A$3:$F$108,6,0),MID(VLOOKUP(AF8,MemoryView!$BD$3:$BE$108,2,0),15-AI8+1,AH8))</f>
        <v>0</v>
      </c>
      <c r="AP8" s="149">
        <f t="shared" ref="AP8" ca="1" si="42">IF(AF8="-",HEX2DEC(AO8),IF(LEN(AO8)&gt;8,BIN2DEC(LEFT(AO8,LEN(AO8)-8))*2^8+BIN2DEC(RIGHT(AO8,8)),BIN2DEC(AO8)))</f>
        <v>0</v>
      </c>
      <c r="AQ8" s="153" t="str">
        <f t="shared" ref="AQ8" si="43">IF(AG8&lt;&gt;"-",CONCATENATE("`EE_MNG.",AG8,".SET(",AM8,");        // [",K8,"..",L8,"]"),"-")</f>
        <v>`EE_MNG.GEN_CTRL1_RESERVED.SET(0);        // [0..1]</v>
      </c>
      <c r="AR8" s="154" t="str">
        <f t="shared" ref="AR8" ca="1" si="44">IF(AND(AD8="-",AE8="-",AF8="-",AG8="-"),"-",IF(AG8&lt;&gt;"-",CONCATENATE("EE_MEM #(`PARAM(16'h",RIGHT(AF8,4),", ",G8,", ",F8,", ",H8,")) ",AG8,"(); bit ",IF(H8=0,"unsigned [","signed ["),F8,"-1:0] ", AG8,"_V; assign ",AG8,"_V = ",AG8,".GET;"), CONCATENATE("EE_MEM #(`PARAM(16'h",RIGHT(AD8,4),", ",G8,", ",F8,", ",H8,")) ",AE8,"(); bit ",IF(H8=0,"unsigned [","signed ["),F8,"-1:0] ", AE8,"_V; assign ",AE8,"_V = ",AE8,".GET;")))</f>
        <v>EE_MEM #(`PARAM(16'h1002, 13, 1, 0)) GEN_CTRL1_RESERVED(); bit unsigned [1-1:0] GEN_CTRL1_RESERVED_V; assign GEN_CTRL1_RESERVED_V = GEN_CTRL1_RESERVED.GET;</v>
      </c>
      <c r="AS8" s="148" t="str">
        <f t="shared" ref="AS8" ca="1" si="45">IF(AG8="-",AE8,INDIRECT(ADDRESS(ROW()-1,COLUMN())))</f>
        <v>EE_GEN_CTRL1</v>
      </c>
      <c r="AT8" s="148"/>
      <c r="AU8" s="148"/>
      <c r="AV8" s="148"/>
      <c r="AW8" s="148"/>
      <c r="AX8" s="148"/>
      <c r="AY8" s="148"/>
      <c r="AZ8" s="148"/>
      <c r="BA8" s="148"/>
      <c r="BB8" s="148"/>
      <c r="BC8" s="148"/>
      <c r="BD8" s="148"/>
      <c r="BE8" s="148"/>
      <c r="BF8" s="148"/>
      <c r="BG8" s="148"/>
      <c r="BH8" s="148"/>
      <c r="BI8" s="148"/>
      <c r="BJ8" s="148"/>
      <c r="BK8" s="148"/>
      <c r="BL8" s="148"/>
      <c r="BM8" s="148"/>
      <c r="BN8" s="148"/>
      <c r="BO8" s="148"/>
      <c r="BP8" s="148"/>
      <c r="BQ8" s="148"/>
      <c r="BR8" s="148"/>
      <c r="BS8" s="148"/>
      <c r="BT8" s="148"/>
      <c r="BU8" s="148"/>
      <c r="BV8" s="148"/>
      <c r="BW8" s="148"/>
      <c r="BX8" s="148"/>
      <c r="BY8" s="148"/>
      <c r="BZ8" s="148"/>
      <c r="CA8" s="148"/>
      <c r="CB8" s="148"/>
      <c r="CC8" s="148"/>
      <c r="CD8" s="148"/>
      <c r="CE8" s="148"/>
      <c r="CF8" s="148"/>
      <c r="CG8" s="148"/>
      <c r="CH8" s="148"/>
      <c r="CI8" s="148"/>
      <c r="CJ8" s="148"/>
      <c r="CK8" s="148"/>
      <c r="CL8" s="148"/>
      <c r="CM8" s="148"/>
      <c r="CN8" s="148"/>
      <c r="CO8" s="148"/>
      <c r="CP8" s="148"/>
      <c r="CQ8" s="148"/>
      <c r="CR8" s="148"/>
      <c r="CS8" s="148"/>
      <c r="CT8" s="148"/>
      <c r="CU8" s="148"/>
      <c r="CV8" s="148"/>
      <c r="CW8" s="148"/>
      <c r="CX8" s="148"/>
      <c r="CY8" s="148"/>
      <c r="CZ8" s="148"/>
      <c r="DA8" s="148"/>
      <c r="DB8" s="148"/>
      <c r="DC8" s="148"/>
      <c r="DD8" s="148"/>
      <c r="DE8" s="148"/>
      <c r="DF8" s="148"/>
      <c r="DG8" s="148"/>
      <c r="DH8" s="148"/>
      <c r="DI8" s="148"/>
      <c r="DJ8" s="148"/>
      <c r="DK8" s="148"/>
      <c r="DL8" s="148"/>
      <c r="DM8" s="148"/>
      <c r="DN8" s="148"/>
      <c r="DO8" s="148"/>
      <c r="DP8" s="148"/>
      <c r="DQ8" s="148"/>
      <c r="DR8" s="148"/>
      <c r="DS8" s="148"/>
      <c r="DT8" s="148"/>
      <c r="DU8" s="148"/>
      <c r="DV8" s="148"/>
      <c r="DW8" s="148"/>
      <c r="DX8" s="148"/>
      <c r="DY8" s="148"/>
      <c r="DZ8" s="148"/>
      <c r="EA8" s="148"/>
      <c r="EB8" s="148"/>
      <c r="EC8" s="148"/>
      <c r="ED8" s="148"/>
      <c r="EE8" s="148"/>
      <c r="EF8" s="148"/>
      <c r="EG8" s="148"/>
      <c r="EH8" s="148"/>
      <c r="EI8" s="148"/>
      <c r="EJ8" s="148"/>
      <c r="EK8" s="148"/>
      <c r="EL8" s="148"/>
      <c r="EM8" s="148"/>
      <c r="EN8" s="148"/>
      <c r="EO8" s="148"/>
      <c r="EP8" s="148"/>
      <c r="EQ8" s="148"/>
      <c r="ER8" s="148"/>
      <c r="ES8" s="148"/>
      <c r="ET8" s="148"/>
      <c r="EU8" s="148"/>
      <c r="EV8" s="148"/>
      <c r="EW8" s="148"/>
      <c r="EX8" s="148"/>
      <c r="EY8" s="148"/>
      <c r="EZ8" s="148"/>
      <c r="FA8" s="148"/>
      <c r="FB8" s="148"/>
      <c r="FC8" s="148"/>
      <c r="FD8" s="148"/>
      <c r="FE8" s="148"/>
      <c r="FF8" s="148"/>
      <c r="FG8" s="148"/>
      <c r="FH8" s="148"/>
      <c r="FI8" s="148"/>
      <c r="FJ8" s="148"/>
      <c r="FK8" s="148"/>
      <c r="FL8" s="148"/>
      <c r="FM8" s="148"/>
      <c r="FN8" s="148"/>
      <c r="FO8" s="148"/>
      <c r="FP8" s="148"/>
      <c r="FQ8" s="148"/>
      <c r="FR8" s="148"/>
      <c r="FS8" s="148"/>
      <c r="FT8" s="148"/>
      <c r="FU8" s="148"/>
      <c r="FV8" s="148"/>
      <c r="FW8" s="148"/>
      <c r="FX8" s="148"/>
      <c r="FY8" s="148"/>
      <c r="FZ8" s="148"/>
      <c r="GA8" s="148"/>
      <c r="GB8" s="148"/>
      <c r="GC8" s="148"/>
      <c r="GD8" s="148"/>
      <c r="GE8" s="148"/>
      <c r="GF8" s="148"/>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8"/>
      <c r="HZ8" s="148"/>
      <c r="IA8" s="148"/>
      <c r="IB8" s="148"/>
      <c r="IC8" s="148"/>
      <c r="ID8" s="148"/>
      <c r="IE8" s="148"/>
      <c r="IF8" s="148"/>
      <c r="IG8" s="148"/>
      <c r="IH8" s="148"/>
      <c r="II8" s="148"/>
      <c r="IJ8" s="148"/>
      <c r="IK8" s="148"/>
      <c r="IL8" s="148"/>
      <c r="IM8" s="148"/>
      <c r="IN8" s="148"/>
      <c r="IO8" s="148"/>
      <c r="IP8" s="148"/>
      <c r="IQ8" s="148"/>
      <c r="IR8" s="148"/>
      <c r="IS8" s="148"/>
      <c r="IT8" s="148"/>
      <c r="IU8" s="148"/>
      <c r="IV8" s="148"/>
      <c r="IW8" s="148"/>
      <c r="IX8" s="148"/>
      <c r="IY8" s="148"/>
      <c r="IZ8" s="148"/>
      <c r="JA8" s="148"/>
      <c r="JB8" s="148"/>
      <c r="JC8" s="148"/>
      <c r="JD8" s="148"/>
      <c r="JE8" s="148"/>
      <c r="JF8" s="148"/>
      <c r="JG8" s="148"/>
      <c r="JH8" s="148"/>
      <c r="JI8" s="148"/>
      <c r="JJ8" s="148"/>
      <c r="JK8" s="148"/>
      <c r="JL8" s="148"/>
      <c r="JM8" s="148"/>
      <c r="JN8" s="148"/>
      <c r="JO8" s="148"/>
      <c r="JP8" s="148"/>
      <c r="JQ8" s="148"/>
      <c r="JR8" s="148"/>
      <c r="JS8" s="148"/>
      <c r="JT8" s="148"/>
      <c r="JU8" s="148"/>
      <c r="JV8" s="148"/>
      <c r="JW8" s="148"/>
      <c r="JX8" s="148"/>
      <c r="JY8" s="148"/>
      <c r="JZ8" s="148"/>
      <c r="KA8" s="148"/>
      <c r="KB8" s="148"/>
      <c r="KC8" s="148"/>
      <c r="KD8" s="148"/>
      <c r="KE8" s="148"/>
      <c r="KF8" s="148"/>
      <c r="KG8" s="148"/>
      <c r="KH8" s="148"/>
      <c r="KI8" s="148"/>
      <c r="KJ8" s="148"/>
      <c r="KK8" s="148"/>
      <c r="KL8" s="148"/>
      <c r="KM8" s="148"/>
      <c r="KN8" s="148"/>
      <c r="KO8" s="148"/>
      <c r="KP8" s="148"/>
      <c r="KQ8" s="148"/>
      <c r="KR8" s="148"/>
      <c r="KS8" s="148"/>
      <c r="KT8" s="148"/>
      <c r="KU8" s="148"/>
      <c r="KV8" s="148"/>
      <c r="KW8" s="148"/>
      <c r="KX8" s="148"/>
      <c r="KY8" s="148"/>
      <c r="KZ8" s="148"/>
      <c r="LA8" s="148"/>
      <c r="LB8" s="148"/>
      <c r="LC8" s="148"/>
      <c r="LD8" s="148"/>
      <c r="LE8" s="148"/>
      <c r="LF8" s="148"/>
      <c r="LG8" s="148"/>
      <c r="LH8" s="148"/>
      <c r="LI8" s="148"/>
      <c r="LJ8" s="148"/>
      <c r="LK8" s="148"/>
      <c r="LL8" s="148"/>
      <c r="LM8" s="148"/>
      <c r="LN8" s="148"/>
      <c r="LO8" s="148"/>
      <c r="LP8" s="148"/>
      <c r="LQ8" s="148"/>
      <c r="LR8" s="148"/>
      <c r="LS8" s="148"/>
      <c r="LT8" s="148"/>
      <c r="LU8" s="148"/>
      <c r="LV8" s="148"/>
      <c r="LW8" s="148"/>
      <c r="LX8" s="148"/>
      <c r="LY8" s="148"/>
      <c r="LZ8" s="148"/>
      <c r="MA8" s="148"/>
      <c r="MB8" s="148"/>
      <c r="MC8" s="148"/>
      <c r="MD8" s="148"/>
      <c r="ME8" s="148"/>
      <c r="MF8" s="148"/>
      <c r="MG8" s="148"/>
      <c r="MH8" s="148"/>
      <c r="MI8" s="148"/>
      <c r="MJ8" s="148"/>
      <c r="MK8" s="148"/>
      <c r="ML8" s="148"/>
      <c r="MM8" s="148"/>
      <c r="MN8" s="148"/>
      <c r="MO8" s="148"/>
      <c r="MP8" s="148"/>
      <c r="MQ8" s="148"/>
      <c r="MR8" s="148"/>
      <c r="MS8" s="148"/>
      <c r="MT8" s="148"/>
      <c r="MU8" s="148"/>
      <c r="MV8" s="148"/>
      <c r="MW8" s="148"/>
      <c r="MX8" s="148"/>
      <c r="MY8" s="148"/>
      <c r="MZ8" s="148"/>
      <c r="NA8" s="148"/>
      <c r="NB8" s="148"/>
      <c r="NC8" s="148"/>
      <c r="ND8" s="148"/>
      <c r="NE8" s="148"/>
      <c r="NF8" s="148"/>
      <c r="NG8" s="148"/>
      <c r="NH8" s="148"/>
      <c r="NI8" s="148"/>
      <c r="NJ8" s="148"/>
      <c r="NK8" s="148"/>
      <c r="NL8" s="148"/>
      <c r="NM8" s="148"/>
      <c r="NN8" s="148"/>
      <c r="NO8" s="148"/>
      <c r="NP8" s="148"/>
      <c r="NQ8" s="148"/>
      <c r="NR8" s="148"/>
      <c r="NS8" s="148"/>
      <c r="NT8" s="148"/>
      <c r="NU8" s="148"/>
      <c r="NV8" s="148"/>
      <c r="NW8" s="148"/>
      <c r="NX8" s="148"/>
      <c r="NY8" s="148"/>
      <c r="NZ8" s="148"/>
      <c r="OA8" s="148"/>
      <c r="OB8" s="148"/>
      <c r="OC8" s="148"/>
      <c r="OD8" s="148"/>
      <c r="OE8" s="148"/>
      <c r="OF8" s="148"/>
      <c r="OG8" s="148"/>
      <c r="OH8" s="148"/>
      <c r="OI8" s="148"/>
      <c r="OJ8" s="148"/>
      <c r="OK8" s="148"/>
      <c r="OL8" s="148"/>
      <c r="OM8" s="148"/>
      <c r="ON8" s="148"/>
      <c r="OO8" s="148"/>
      <c r="OP8" s="148"/>
      <c r="OQ8" s="148"/>
      <c r="OR8" s="148"/>
      <c r="OS8" s="148"/>
      <c r="OT8" s="148"/>
      <c r="OU8" s="148"/>
      <c r="OV8" s="148"/>
      <c r="OW8" s="148"/>
      <c r="OX8" s="148"/>
      <c r="OY8" s="148"/>
      <c r="OZ8" s="148"/>
      <c r="PA8" s="148"/>
      <c r="PB8" s="148"/>
      <c r="PC8" s="148"/>
      <c r="PD8" s="148"/>
      <c r="PE8" s="148"/>
      <c r="PF8" s="148"/>
      <c r="PG8" s="148"/>
      <c r="PH8" s="148"/>
      <c r="PI8" s="148"/>
      <c r="PJ8" s="148"/>
      <c r="PK8" s="148"/>
      <c r="PL8" s="148"/>
      <c r="PM8" s="148"/>
      <c r="PN8" s="148"/>
      <c r="PO8" s="148"/>
      <c r="PP8" s="148"/>
      <c r="PQ8" s="148"/>
      <c r="PR8" s="148"/>
      <c r="PS8" s="148"/>
      <c r="PT8" s="148"/>
      <c r="PU8" s="148"/>
      <c r="PV8" s="148"/>
      <c r="PW8" s="148"/>
      <c r="PX8" s="148"/>
      <c r="PY8" s="148"/>
      <c r="PZ8" s="148"/>
      <c r="QA8" s="148"/>
      <c r="QB8" s="148"/>
      <c r="QC8" s="148"/>
      <c r="QD8" s="148"/>
      <c r="QE8" s="148"/>
      <c r="QF8" s="148"/>
      <c r="QG8" s="148"/>
      <c r="QH8" s="148"/>
      <c r="QI8" s="148"/>
      <c r="QJ8" s="148"/>
      <c r="QK8" s="148"/>
      <c r="QL8" s="148"/>
      <c r="QM8" s="148"/>
      <c r="QN8" s="148"/>
      <c r="QO8" s="148"/>
      <c r="QP8" s="148"/>
      <c r="QQ8" s="148"/>
      <c r="QR8" s="148"/>
      <c r="QS8" s="148"/>
      <c r="QT8" s="148"/>
      <c r="QU8" s="148"/>
      <c r="QV8" s="148"/>
      <c r="QW8" s="148"/>
      <c r="QX8" s="148"/>
      <c r="QY8" s="148"/>
      <c r="QZ8" s="148"/>
      <c r="RA8" s="148"/>
      <c r="RB8" s="148"/>
      <c r="RC8" s="148"/>
      <c r="RD8" s="148"/>
      <c r="RE8" s="148"/>
      <c r="RF8" s="148"/>
      <c r="RG8" s="148"/>
      <c r="RH8" s="148"/>
      <c r="RI8" s="148"/>
      <c r="RJ8" s="148"/>
      <c r="RK8" s="148"/>
      <c r="RL8" s="148"/>
      <c r="RM8" s="148"/>
      <c r="RN8" s="148"/>
      <c r="RO8" s="148"/>
      <c r="RP8" s="148"/>
      <c r="RQ8" s="148"/>
      <c r="RR8" s="148"/>
      <c r="RS8" s="148"/>
      <c r="RT8" s="148"/>
      <c r="RU8" s="148"/>
      <c r="RV8" s="148"/>
      <c r="RW8" s="148"/>
      <c r="RX8" s="148"/>
      <c r="RY8" s="148"/>
      <c r="RZ8" s="148"/>
      <c r="SA8" s="148"/>
      <c r="SB8" s="148"/>
      <c r="SC8" s="148"/>
      <c r="SD8" s="148"/>
      <c r="SE8" s="148"/>
      <c r="SF8" s="148"/>
      <c r="SG8" s="148"/>
      <c r="SH8" s="148"/>
      <c r="SI8" s="148"/>
      <c r="SJ8" s="148"/>
      <c r="SK8" s="148"/>
      <c r="SL8" s="148"/>
      <c r="SM8" s="148"/>
      <c r="SN8" s="148"/>
      <c r="SO8" s="148"/>
      <c r="SP8" s="148"/>
      <c r="SQ8" s="148"/>
      <c r="SR8" s="148"/>
      <c r="SS8" s="148"/>
      <c r="ST8" s="148"/>
      <c r="SU8" s="148"/>
      <c r="SV8" s="148"/>
      <c r="SW8" s="148"/>
      <c r="SX8" s="148"/>
      <c r="SY8" s="148"/>
      <c r="SZ8" s="148"/>
      <c r="TA8" s="148"/>
      <c r="TB8" s="148"/>
      <c r="TC8" s="148"/>
      <c r="TD8" s="148"/>
      <c r="TE8" s="148"/>
      <c r="TF8" s="148"/>
      <c r="TG8" s="148"/>
      <c r="TH8" s="148"/>
      <c r="TI8" s="148"/>
      <c r="TJ8" s="148"/>
      <c r="TK8" s="148"/>
      <c r="TL8" s="148"/>
      <c r="TM8" s="148"/>
      <c r="TN8" s="148"/>
      <c r="TO8" s="148"/>
      <c r="TP8" s="148"/>
      <c r="TQ8" s="148"/>
      <c r="TR8" s="148"/>
      <c r="TS8" s="148"/>
      <c r="TT8" s="148"/>
      <c r="TU8" s="148"/>
      <c r="TV8" s="148"/>
      <c r="TW8" s="148"/>
      <c r="TX8" s="148"/>
      <c r="TY8" s="148"/>
      <c r="TZ8" s="148"/>
      <c r="UA8" s="148"/>
      <c r="UB8" s="148"/>
      <c r="UC8" s="148"/>
      <c r="UD8" s="148"/>
      <c r="UE8" s="148"/>
      <c r="UF8" s="148"/>
      <c r="UG8" s="148"/>
      <c r="UH8" s="148"/>
      <c r="UI8" s="148"/>
      <c r="UJ8" s="148"/>
      <c r="UK8" s="148"/>
      <c r="UL8" s="148"/>
      <c r="UM8" s="148"/>
      <c r="UN8" s="148"/>
      <c r="UO8" s="148"/>
      <c r="UP8" s="148"/>
      <c r="UQ8" s="148"/>
      <c r="UR8" s="148"/>
      <c r="US8" s="148"/>
      <c r="UT8" s="148"/>
      <c r="UU8" s="148"/>
      <c r="UV8" s="148"/>
      <c r="UW8" s="148"/>
      <c r="UX8" s="148"/>
      <c r="UY8" s="148"/>
      <c r="UZ8" s="148"/>
      <c r="VA8" s="148"/>
      <c r="VB8" s="148"/>
      <c r="VC8" s="148"/>
      <c r="VD8" s="148"/>
      <c r="VE8" s="148"/>
      <c r="VF8" s="148"/>
      <c r="VG8" s="148"/>
      <c r="VH8" s="148"/>
      <c r="VI8" s="148"/>
      <c r="VJ8" s="148"/>
      <c r="VK8" s="148"/>
      <c r="VL8" s="148"/>
      <c r="VM8" s="148"/>
      <c r="VN8" s="148"/>
      <c r="VO8" s="148"/>
      <c r="VP8" s="148"/>
      <c r="VQ8" s="148"/>
      <c r="VR8" s="148"/>
      <c r="VS8" s="148"/>
      <c r="VT8" s="148"/>
      <c r="VU8" s="148"/>
      <c r="VV8" s="148"/>
      <c r="VW8" s="148"/>
      <c r="VX8" s="148"/>
      <c r="VY8" s="148"/>
      <c r="VZ8" s="148"/>
      <c r="WA8" s="148"/>
      <c r="WB8" s="148"/>
      <c r="WC8" s="148"/>
      <c r="WD8" s="148"/>
      <c r="WE8" s="148"/>
      <c r="WF8" s="148"/>
      <c r="WG8" s="148"/>
      <c r="WH8" s="148"/>
      <c r="WI8" s="148"/>
      <c r="WJ8" s="148"/>
      <c r="WK8" s="148"/>
      <c r="WL8" s="148"/>
      <c r="WM8" s="148"/>
      <c r="WN8" s="148"/>
      <c r="WO8" s="148"/>
      <c r="WP8" s="148"/>
      <c r="WQ8" s="148"/>
      <c r="WR8" s="148"/>
      <c r="WS8" s="148"/>
      <c r="WT8" s="148"/>
      <c r="WU8" s="148"/>
      <c r="WV8" s="148"/>
      <c r="WW8" s="148"/>
      <c r="WX8" s="148"/>
      <c r="WY8" s="148"/>
      <c r="WZ8" s="148"/>
      <c r="XA8" s="148"/>
      <c r="XB8" s="148"/>
      <c r="XC8" s="148"/>
      <c r="XD8" s="148"/>
      <c r="XE8" s="148"/>
      <c r="XF8" s="148"/>
      <c r="XG8" s="148"/>
      <c r="XH8" s="148"/>
      <c r="XI8" s="148"/>
      <c r="XJ8" s="148"/>
      <c r="XK8" s="148"/>
      <c r="XL8" s="148"/>
      <c r="XM8" s="148"/>
      <c r="XN8" s="148"/>
      <c r="XO8" s="148"/>
      <c r="XP8" s="148"/>
      <c r="XQ8" s="148"/>
      <c r="XR8" s="148"/>
      <c r="XS8" s="148"/>
      <c r="XT8" s="148"/>
      <c r="XU8" s="148"/>
      <c r="XV8" s="148"/>
      <c r="XW8" s="148"/>
      <c r="XX8" s="148"/>
      <c r="XY8" s="148"/>
      <c r="XZ8" s="148"/>
      <c r="YA8" s="148"/>
      <c r="YB8" s="148"/>
      <c r="YC8" s="148"/>
      <c r="YD8" s="148"/>
      <c r="YE8" s="148"/>
      <c r="YF8" s="148"/>
      <c r="YG8" s="148"/>
      <c r="YH8" s="148"/>
      <c r="YI8" s="148"/>
      <c r="YJ8" s="148"/>
      <c r="YK8" s="148"/>
      <c r="YL8" s="148"/>
      <c r="YM8" s="148"/>
      <c r="YN8" s="148"/>
      <c r="YO8" s="148"/>
      <c r="YP8" s="148"/>
      <c r="YQ8" s="148"/>
      <c r="YR8" s="148"/>
      <c r="YS8" s="148"/>
      <c r="YT8" s="148"/>
      <c r="YU8" s="148"/>
      <c r="YV8" s="148"/>
      <c r="YW8" s="148"/>
      <c r="YX8" s="148"/>
      <c r="YY8" s="148"/>
      <c r="YZ8" s="148"/>
      <c r="ZA8" s="148"/>
      <c r="ZB8" s="148"/>
      <c r="ZC8" s="148"/>
      <c r="ZD8" s="148"/>
      <c r="ZE8" s="148"/>
      <c r="ZF8" s="148"/>
      <c r="ZG8" s="148"/>
      <c r="ZH8" s="148"/>
      <c r="ZI8" s="148"/>
      <c r="ZJ8" s="148"/>
      <c r="ZK8" s="148"/>
      <c r="ZL8" s="148"/>
      <c r="ZM8" s="148"/>
      <c r="ZN8" s="148"/>
      <c r="ZO8" s="148"/>
      <c r="ZP8" s="148"/>
      <c r="ZQ8" s="148"/>
      <c r="ZR8" s="148"/>
      <c r="ZS8" s="148"/>
      <c r="ZT8" s="148"/>
      <c r="ZU8" s="148"/>
      <c r="ZV8" s="148"/>
      <c r="ZW8" s="148"/>
      <c r="ZX8" s="148"/>
      <c r="ZY8" s="148"/>
      <c r="ZZ8" s="148"/>
      <c r="AAA8" s="148"/>
      <c r="AAB8" s="148"/>
      <c r="AAC8" s="148"/>
      <c r="AAD8" s="148"/>
      <c r="AAE8" s="148"/>
      <c r="AAF8" s="148"/>
      <c r="AAG8" s="148"/>
      <c r="AAH8" s="148"/>
      <c r="AAI8" s="148"/>
      <c r="AAJ8" s="148"/>
      <c r="AAK8" s="148"/>
      <c r="AAL8" s="148"/>
      <c r="AAM8" s="148"/>
      <c r="AAN8" s="148"/>
      <c r="AAO8" s="148"/>
      <c r="AAP8" s="148"/>
      <c r="AAQ8" s="148"/>
      <c r="AAR8" s="148"/>
      <c r="AAS8" s="148"/>
      <c r="AAT8" s="148"/>
      <c r="AAU8" s="148"/>
      <c r="AAV8" s="148"/>
      <c r="AAW8" s="148"/>
      <c r="AAX8" s="148"/>
      <c r="AAY8" s="148"/>
      <c r="AAZ8" s="148"/>
      <c r="ABA8" s="148"/>
      <c r="ABB8" s="148"/>
      <c r="ABC8" s="148"/>
      <c r="ABD8" s="148"/>
      <c r="ABE8" s="148"/>
      <c r="ABF8" s="148"/>
      <c r="ABG8" s="148"/>
      <c r="ABH8" s="148"/>
      <c r="ABI8" s="148"/>
      <c r="ABJ8" s="148"/>
      <c r="ABK8" s="148"/>
      <c r="ABL8" s="148"/>
      <c r="ABM8" s="148"/>
      <c r="ABN8" s="148"/>
      <c r="ABO8" s="148"/>
      <c r="ABP8" s="148"/>
      <c r="ABQ8" s="148"/>
      <c r="ABR8" s="148"/>
      <c r="ABS8" s="148"/>
      <c r="ABT8" s="148"/>
      <c r="ABU8" s="148"/>
      <c r="ABV8" s="148"/>
      <c r="ABW8" s="148"/>
      <c r="ABX8" s="148"/>
      <c r="ABY8" s="148"/>
      <c r="ABZ8" s="148"/>
      <c r="ACA8" s="148"/>
      <c r="ACB8" s="148"/>
      <c r="ACC8" s="148"/>
      <c r="ACD8" s="148"/>
      <c r="ACE8" s="148"/>
      <c r="ACF8" s="148"/>
      <c r="ACG8" s="148"/>
      <c r="ACH8" s="148"/>
      <c r="ACI8" s="148"/>
      <c r="ACJ8" s="148"/>
      <c r="ACK8" s="148"/>
      <c r="ACL8" s="148"/>
      <c r="ACM8" s="148"/>
      <c r="ACN8" s="148"/>
      <c r="ACO8" s="148"/>
      <c r="ACP8" s="148"/>
      <c r="ACQ8" s="148"/>
      <c r="ACR8" s="148"/>
      <c r="ACS8" s="148"/>
      <c r="ACT8" s="148"/>
      <c r="ACU8" s="148"/>
      <c r="ACV8" s="148"/>
      <c r="ACW8" s="148"/>
      <c r="ACX8" s="148"/>
      <c r="ACY8" s="148"/>
      <c r="ACZ8" s="148"/>
      <c r="ADA8" s="148"/>
      <c r="ADB8" s="148"/>
      <c r="ADC8" s="148"/>
      <c r="ADD8" s="148"/>
      <c r="ADE8" s="148"/>
      <c r="ADF8" s="148"/>
      <c r="ADG8" s="148"/>
      <c r="ADH8" s="148"/>
      <c r="ADI8" s="148"/>
      <c r="ADJ8" s="148"/>
      <c r="ADK8" s="148"/>
      <c r="ADL8" s="148"/>
      <c r="ADM8" s="148"/>
      <c r="ADN8" s="148"/>
      <c r="ADO8" s="148"/>
      <c r="ADP8" s="148"/>
      <c r="ADQ8" s="148"/>
      <c r="ADR8" s="148"/>
      <c r="ADS8" s="148"/>
      <c r="ADT8" s="148"/>
      <c r="ADU8" s="148"/>
      <c r="ADV8" s="148"/>
      <c r="ADW8" s="148"/>
      <c r="ADX8" s="148"/>
      <c r="ADY8" s="148"/>
      <c r="ADZ8" s="148"/>
      <c r="AEA8" s="148"/>
      <c r="AEB8" s="148"/>
      <c r="AEC8" s="148"/>
      <c r="AED8" s="148"/>
      <c r="AEE8" s="148"/>
      <c r="AEF8" s="148"/>
      <c r="AEG8" s="148"/>
      <c r="AEH8" s="148"/>
      <c r="AEI8" s="148"/>
      <c r="AEJ8" s="148"/>
      <c r="AEK8" s="148"/>
      <c r="AEL8" s="148"/>
      <c r="AEM8" s="148"/>
      <c r="AEN8" s="148"/>
      <c r="AEO8" s="148"/>
      <c r="AEP8" s="148"/>
      <c r="AEQ8" s="148"/>
      <c r="AER8" s="148"/>
      <c r="AES8" s="148"/>
      <c r="AET8" s="148"/>
      <c r="AEU8" s="148"/>
      <c r="AEV8" s="148"/>
      <c r="AEW8" s="148"/>
      <c r="AEX8" s="148"/>
      <c r="AEY8" s="148"/>
      <c r="AEZ8" s="148"/>
      <c r="AFA8" s="148"/>
      <c r="AFB8" s="148"/>
      <c r="AFC8" s="148"/>
      <c r="AFD8" s="148"/>
      <c r="AFE8" s="148"/>
      <c r="AFF8" s="148"/>
      <c r="AFG8" s="148"/>
      <c r="AFH8" s="148"/>
      <c r="AFI8" s="148"/>
      <c r="AFJ8" s="148"/>
      <c r="AFK8" s="148"/>
      <c r="AFL8" s="148"/>
      <c r="AFM8" s="148"/>
      <c r="AFN8" s="148"/>
      <c r="AFO8" s="148"/>
      <c r="AFP8" s="148"/>
      <c r="AFQ8" s="148"/>
      <c r="AFR8" s="148"/>
      <c r="AFS8" s="148"/>
      <c r="AFT8" s="148"/>
      <c r="AFU8" s="148"/>
      <c r="AFV8" s="148"/>
      <c r="AFW8" s="148"/>
      <c r="AFX8" s="148"/>
      <c r="AFY8" s="148"/>
      <c r="AFZ8" s="148"/>
      <c r="AGA8" s="148"/>
      <c r="AGB8" s="148"/>
      <c r="AGC8" s="148"/>
      <c r="AGD8" s="148"/>
      <c r="AGE8" s="148"/>
      <c r="AGF8" s="148"/>
      <c r="AGG8" s="148"/>
      <c r="AGH8" s="148"/>
      <c r="AGI8" s="148"/>
      <c r="AGJ8" s="148"/>
      <c r="AGK8" s="148"/>
      <c r="AGL8" s="148"/>
      <c r="AGM8" s="148"/>
      <c r="AGN8" s="148"/>
      <c r="AGO8" s="148"/>
      <c r="AGP8" s="148"/>
      <c r="AGQ8" s="148"/>
      <c r="AGR8" s="148"/>
      <c r="AGS8" s="148"/>
      <c r="AGT8" s="148"/>
      <c r="AGU8" s="148"/>
      <c r="AGV8" s="148"/>
      <c r="AGW8" s="148"/>
      <c r="AGX8" s="148"/>
      <c r="AGY8" s="148"/>
      <c r="AGZ8" s="148"/>
      <c r="AHA8" s="148"/>
      <c r="AHB8" s="148"/>
      <c r="AHC8" s="148"/>
      <c r="AHD8" s="148"/>
      <c r="AHE8" s="148"/>
      <c r="AHF8" s="148"/>
      <c r="AHG8" s="148"/>
      <c r="AHH8" s="148"/>
      <c r="AHI8" s="148"/>
      <c r="AHJ8" s="148"/>
      <c r="AHK8" s="148"/>
      <c r="AHL8" s="148"/>
      <c r="AHM8" s="148"/>
      <c r="AHN8" s="148"/>
      <c r="AHO8" s="148"/>
      <c r="AHP8" s="148"/>
      <c r="AHQ8" s="148"/>
      <c r="AHR8" s="148"/>
      <c r="AHS8" s="148"/>
      <c r="AHT8" s="148"/>
      <c r="AHU8" s="148"/>
      <c r="AHV8" s="148"/>
      <c r="AHW8" s="148"/>
      <c r="AHX8" s="148"/>
      <c r="AHY8" s="148"/>
      <c r="AHZ8" s="148"/>
      <c r="AIA8" s="148"/>
      <c r="AIB8" s="148"/>
      <c r="AIC8" s="148"/>
      <c r="AID8" s="148"/>
      <c r="AIE8" s="148"/>
      <c r="AIF8" s="148"/>
      <c r="AIG8" s="148"/>
      <c r="AIH8" s="148"/>
      <c r="AII8" s="148"/>
      <c r="AIJ8" s="148"/>
      <c r="AIK8" s="148"/>
      <c r="AIL8" s="148"/>
      <c r="AIM8" s="148"/>
      <c r="AIN8" s="148"/>
      <c r="AIO8" s="148"/>
      <c r="AIP8" s="148"/>
      <c r="AIQ8" s="148"/>
      <c r="AIR8" s="148"/>
      <c r="AIS8" s="148"/>
      <c r="AIT8" s="148"/>
      <c r="AIU8" s="148"/>
      <c r="AIV8" s="148"/>
      <c r="AIW8" s="148"/>
      <c r="AIX8" s="148"/>
      <c r="AIY8" s="148"/>
      <c r="AIZ8" s="148"/>
      <c r="AJA8" s="148"/>
      <c r="AJB8" s="148"/>
      <c r="AJC8" s="148"/>
      <c r="AJD8" s="148"/>
      <c r="AJE8" s="148"/>
      <c r="AJF8" s="148"/>
      <c r="AJG8" s="148"/>
      <c r="AJH8" s="148"/>
      <c r="AJI8" s="148"/>
      <c r="AJJ8" s="148"/>
      <c r="AJK8" s="148"/>
      <c r="AJL8" s="148"/>
      <c r="AJM8" s="148"/>
      <c r="AJN8" s="148"/>
      <c r="AJO8" s="148"/>
      <c r="AJP8" s="148"/>
      <c r="AJQ8" s="148"/>
      <c r="AJR8" s="148"/>
      <c r="AJS8" s="148"/>
      <c r="AJT8" s="148"/>
      <c r="AJU8" s="148"/>
      <c r="AJV8" s="148"/>
      <c r="AJW8" s="148"/>
      <c r="AJX8" s="148"/>
      <c r="AJY8" s="148"/>
      <c r="AJZ8" s="148"/>
      <c r="AKA8" s="148"/>
      <c r="AKB8" s="148"/>
      <c r="AKC8" s="148"/>
      <c r="AKD8" s="148"/>
      <c r="AKE8" s="148"/>
      <c r="AKF8" s="148"/>
      <c r="AKG8" s="148"/>
      <c r="AKH8" s="148"/>
      <c r="AKI8" s="148"/>
      <c r="AKJ8" s="148"/>
      <c r="AKK8" s="148"/>
      <c r="AKL8" s="148"/>
      <c r="AKM8" s="148"/>
      <c r="AKN8" s="148"/>
      <c r="AKO8" s="148"/>
      <c r="AKP8" s="148"/>
      <c r="AKQ8" s="148"/>
      <c r="AKR8" s="148"/>
      <c r="AKS8" s="148"/>
      <c r="AKT8" s="148"/>
      <c r="AKU8" s="148"/>
      <c r="AKV8" s="148"/>
      <c r="AKW8" s="148"/>
      <c r="AKX8" s="148"/>
      <c r="AKY8" s="148"/>
      <c r="AKZ8" s="148"/>
      <c r="ALA8" s="148"/>
      <c r="ALB8" s="148"/>
      <c r="ALC8" s="148"/>
      <c r="ALD8" s="148"/>
      <c r="ALE8" s="148"/>
      <c r="ALF8" s="148"/>
      <c r="ALG8" s="148"/>
      <c r="ALH8" s="148"/>
      <c r="ALI8" s="148"/>
      <c r="ALJ8" s="148"/>
      <c r="ALK8" s="148"/>
      <c r="ALL8" s="148"/>
      <c r="ALM8" s="148"/>
      <c r="ALN8" s="148"/>
      <c r="ALO8" s="148"/>
      <c r="ALP8" s="148"/>
      <c r="ALQ8" s="148"/>
      <c r="ALR8" s="148"/>
      <c r="ALS8" s="148"/>
      <c r="ALT8" s="148"/>
      <c r="ALU8" s="148"/>
      <c r="ALV8" s="148"/>
      <c r="ALW8" s="148"/>
      <c r="ALX8" s="148"/>
      <c r="ALY8" s="148"/>
      <c r="ALZ8" s="148"/>
      <c r="AMA8" s="148"/>
      <c r="AMB8" s="148"/>
      <c r="AMC8" s="148"/>
      <c r="AMD8" s="148"/>
      <c r="AME8" s="148"/>
      <c r="AMF8" s="148"/>
      <c r="AMG8" s="148"/>
      <c r="AMH8" s="148"/>
      <c r="AMI8" s="148"/>
      <c r="AMJ8" s="148"/>
      <c r="AMK8" s="148"/>
      <c r="AML8" s="148"/>
      <c r="AMM8" s="148"/>
      <c r="AMN8" s="148"/>
      <c r="AMO8" s="148"/>
    </row>
    <row r="9" spans="1:1029" ht="89.25">
      <c r="B9" s="55" t="str">
        <f t="shared" ca="1" si="20"/>
        <v>CUST</v>
      </c>
      <c r="C9" s="55" t="s">
        <v>58</v>
      </c>
      <c r="D9" s="56" t="s">
        <v>680</v>
      </c>
      <c r="E9" s="57" t="str">
        <f t="shared" ca="1" si="21"/>
        <v>0x1002</v>
      </c>
      <c r="F9" s="57">
        <v>1</v>
      </c>
      <c r="G9" s="57">
        <v>12</v>
      </c>
      <c r="H9" s="57">
        <v>0</v>
      </c>
      <c r="I9" s="57" t="s">
        <v>68</v>
      </c>
      <c r="J9" s="50" t="str">
        <f t="shared" si="0"/>
        <v>[12:12]</v>
      </c>
      <c r="K9" s="50">
        <f t="shared" si="1"/>
        <v>0</v>
      </c>
      <c r="L9" s="50">
        <f t="shared" si="2"/>
        <v>1</v>
      </c>
      <c r="M9" s="159" t="s">
        <v>681</v>
      </c>
      <c r="N9" s="28"/>
      <c r="O9" s="57">
        <v>0</v>
      </c>
      <c r="P9" s="57">
        <f t="shared" si="22"/>
        <v>0</v>
      </c>
      <c r="Q9" s="57">
        <f t="shared" si="23"/>
        <v>0</v>
      </c>
      <c r="R9" s="57">
        <f t="shared" si="24"/>
        <v>0</v>
      </c>
      <c r="S9" s="163">
        <f t="shared" si="24"/>
        <v>0</v>
      </c>
      <c r="T9" s="163">
        <v>0</v>
      </c>
      <c r="U9" s="163">
        <f>S9</f>
        <v>0</v>
      </c>
      <c r="V9" s="163">
        <f>S9</f>
        <v>0</v>
      </c>
      <c r="W9" s="59"/>
      <c r="X9" s="57">
        <f t="shared" ca="1" si="3"/>
        <v>0</v>
      </c>
      <c r="Y9" s="32"/>
      <c r="AC9" s="12" t="b">
        <f t="shared" si="4"/>
        <v>1</v>
      </c>
      <c r="AD9" s="12" t="str">
        <f t="shared" si="5"/>
        <v>-</v>
      </c>
      <c r="AE9" s="12" t="str">
        <f t="shared" si="6"/>
        <v>-</v>
      </c>
      <c r="AF9" s="12" t="str">
        <f t="shared" ca="1" si="7"/>
        <v>0x1002</v>
      </c>
      <c r="AG9" s="12" t="str">
        <f t="shared" si="8"/>
        <v>DIS_TEMP_BUFF</v>
      </c>
      <c r="AH9" s="12">
        <f t="shared" si="9"/>
        <v>1</v>
      </c>
      <c r="AI9" s="12">
        <f t="shared" si="10"/>
        <v>12</v>
      </c>
      <c r="AJ9" s="12">
        <f t="shared" si="11"/>
        <v>12</v>
      </c>
      <c r="AK9" s="12">
        <f t="shared" si="12"/>
        <v>4096</v>
      </c>
      <c r="AL9" s="12" t="str">
        <f t="shared" si="13"/>
        <v>-</v>
      </c>
      <c r="AM9" s="22">
        <f t="shared" si="14"/>
        <v>0</v>
      </c>
      <c r="AN9" s="12">
        <f t="shared" si="15"/>
        <v>0</v>
      </c>
      <c r="AO9" s="22" t="str">
        <f ca="1">IF(AF9="-",VLOOKUP(AD9,MemoryView!$A$3:$F$108,6,0),MID(VLOOKUP(AF9,MemoryView!$BD$3:$BE$108,2,0),15-AI9+1,AH9))</f>
        <v>0</v>
      </c>
      <c r="AP9" s="22">
        <f t="shared" ca="1" si="16"/>
        <v>0</v>
      </c>
      <c r="AQ9" s="53" t="str">
        <f t="shared" si="17"/>
        <v>`EE_MNG.DIS_TEMP_BUFF.SET(0);        // [0..1]</v>
      </c>
      <c r="AR9" s="54" t="str">
        <f t="shared" ca="1" si="18"/>
        <v>EE_MEM #(`PARAM(16'h1002, 12, 1, 0)) DIS_TEMP_BUFF(); bit unsigned [1-1:0] DIS_TEMP_BUFF_V; assign DIS_TEMP_BUFF_V = DIS_TEMP_BUFF.GET;</v>
      </c>
      <c r="AS9" s="12" t="str">
        <f t="shared" ca="1" si="19"/>
        <v>EE_GEN_CTRL1</v>
      </c>
    </row>
    <row r="10" spans="1:1029" ht="140.25">
      <c r="B10" s="55" t="str">
        <f t="shared" ca="1" si="20"/>
        <v>CUST</v>
      </c>
      <c r="C10" s="55" t="s">
        <v>58</v>
      </c>
      <c r="D10" s="56" t="s">
        <v>70</v>
      </c>
      <c r="E10" s="57" t="str">
        <f t="shared" ca="1" si="21"/>
        <v>0x1002</v>
      </c>
      <c r="F10" s="57">
        <v>1</v>
      </c>
      <c r="G10" s="57">
        <v>11</v>
      </c>
      <c r="H10" s="57">
        <v>0</v>
      </c>
      <c r="I10" s="57" t="s">
        <v>68</v>
      </c>
      <c r="J10" s="50" t="str">
        <f t="shared" si="0"/>
        <v>[11:11]</v>
      </c>
      <c r="K10" s="50">
        <f t="shared" si="1"/>
        <v>0</v>
      </c>
      <c r="L10" s="50">
        <f t="shared" si="2"/>
        <v>1</v>
      </c>
      <c r="M10" s="159" t="s">
        <v>460</v>
      </c>
      <c r="N10" s="28"/>
      <c r="O10" s="57">
        <v>1</v>
      </c>
      <c r="P10" s="57">
        <f t="shared" si="22"/>
        <v>1</v>
      </c>
      <c r="Q10" s="57">
        <f t="shared" si="23"/>
        <v>1</v>
      </c>
      <c r="R10" s="57">
        <f t="shared" si="24"/>
        <v>1</v>
      </c>
      <c r="S10" s="163">
        <f t="shared" si="24"/>
        <v>1</v>
      </c>
      <c r="T10" s="163">
        <v>1</v>
      </c>
      <c r="U10" s="163">
        <f>S10</f>
        <v>1</v>
      </c>
      <c r="V10" s="163">
        <f>S10</f>
        <v>1</v>
      </c>
      <c r="W10" s="59"/>
      <c r="X10" s="57">
        <f t="shared" ca="1" si="3"/>
        <v>1</v>
      </c>
      <c r="Y10" s="32"/>
      <c r="AC10" s="12" t="b">
        <f t="shared" si="4"/>
        <v>1</v>
      </c>
      <c r="AD10" s="12" t="str">
        <f t="shared" si="5"/>
        <v>-</v>
      </c>
      <c r="AE10" s="12" t="str">
        <f t="shared" si="6"/>
        <v>-</v>
      </c>
      <c r="AF10" s="12" t="str">
        <f t="shared" ca="1" si="7"/>
        <v>0x1002</v>
      </c>
      <c r="AG10" s="12" t="str">
        <f t="shared" si="8"/>
        <v>PAVG_GAIN_SEL</v>
      </c>
      <c r="AH10" s="12">
        <f t="shared" si="9"/>
        <v>1</v>
      </c>
      <c r="AI10" s="12">
        <f t="shared" si="10"/>
        <v>11</v>
      </c>
      <c r="AJ10" s="12">
        <f t="shared" si="11"/>
        <v>11</v>
      </c>
      <c r="AK10" s="12">
        <f t="shared" si="12"/>
        <v>2048</v>
      </c>
      <c r="AL10" s="12" t="str">
        <f t="shared" si="13"/>
        <v>-</v>
      </c>
      <c r="AM10" s="22">
        <f t="shared" si="14"/>
        <v>1</v>
      </c>
      <c r="AN10" s="12">
        <f t="shared" si="15"/>
        <v>2048</v>
      </c>
      <c r="AO10" s="22" t="str">
        <f ca="1">IF(AF10="-",VLOOKUP(AD10,MemoryView!$A$3:$F$108,6,0),MID(VLOOKUP(AF10,MemoryView!$BD$3:$BE$108,2,0),15-AI10+1,AH10))</f>
        <v>1</v>
      </c>
      <c r="AP10" s="22">
        <f t="shared" ca="1" si="16"/>
        <v>1</v>
      </c>
      <c r="AQ10" s="53" t="str">
        <f t="shared" si="17"/>
        <v>`EE_MNG.PAVG_GAIN_SEL.SET(1);        // [0..1]</v>
      </c>
      <c r="AR10" s="54" t="str">
        <f t="shared" ca="1" si="18"/>
        <v>EE_MEM #(`PARAM(16'h1002, 11, 1, 0)) PAVG_GAIN_SEL(); bit unsigned [1-1:0] PAVG_GAIN_SEL_V; assign PAVG_GAIN_SEL_V = PAVG_GAIN_SEL.GET;</v>
      </c>
      <c r="AS10" s="12" t="str">
        <f t="shared" ca="1" si="19"/>
        <v>EE_GEN_CTRL1</v>
      </c>
    </row>
    <row r="11" spans="1:1029" ht="76.5">
      <c r="B11" s="55" t="str">
        <f t="shared" ca="1" si="20"/>
        <v>CUST</v>
      </c>
      <c r="C11" s="55" t="s">
        <v>58</v>
      </c>
      <c r="D11" s="56" t="s">
        <v>485</v>
      </c>
      <c r="E11" s="57" t="str">
        <f t="shared" ca="1" si="21"/>
        <v>0x1002</v>
      </c>
      <c r="F11" s="57">
        <v>1</v>
      </c>
      <c r="G11" s="57">
        <v>10</v>
      </c>
      <c r="H11" s="57">
        <v>0</v>
      </c>
      <c r="I11" s="57" t="s">
        <v>68</v>
      </c>
      <c r="J11" s="50" t="str">
        <f t="shared" ref="J11:J12" si="46">IF(D11&lt;&gt;"-","["&amp;AI11&amp;":"&amp;AJ11&amp;"]","-")</f>
        <v>[10:10]</v>
      </c>
      <c r="K11" s="50">
        <f t="shared" ref="K11:K12" si="47">IF(H11,-L11-1,0)</f>
        <v>0</v>
      </c>
      <c r="L11" s="50">
        <f t="shared" ref="L11:L12" si="48">IF(H11,FLOOR((2^F11-1)/2,1),2^F11-1)</f>
        <v>1</v>
      </c>
      <c r="M11" s="61" t="s">
        <v>755</v>
      </c>
      <c r="N11" s="28"/>
      <c r="O11" s="57">
        <v>0</v>
      </c>
      <c r="P11" s="57">
        <f t="shared" si="22"/>
        <v>0</v>
      </c>
      <c r="Q11" s="57">
        <f t="shared" si="23"/>
        <v>0</v>
      </c>
      <c r="R11" s="57">
        <f t="shared" si="24"/>
        <v>0</v>
      </c>
      <c r="S11" s="163">
        <f t="shared" si="24"/>
        <v>0</v>
      </c>
      <c r="T11" s="163">
        <v>0</v>
      </c>
      <c r="U11" s="163">
        <f>S11</f>
        <v>0</v>
      </c>
      <c r="V11" s="163">
        <f>S11</f>
        <v>0</v>
      </c>
      <c r="W11" s="59"/>
      <c r="X11" s="57">
        <f t="shared" ref="X11:X12" ca="1" si="49">IF(H11=0,AP11,    IF(AP11&lt;=2^(F11-1)-1,AP11,AP11-2^F11)  )</f>
        <v>0</v>
      </c>
      <c r="Y11" s="32"/>
      <c r="AC11" s="12" t="b">
        <f t="shared" si="4"/>
        <v>1</v>
      </c>
      <c r="AD11" s="12" t="str">
        <f t="shared" ref="AD11:AD12" si="50">IF(AND(D11="-",C11&lt;&gt;"-"),E11,"-")</f>
        <v>-</v>
      </c>
      <c r="AE11" s="12" t="str">
        <f t="shared" ref="AE11:AE12" si="51">IF(D11="-",C11,"-")</f>
        <v>-</v>
      </c>
      <c r="AF11" s="12" t="str">
        <f t="shared" ref="AF11:AF12" ca="1" si="52">IF(AND(D11&lt;&gt;"-",ISTEXT(D11)),E11,"-")</f>
        <v>0x1002</v>
      </c>
      <c r="AG11" s="12" t="str">
        <f t="shared" ref="AG11:AG12" si="53">IF(AND(D11&lt;&gt;"-",ISTEXT(D11)),D11,"-")</f>
        <v>SEL_PRESSURE_RANGE</v>
      </c>
      <c r="AH11" s="12">
        <f t="shared" ref="AH11:AH12" si="54">IF(D11&lt;&gt;"-",F11,"-")</f>
        <v>1</v>
      </c>
      <c r="AI11" s="12">
        <f t="shared" ref="AI11:AI12" si="55">IF(D11&lt;&gt;"-",G11+F11-1,"-")</f>
        <v>10</v>
      </c>
      <c r="AJ11" s="12">
        <f t="shared" ref="AJ11:AJ12" si="56">IF(D11&lt;&gt;"-",G11,"-")</f>
        <v>10</v>
      </c>
      <c r="AK11" s="12">
        <f t="shared" ref="AK11:AK12" si="57">IF(OR(AH11="-",AJ11="-"),AD11,(2^AH11-1)*2^AJ11)</f>
        <v>1024</v>
      </c>
      <c r="AL11" s="12" t="str">
        <f t="shared" ref="AL11:AL12" si="58">IF(D11="-",B11,"-")</f>
        <v>-</v>
      </c>
      <c r="AM11" s="22">
        <f t="shared" si="14"/>
        <v>0</v>
      </c>
      <c r="AN11" s="12">
        <f t="shared" ref="AN11:AN12" si="59">IF(OR(AH11="-",AJ11="-"),AD11,IF(AM11&lt;0,AM11+2^AH11,AM11)*2^AJ11)</f>
        <v>0</v>
      </c>
      <c r="AO11" s="22" t="str">
        <f ca="1">IF(AF11="-",VLOOKUP(AD11,MemoryView!$A$3:$F$108,6,0),MID(VLOOKUP(AF11,MemoryView!$BD$3:$BE$108,2,0),15-AI11+1,AH11))</f>
        <v>0</v>
      </c>
      <c r="AP11" s="22">
        <f t="shared" ref="AP11:AP12" ca="1" si="60">IF(AF11="-",HEX2DEC(AO11),IF(LEN(AO11)&gt;8,BIN2DEC(LEFT(AO11,LEN(AO11)-8))*2^8+BIN2DEC(RIGHT(AO11,8)),BIN2DEC(AO11)))</f>
        <v>0</v>
      </c>
      <c r="AQ11" s="53" t="str">
        <f t="shared" ref="AQ11:AQ12" si="61">IF(AG11&lt;&gt;"-",CONCATENATE("`EE_MNG.",AG11,".SET(",AM11,");        // [",K11,"..",L11,"]"),"-")</f>
        <v>`EE_MNG.SEL_PRESSURE_RANGE.SET(0);        // [0..1]</v>
      </c>
      <c r="AR11" s="54" t="str">
        <f t="shared" ref="AR11:AR12" ca="1" si="62">IF(AND(AD11="-",AE11="-",AF11="-",AG11="-"),"-",IF(AG11&lt;&gt;"-",CONCATENATE("EE_MEM #(`PARAM(16'h",RIGHT(AF11,4),", ",G11,", ",F11,", ",H11,")) ",AG11,"(); bit ",IF(H11=0,"unsigned [","signed ["),F11,"-1:0] ", AG11,"_V; assign ",AG11,"_V = ",AG11,".GET;"), CONCATENATE("EE_MEM #(`PARAM(16'h",RIGHT(AD11,4),", ",G11,", ",F11,", ",H11,")) ",AE11,"(); bit ",IF(H11=0,"unsigned [","signed ["),F11,"-1:0] ", AE11,"_V; assign ",AE11,"_V = ",AE11,".GET;")))</f>
        <v>EE_MEM #(`PARAM(16'h1002, 10, 1, 0)) SEL_PRESSURE_RANGE(); bit unsigned [1-1:0] SEL_PRESSURE_RANGE_V; assign SEL_PRESSURE_RANGE_V = SEL_PRESSURE_RANGE.GET;</v>
      </c>
      <c r="AS11" s="12" t="str">
        <f t="shared" ref="AS11:AS12" ca="1" si="63">IF(AG11="-",AE11,INDIRECT(ADDRESS(ROW()-1,COLUMN())))</f>
        <v>EE_GEN_CTRL1</v>
      </c>
    </row>
    <row r="12" spans="1:1029" ht="38.25">
      <c r="B12" s="55" t="str">
        <f t="shared" ca="1" si="20"/>
        <v>CUST</v>
      </c>
      <c r="C12" s="55" t="s">
        <v>58</v>
      </c>
      <c r="D12" s="56" t="s">
        <v>601</v>
      </c>
      <c r="E12" s="57" t="str">
        <f t="shared" ca="1" si="21"/>
        <v>0x1002</v>
      </c>
      <c r="F12" s="57">
        <v>1</v>
      </c>
      <c r="G12" s="57">
        <v>9</v>
      </c>
      <c r="H12" s="57">
        <v>0</v>
      </c>
      <c r="I12" s="57" t="s">
        <v>68</v>
      </c>
      <c r="J12" s="50" t="str">
        <f t="shared" si="46"/>
        <v>[9:9]</v>
      </c>
      <c r="K12" s="50">
        <f t="shared" si="47"/>
        <v>0</v>
      </c>
      <c r="L12" s="50">
        <f t="shared" si="48"/>
        <v>1</v>
      </c>
      <c r="M12" s="58" t="s">
        <v>602</v>
      </c>
      <c r="N12" s="28"/>
      <c r="O12" s="57">
        <v>0</v>
      </c>
      <c r="P12" s="57">
        <v>0</v>
      </c>
      <c r="Q12" s="57">
        <v>1</v>
      </c>
      <c r="R12" s="57">
        <v>1</v>
      </c>
      <c r="S12" s="163">
        <v>1</v>
      </c>
      <c r="T12" s="163">
        <v>0</v>
      </c>
      <c r="U12" s="163">
        <v>1</v>
      </c>
      <c r="V12" s="163">
        <v>0</v>
      </c>
      <c r="W12" s="59"/>
      <c r="X12" s="57">
        <f t="shared" ca="1" si="49"/>
        <v>1</v>
      </c>
      <c r="Y12" s="32"/>
      <c r="AC12" s="12" t="b">
        <f t="shared" si="4"/>
        <v>1</v>
      </c>
      <c r="AD12" s="12" t="str">
        <f t="shared" si="50"/>
        <v>-</v>
      </c>
      <c r="AE12" s="12" t="str">
        <f t="shared" si="51"/>
        <v>-</v>
      </c>
      <c r="AF12" s="12" t="str">
        <f t="shared" ca="1" si="52"/>
        <v>0x1002</v>
      </c>
      <c r="AG12" s="12" t="str">
        <f t="shared" si="53"/>
        <v>SEL_TEMP_SENS_TDEV</v>
      </c>
      <c r="AH12" s="12">
        <f t="shared" si="54"/>
        <v>1</v>
      </c>
      <c r="AI12" s="12">
        <f t="shared" si="55"/>
        <v>9</v>
      </c>
      <c r="AJ12" s="12">
        <f t="shared" si="56"/>
        <v>9</v>
      </c>
      <c r="AK12" s="12">
        <f t="shared" si="57"/>
        <v>512</v>
      </c>
      <c r="AL12" s="12" t="str">
        <f t="shared" si="58"/>
        <v>-</v>
      </c>
      <c r="AM12" s="22">
        <f t="shared" si="14"/>
        <v>1</v>
      </c>
      <c r="AN12" s="12">
        <f t="shared" si="59"/>
        <v>512</v>
      </c>
      <c r="AO12" s="22" t="str">
        <f ca="1">IF(AF12="-",VLOOKUP(AD12,MemoryView!$A$3:$F$108,6,0),MID(VLOOKUP(AF12,MemoryView!$BD$3:$BE$108,2,0),15-AI12+1,AH12))</f>
        <v>1</v>
      </c>
      <c r="AP12" s="22">
        <f t="shared" ca="1" si="60"/>
        <v>1</v>
      </c>
      <c r="AQ12" s="53" t="str">
        <f t="shared" si="61"/>
        <v>`EE_MNG.SEL_TEMP_SENS_TDEV.SET(1);        // [0..1]</v>
      </c>
      <c r="AR12" s="54" t="str">
        <f t="shared" ca="1" si="62"/>
        <v>EE_MEM #(`PARAM(16'h1002, 9, 1, 0)) SEL_TEMP_SENS_TDEV(); bit unsigned [1-1:0] SEL_TEMP_SENS_TDEV_V; assign SEL_TEMP_SENS_TDEV_V = SEL_TEMP_SENS_TDEV.GET;</v>
      </c>
      <c r="AS12" s="12" t="str">
        <f t="shared" ca="1" si="63"/>
        <v>EE_GEN_CTRL1</v>
      </c>
    </row>
    <row r="13" spans="1:1029" ht="51">
      <c r="B13" s="55" t="str">
        <f t="shared" ca="1" si="20"/>
        <v>CUST</v>
      </c>
      <c r="C13" s="55" t="s">
        <v>58</v>
      </c>
      <c r="D13" s="56" t="s">
        <v>600</v>
      </c>
      <c r="E13" s="57" t="str">
        <f t="shared" ca="1" si="21"/>
        <v>0x1002</v>
      </c>
      <c r="F13" s="57">
        <v>1</v>
      </c>
      <c r="G13" s="57">
        <v>8</v>
      </c>
      <c r="H13" s="57">
        <v>0</v>
      </c>
      <c r="I13" s="57" t="s">
        <v>68</v>
      </c>
      <c r="J13" s="50" t="str">
        <f t="shared" si="0"/>
        <v>[8:8]</v>
      </c>
      <c r="K13" s="50">
        <f t="shared" si="1"/>
        <v>0</v>
      </c>
      <c r="L13" s="50">
        <f t="shared" si="2"/>
        <v>1</v>
      </c>
      <c r="M13" s="58" t="s">
        <v>69</v>
      </c>
      <c r="N13" s="28"/>
      <c r="O13" s="57">
        <v>0</v>
      </c>
      <c r="P13" s="57">
        <v>0</v>
      </c>
      <c r="Q13" s="57">
        <v>1</v>
      </c>
      <c r="R13" s="57">
        <v>1</v>
      </c>
      <c r="S13" s="163">
        <v>0</v>
      </c>
      <c r="T13" s="163">
        <v>0</v>
      </c>
      <c r="U13" s="163">
        <v>1</v>
      </c>
      <c r="V13" s="163">
        <v>0</v>
      </c>
      <c r="W13" s="59"/>
      <c r="X13" s="57">
        <f t="shared" ca="1" si="3"/>
        <v>0</v>
      </c>
      <c r="Y13" s="32"/>
      <c r="AC13" s="12" t="b">
        <f t="shared" si="4"/>
        <v>1</v>
      </c>
      <c r="AD13" s="12" t="str">
        <f t="shared" si="5"/>
        <v>-</v>
      </c>
      <c r="AE13" s="12" t="str">
        <f t="shared" si="6"/>
        <v>-</v>
      </c>
      <c r="AF13" s="12" t="str">
        <f t="shared" ca="1" si="7"/>
        <v>0x1002</v>
      </c>
      <c r="AG13" s="12" t="str">
        <f t="shared" si="8"/>
        <v>SEL_TEMP_SENS_PRES</v>
      </c>
      <c r="AH13" s="12">
        <f t="shared" si="9"/>
        <v>1</v>
      </c>
      <c r="AI13" s="12">
        <f t="shared" si="10"/>
        <v>8</v>
      </c>
      <c r="AJ13" s="12">
        <f t="shared" si="11"/>
        <v>8</v>
      </c>
      <c r="AK13" s="12">
        <f t="shared" si="12"/>
        <v>256</v>
      </c>
      <c r="AL13" s="12" t="str">
        <f t="shared" si="13"/>
        <v>-</v>
      </c>
      <c r="AM13" s="22">
        <f t="shared" si="14"/>
        <v>0</v>
      </c>
      <c r="AN13" s="12">
        <f t="shared" si="15"/>
        <v>0</v>
      </c>
      <c r="AO13" s="22" t="str">
        <f ca="1">IF(AF13="-",VLOOKUP(AD13,MemoryView!$A$3:$F$108,6,0),MID(VLOOKUP(AF13,MemoryView!$BD$3:$BE$108,2,0),15-AI13+1,AH13))</f>
        <v>0</v>
      </c>
      <c r="AP13" s="22">
        <f t="shared" ca="1" si="16"/>
        <v>0</v>
      </c>
      <c r="AQ13" s="53" t="str">
        <f t="shared" si="17"/>
        <v>`EE_MNG.SEL_TEMP_SENS_PRES.SET(0);        // [0..1]</v>
      </c>
      <c r="AR13" s="54" t="str">
        <f t="shared" ca="1" si="18"/>
        <v>EE_MEM #(`PARAM(16'h1002, 8, 1, 0)) SEL_TEMP_SENS_PRES(); bit unsigned [1-1:0] SEL_TEMP_SENS_PRES_V; assign SEL_TEMP_SENS_PRES_V = SEL_TEMP_SENS_PRES.GET;</v>
      </c>
      <c r="AS13" s="12" t="str">
        <f t="shared" ca="1" si="19"/>
        <v>EE_GEN_CTRL1</v>
      </c>
    </row>
    <row r="14" spans="1:1029">
      <c r="B14" s="55" t="str">
        <f t="shared" ca="1" si="20"/>
        <v>CUST</v>
      </c>
      <c r="C14" s="55" t="s">
        <v>58</v>
      </c>
      <c r="D14" s="56" t="s">
        <v>71</v>
      </c>
      <c r="E14" s="57" t="str">
        <f t="shared" ca="1" si="21"/>
        <v>0x1002</v>
      </c>
      <c r="F14" s="57">
        <v>1</v>
      </c>
      <c r="G14" s="57">
        <v>7</v>
      </c>
      <c r="H14" s="57">
        <v>0</v>
      </c>
      <c r="I14" s="57" t="s">
        <v>68</v>
      </c>
      <c r="J14" s="50" t="str">
        <f t="shared" si="0"/>
        <v>[7:7]</v>
      </c>
      <c r="K14" s="50">
        <f t="shared" si="1"/>
        <v>0</v>
      </c>
      <c r="L14" s="50">
        <f t="shared" si="2"/>
        <v>1</v>
      </c>
      <c r="M14" s="58" t="s">
        <v>72</v>
      </c>
      <c r="N14" s="28"/>
      <c r="O14" s="57">
        <v>0</v>
      </c>
      <c r="P14" s="57">
        <f t="shared" si="22"/>
        <v>0</v>
      </c>
      <c r="Q14" s="57">
        <f t="shared" si="23"/>
        <v>0</v>
      </c>
      <c r="R14" s="57">
        <f t="shared" si="24"/>
        <v>0</v>
      </c>
      <c r="S14" s="163">
        <f t="shared" si="24"/>
        <v>0</v>
      </c>
      <c r="T14" s="163">
        <v>0</v>
      </c>
      <c r="U14" s="163">
        <v>0</v>
      </c>
      <c r="V14" s="163">
        <f>S14</f>
        <v>0</v>
      </c>
      <c r="W14" s="59"/>
      <c r="X14" s="57">
        <f t="shared" ca="1" si="3"/>
        <v>0</v>
      </c>
      <c r="Y14" s="32"/>
      <c r="AC14" s="12" t="b">
        <f t="shared" si="4"/>
        <v>1</v>
      </c>
      <c r="AD14" s="12" t="str">
        <f t="shared" si="5"/>
        <v>-</v>
      </c>
      <c r="AE14" s="12" t="str">
        <f t="shared" si="6"/>
        <v>-</v>
      </c>
      <c r="AF14" s="12" t="str">
        <f t="shared" ca="1" si="7"/>
        <v>0x1002</v>
      </c>
      <c r="AG14" s="12" t="str">
        <f t="shared" si="8"/>
        <v>NTC_LOW_POWER_MODE</v>
      </c>
      <c r="AH14" s="12">
        <f t="shared" si="9"/>
        <v>1</v>
      </c>
      <c r="AI14" s="12">
        <f t="shared" si="10"/>
        <v>7</v>
      </c>
      <c r="AJ14" s="12">
        <f t="shared" si="11"/>
        <v>7</v>
      </c>
      <c r="AK14" s="12">
        <f t="shared" si="12"/>
        <v>128</v>
      </c>
      <c r="AL14" s="12" t="str">
        <f t="shared" si="13"/>
        <v>-</v>
      </c>
      <c r="AM14" s="22">
        <f t="shared" si="14"/>
        <v>0</v>
      </c>
      <c r="AN14" s="12">
        <f t="shared" si="15"/>
        <v>0</v>
      </c>
      <c r="AO14" s="22" t="str">
        <f ca="1">IF(AF14="-",VLOOKUP(AD14,MemoryView!$A$3:$F$108,6,0),MID(VLOOKUP(AF14,MemoryView!$BD$3:$BE$108,2,0),15-AI14+1,AH14))</f>
        <v>0</v>
      </c>
      <c r="AP14" s="22">
        <f t="shared" ca="1" si="16"/>
        <v>0</v>
      </c>
      <c r="AQ14" s="53" t="str">
        <f t="shared" si="17"/>
        <v>`EE_MNG.NTC_LOW_POWER_MODE.SET(0);        // [0..1]</v>
      </c>
      <c r="AR14" s="54" t="str">
        <f t="shared" ca="1" si="18"/>
        <v>EE_MEM #(`PARAM(16'h1002, 7, 1, 0)) NTC_LOW_POWER_MODE(); bit unsigned [1-1:0] NTC_LOW_POWER_MODE_V; assign NTC_LOW_POWER_MODE_V = NTC_LOW_POWER_MODE.GET;</v>
      </c>
      <c r="AS14" s="12" t="str">
        <f t="shared" ca="1" si="19"/>
        <v>EE_GEN_CTRL1</v>
      </c>
    </row>
    <row r="15" spans="1:1029">
      <c r="B15" s="55" t="str">
        <f t="shared" ca="1" si="20"/>
        <v>CUST</v>
      </c>
      <c r="C15" s="55" t="s">
        <v>58</v>
      </c>
      <c r="D15" s="56" t="s">
        <v>73</v>
      </c>
      <c r="E15" s="57" t="str">
        <f t="shared" ca="1" si="21"/>
        <v>0x1002</v>
      </c>
      <c r="F15" s="57">
        <v>1</v>
      </c>
      <c r="G15" s="57">
        <v>6</v>
      </c>
      <c r="H15" s="57">
        <v>0</v>
      </c>
      <c r="I15" s="57" t="s">
        <v>68</v>
      </c>
      <c r="J15" s="50" t="str">
        <f t="shared" ref="J15:J18" si="64">IF(D15&lt;&gt;"-","["&amp;AI15&amp;":"&amp;AJ15&amp;"]","-")</f>
        <v>[6:6]</v>
      </c>
      <c r="K15" s="50">
        <f t="shared" ref="K15:K18" si="65">IF(H15,-L15-1,0)</f>
        <v>0</v>
      </c>
      <c r="L15" s="50">
        <f t="shared" ref="L15:L18" si="66">IF(H15,FLOOR((2^F15-1)/2,1),2^F15-1)</f>
        <v>1</v>
      </c>
      <c r="M15" s="58" t="s">
        <v>74</v>
      </c>
      <c r="N15" s="28"/>
      <c r="O15" s="57">
        <v>0</v>
      </c>
      <c r="P15" s="57">
        <f t="shared" si="22"/>
        <v>0</v>
      </c>
      <c r="Q15" s="57">
        <f t="shared" si="23"/>
        <v>0</v>
      </c>
      <c r="R15" s="57">
        <f t="shared" si="24"/>
        <v>0</v>
      </c>
      <c r="S15" s="163">
        <f t="shared" si="24"/>
        <v>0</v>
      </c>
      <c r="T15" s="163">
        <v>0</v>
      </c>
      <c r="U15" s="163">
        <v>0</v>
      </c>
      <c r="V15" s="163">
        <f t="shared" ref="V15:V40" si="67">S15</f>
        <v>0</v>
      </c>
      <c r="W15" s="59"/>
      <c r="X15" s="57">
        <f t="shared" ref="X15:X18" ca="1" si="68">IF(H15=0,AP15,    IF(AP15&lt;=2^(F15-1)-1,AP15,AP15-2^F15)  )</f>
        <v>0</v>
      </c>
      <c r="Y15" s="32"/>
      <c r="AC15" s="12" t="b">
        <f t="shared" si="4"/>
        <v>1</v>
      </c>
      <c r="AD15" s="12" t="str">
        <f t="shared" ref="AD15:AD18" si="69">IF(AND(D15="-",C15&lt;&gt;"-"),E15,"-")</f>
        <v>-</v>
      </c>
      <c r="AE15" s="12" t="str">
        <f t="shared" ref="AE15:AE18" si="70">IF(D15="-",C15,"-")</f>
        <v>-</v>
      </c>
      <c r="AF15" s="12" t="str">
        <f t="shared" ref="AF15:AF18" ca="1" si="71">IF(AND(D15&lt;&gt;"-",ISTEXT(D15)),E15,"-")</f>
        <v>0x1002</v>
      </c>
      <c r="AG15" s="12" t="str">
        <f t="shared" ref="AG15:AG18" si="72">IF(AND(D15&lt;&gt;"-",ISTEXT(D15)),D15,"-")</f>
        <v>FIX_NTC_RES</v>
      </c>
      <c r="AH15" s="12">
        <f t="shared" ref="AH15:AH18" si="73">IF(D15&lt;&gt;"-",F15,"-")</f>
        <v>1</v>
      </c>
      <c r="AI15" s="12">
        <f t="shared" ref="AI15:AI18" si="74">IF(D15&lt;&gt;"-",G15+F15-1,"-")</f>
        <v>6</v>
      </c>
      <c r="AJ15" s="12">
        <f t="shared" ref="AJ15:AJ18" si="75">IF(D15&lt;&gt;"-",G15,"-")</f>
        <v>6</v>
      </c>
      <c r="AK15" s="12">
        <f t="shared" ref="AK15:AK18" si="76">IF(OR(AH15="-",AJ15="-"),AD15,(2^AH15-1)*2^AJ15)</f>
        <v>64</v>
      </c>
      <c r="AL15" s="12" t="str">
        <f t="shared" ref="AL15:AL18" si="77">IF(D15="-",B15,"-")</f>
        <v>-</v>
      </c>
      <c r="AM15" s="22">
        <f t="shared" si="14"/>
        <v>0</v>
      </c>
      <c r="AN15" s="12">
        <f t="shared" ref="AN15:AN18" si="78">IF(OR(AH15="-",AJ15="-"),AD15,IF(AM15&lt;0,AM15+2^AH15,AM15)*2^AJ15)</f>
        <v>0</v>
      </c>
      <c r="AO15" s="22" t="str">
        <f ca="1">IF(AF15="-",VLOOKUP(AD15,MemoryView!$A$3:$F$108,6,0),MID(VLOOKUP(AF15,MemoryView!$BD$3:$BE$108,2,0),15-AI15+1,AH15))</f>
        <v>0</v>
      </c>
      <c r="AP15" s="22">
        <f t="shared" ref="AP15:AP18" ca="1" si="79">IF(AF15="-",HEX2DEC(AO15),IF(LEN(AO15)&gt;8,BIN2DEC(LEFT(AO15,LEN(AO15)-8))*2^8+BIN2DEC(RIGHT(AO15,8)),BIN2DEC(AO15)))</f>
        <v>0</v>
      </c>
      <c r="AQ15" s="53" t="str">
        <f t="shared" ref="AQ15:AQ18" si="80">IF(AG15&lt;&gt;"-",CONCATENATE("`EE_MNG.",AG15,".SET(",AM15,");        // [",K15,"..",L15,"]"),"-")</f>
        <v>`EE_MNG.FIX_NTC_RES.SET(0);        // [0..1]</v>
      </c>
      <c r="AR15" s="54" t="str">
        <f t="shared" ref="AR15:AR18" ca="1" si="81">IF(AND(AD15="-",AE15="-",AF15="-",AG15="-"),"-",IF(AG15&lt;&gt;"-",CONCATENATE("EE_MEM #(`PARAM(16'h",RIGHT(AF15,4),", ",G15,", ",F15,", ",H15,")) ",AG15,"(); bit ",IF(H15=0,"unsigned [","signed ["),F15,"-1:0] ", AG15,"_V; assign ",AG15,"_V = ",AG15,".GET;"), CONCATENATE("EE_MEM #(`PARAM(16'h",RIGHT(AD15,4),", ",G15,", ",F15,", ",H15,")) ",AE15,"(); bit ",IF(H15=0,"unsigned [","signed ["),F15,"-1:0] ", AE15,"_V; assign ",AE15,"_V = ",AE15,".GET;")))</f>
        <v>EE_MEM #(`PARAM(16'h1002, 6, 1, 0)) FIX_NTC_RES(); bit unsigned [1-1:0] FIX_NTC_RES_V; assign FIX_NTC_RES_V = FIX_NTC_RES.GET;</v>
      </c>
      <c r="AS15" s="12" t="str">
        <f t="shared" ref="AS15:AS18" ca="1" si="82">IF(AG15="-",AE15,INDIRECT(ADDRESS(ROW()-1,COLUMN())))</f>
        <v>EE_GEN_CTRL1</v>
      </c>
    </row>
    <row r="16" spans="1:1029" ht="76.5">
      <c r="B16" s="55" t="str">
        <f t="shared" ca="1" si="20"/>
        <v>CUST</v>
      </c>
      <c r="C16" s="55" t="s">
        <v>58</v>
      </c>
      <c r="D16" s="56" t="s">
        <v>503</v>
      </c>
      <c r="E16" s="57" t="str">
        <f t="shared" ca="1" si="21"/>
        <v>0x1002</v>
      </c>
      <c r="F16" s="57">
        <v>1</v>
      </c>
      <c r="G16" s="57">
        <v>5</v>
      </c>
      <c r="H16" s="57">
        <v>0</v>
      </c>
      <c r="I16" s="57" t="s">
        <v>68</v>
      </c>
      <c r="J16" s="50" t="str">
        <f t="shared" si="64"/>
        <v>[5:5]</v>
      </c>
      <c r="K16" s="50">
        <f t="shared" si="65"/>
        <v>0</v>
      </c>
      <c r="L16" s="50">
        <f t="shared" si="66"/>
        <v>1</v>
      </c>
      <c r="M16" s="61" t="s">
        <v>679</v>
      </c>
      <c r="N16" s="28"/>
      <c r="O16" s="57">
        <v>0</v>
      </c>
      <c r="P16" s="57">
        <f t="shared" si="22"/>
        <v>0</v>
      </c>
      <c r="Q16" s="57">
        <f t="shared" si="23"/>
        <v>0</v>
      </c>
      <c r="R16" s="57">
        <f t="shared" si="24"/>
        <v>0</v>
      </c>
      <c r="S16" s="163">
        <f t="shared" si="24"/>
        <v>0</v>
      </c>
      <c r="T16" s="163">
        <v>0</v>
      </c>
      <c r="U16" s="163">
        <f>S16</f>
        <v>0</v>
      </c>
      <c r="V16" s="163">
        <f t="shared" si="67"/>
        <v>0</v>
      </c>
      <c r="W16" s="59"/>
      <c r="X16" s="57">
        <f t="shared" ca="1" si="68"/>
        <v>0</v>
      </c>
      <c r="Y16" s="32"/>
      <c r="AC16" s="12" t="b">
        <f t="shared" si="4"/>
        <v>1</v>
      </c>
      <c r="AD16" s="12" t="str">
        <f t="shared" si="69"/>
        <v>-</v>
      </c>
      <c r="AE16" s="12" t="str">
        <f t="shared" si="70"/>
        <v>-</v>
      </c>
      <c r="AF16" s="12" t="str">
        <f t="shared" ca="1" si="71"/>
        <v>0x1002</v>
      </c>
      <c r="AG16" s="12" t="str">
        <f t="shared" si="72"/>
        <v>PRES_LOWNOISE_MODE</v>
      </c>
      <c r="AH16" s="12">
        <f t="shared" si="73"/>
        <v>1</v>
      </c>
      <c r="AI16" s="12">
        <f t="shared" si="74"/>
        <v>5</v>
      </c>
      <c r="AJ16" s="12">
        <f t="shared" si="75"/>
        <v>5</v>
      </c>
      <c r="AK16" s="12">
        <f t="shared" si="76"/>
        <v>32</v>
      </c>
      <c r="AL16" s="12" t="str">
        <f t="shared" si="77"/>
        <v>-</v>
      </c>
      <c r="AM16" s="22">
        <f t="shared" si="14"/>
        <v>0</v>
      </c>
      <c r="AN16" s="12">
        <f t="shared" si="78"/>
        <v>0</v>
      </c>
      <c r="AO16" s="22" t="str">
        <f ca="1">IF(AF16="-",VLOOKUP(AD16,MemoryView!$A$3:$F$108,6,0),MID(VLOOKUP(AF16,MemoryView!$BD$3:$BE$108,2,0),15-AI16+1,AH16))</f>
        <v>0</v>
      </c>
      <c r="AP16" s="22">
        <f t="shared" ca="1" si="79"/>
        <v>0</v>
      </c>
      <c r="AQ16" s="53" t="str">
        <f t="shared" si="80"/>
        <v>`EE_MNG.PRES_LOWNOISE_MODE.SET(0);        // [0..1]</v>
      </c>
      <c r="AR16" s="54" t="str">
        <f t="shared" ca="1" si="81"/>
        <v>EE_MEM #(`PARAM(16'h1002, 5, 1, 0)) PRES_LOWNOISE_MODE(); bit unsigned [1-1:0] PRES_LOWNOISE_MODE_V; assign PRES_LOWNOISE_MODE_V = PRES_LOWNOISE_MODE.GET;</v>
      </c>
      <c r="AS16" s="12" t="str">
        <f t="shared" ca="1" si="82"/>
        <v>EE_GEN_CTRL1</v>
      </c>
    </row>
    <row r="17" spans="2:45" ht="63.75">
      <c r="B17" s="55" t="str">
        <f t="shared" ca="1" si="20"/>
        <v>CUST</v>
      </c>
      <c r="C17" s="55" t="s">
        <v>58</v>
      </c>
      <c r="D17" s="56" t="s">
        <v>488</v>
      </c>
      <c r="E17" s="57" t="str">
        <f t="shared" ca="1" si="21"/>
        <v>0x1002</v>
      </c>
      <c r="F17" s="57">
        <v>1</v>
      </c>
      <c r="G17" s="57">
        <v>4</v>
      </c>
      <c r="H17" s="57">
        <v>0</v>
      </c>
      <c r="I17" s="57" t="s">
        <v>68</v>
      </c>
      <c r="J17" s="50" t="str">
        <f t="shared" si="64"/>
        <v>[4:4]</v>
      </c>
      <c r="K17" s="50">
        <f t="shared" si="65"/>
        <v>0</v>
      </c>
      <c r="L17" s="50">
        <f t="shared" si="66"/>
        <v>1</v>
      </c>
      <c r="M17" s="61" t="s">
        <v>764</v>
      </c>
      <c r="N17" s="28"/>
      <c r="O17" s="57">
        <v>0</v>
      </c>
      <c r="P17" s="57">
        <f t="shared" si="22"/>
        <v>0</v>
      </c>
      <c r="Q17" s="57">
        <f t="shared" si="23"/>
        <v>0</v>
      </c>
      <c r="R17" s="57">
        <f t="shared" si="24"/>
        <v>0</v>
      </c>
      <c r="S17" s="163">
        <f t="shared" si="24"/>
        <v>0</v>
      </c>
      <c r="T17" s="163">
        <v>0</v>
      </c>
      <c r="U17" s="163">
        <f>S17</f>
        <v>0</v>
      </c>
      <c r="V17" s="163">
        <f t="shared" si="67"/>
        <v>0</v>
      </c>
      <c r="W17" s="59"/>
      <c r="X17" s="57">
        <f t="shared" ca="1" si="68"/>
        <v>0</v>
      </c>
      <c r="Y17" s="32"/>
      <c r="AC17" s="12" t="b">
        <f t="shared" si="4"/>
        <v>1</v>
      </c>
      <c r="AD17" s="12" t="str">
        <f t="shared" si="69"/>
        <v>-</v>
      </c>
      <c r="AE17" s="12" t="str">
        <f t="shared" si="70"/>
        <v>-</v>
      </c>
      <c r="AF17" s="12" t="str">
        <f t="shared" ca="1" si="71"/>
        <v>0x1002</v>
      </c>
      <c r="AG17" s="12" t="str">
        <f t="shared" si="72"/>
        <v>INT_OUT_POL_CONF</v>
      </c>
      <c r="AH17" s="12">
        <f t="shared" si="73"/>
        <v>1</v>
      </c>
      <c r="AI17" s="12">
        <f t="shared" si="74"/>
        <v>4</v>
      </c>
      <c r="AJ17" s="12">
        <f t="shared" si="75"/>
        <v>4</v>
      </c>
      <c r="AK17" s="12">
        <f t="shared" si="76"/>
        <v>16</v>
      </c>
      <c r="AL17" s="12" t="str">
        <f t="shared" si="77"/>
        <v>-</v>
      </c>
      <c r="AM17" s="22">
        <f t="shared" si="14"/>
        <v>0</v>
      </c>
      <c r="AN17" s="12">
        <f t="shared" si="78"/>
        <v>0</v>
      </c>
      <c r="AO17" s="22" t="str">
        <f ca="1">IF(AF17="-",VLOOKUP(AD17,MemoryView!$A$3:$F$108,6,0),MID(VLOOKUP(AF17,MemoryView!$BD$3:$BE$108,2,0),15-AI17+1,AH17))</f>
        <v>0</v>
      </c>
      <c r="AP17" s="22">
        <f t="shared" ca="1" si="79"/>
        <v>0</v>
      </c>
      <c r="AQ17" s="53" t="str">
        <f t="shared" si="80"/>
        <v>`EE_MNG.INT_OUT_POL_CONF.SET(0);        // [0..1]</v>
      </c>
      <c r="AR17" s="54" t="str">
        <f t="shared" ca="1" si="81"/>
        <v>EE_MEM #(`PARAM(16'h1002, 4, 1, 0)) INT_OUT_POL_CONF(); bit unsigned [1-1:0] INT_OUT_POL_CONF_V; assign INT_OUT_POL_CONF_V = INT_OUT_POL_CONF.GET;</v>
      </c>
      <c r="AS17" s="12" t="str">
        <f t="shared" ca="1" si="82"/>
        <v>EE_GEN_CTRL1</v>
      </c>
    </row>
    <row r="18" spans="2:45" ht="63.75">
      <c r="B18" s="55" t="str">
        <f t="shared" ca="1" si="20"/>
        <v>CUST</v>
      </c>
      <c r="C18" s="55" t="s">
        <v>58</v>
      </c>
      <c r="D18" s="56" t="s">
        <v>447</v>
      </c>
      <c r="E18" s="57" t="str">
        <f t="shared" ca="1" si="21"/>
        <v>0x1002</v>
      </c>
      <c r="F18" s="57">
        <v>2</v>
      </c>
      <c r="G18" s="57">
        <v>2</v>
      </c>
      <c r="H18" s="57">
        <v>0</v>
      </c>
      <c r="I18" s="57" t="s">
        <v>68</v>
      </c>
      <c r="J18" s="50" t="str">
        <f t="shared" si="64"/>
        <v>[3:2]</v>
      </c>
      <c r="K18" s="50">
        <f t="shared" si="65"/>
        <v>0</v>
      </c>
      <c r="L18" s="50">
        <f t="shared" si="66"/>
        <v>3</v>
      </c>
      <c r="M18" s="61" t="s">
        <v>552</v>
      </c>
      <c r="N18" s="28"/>
      <c r="O18" s="57">
        <v>2</v>
      </c>
      <c r="P18" s="57">
        <f t="shared" si="22"/>
        <v>2</v>
      </c>
      <c r="Q18" s="57">
        <f t="shared" si="23"/>
        <v>2</v>
      </c>
      <c r="R18" s="57">
        <f t="shared" si="24"/>
        <v>2</v>
      </c>
      <c r="S18" s="163">
        <f t="shared" si="24"/>
        <v>2</v>
      </c>
      <c r="T18" s="163">
        <v>0</v>
      </c>
      <c r="U18" s="163">
        <v>0</v>
      </c>
      <c r="V18" s="163">
        <v>0</v>
      </c>
      <c r="W18" s="59"/>
      <c r="X18" s="57">
        <f t="shared" ca="1" si="68"/>
        <v>2</v>
      </c>
      <c r="Y18" s="32"/>
      <c r="AC18" s="12" t="b">
        <f t="shared" si="4"/>
        <v>1</v>
      </c>
      <c r="AD18" s="12" t="str">
        <f t="shared" si="69"/>
        <v>-</v>
      </c>
      <c r="AE18" s="12" t="str">
        <f t="shared" si="70"/>
        <v>-</v>
      </c>
      <c r="AF18" s="12" t="str">
        <f t="shared" ca="1" si="71"/>
        <v>0x1002</v>
      </c>
      <c r="AG18" s="12" t="str">
        <f t="shared" si="72"/>
        <v>TRIG_INT_CONFIG</v>
      </c>
      <c r="AH18" s="12">
        <f t="shared" si="73"/>
        <v>2</v>
      </c>
      <c r="AI18" s="12">
        <f t="shared" si="74"/>
        <v>3</v>
      </c>
      <c r="AJ18" s="12">
        <f t="shared" si="75"/>
        <v>2</v>
      </c>
      <c r="AK18" s="12">
        <f t="shared" si="76"/>
        <v>12</v>
      </c>
      <c r="AL18" s="12" t="str">
        <f t="shared" si="77"/>
        <v>-</v>
      </c>
      <c r="AM18" s="22">
        <f t="shared" si="14"/>
        <v>2</v>
      </c>
      <c r="AN18" s="12">
        <f t="shared" si="78"/>
        <v>8</v>
      </c>
      <c r="AO18" s="22" t="str">
        <f ca="1">IF(AF18="-",VLOOKUP(AD18,MemoryView!$A$3:$F$108,6,0),MID(VLOOKUP(AF18,MemoryView!$BD$3:$BE$108,2,0),15-AI18+1,AH18))</f>
        <v>10</v>
      </c>
      <c r="AP18" s="22">
        <f t="shared" ca="1" si="79"/>
        <v>2</v>
      </c>
      <c r="AQ18" s="53" t="str">
        <f t="shared" si="80"/>
        <v>`EE_MNG.TRIG_INT_CONFIG.SET(2);        // [0..3]</v>
      </c>
      <c r="AR18" s="54" t="str">
        <f t="shared" ca="1" si="81"/>
        <v>EE_MEM #(`PARAM(16'h1002, 2, 2, 0)) TRIG_INT_CONFIG(); bit unsigned [2-1:0] TRIG_INT_CONFIG_V; assign TRIG_INT_CONFIG_V = TRIG_INT_CONFIG.GET;</v>
      </c>
      <c r="AS18" s="12" t="str">
        <f t="shared" ca="1" si="82"/>
        <v>EE_GEN_CTRL1</v>
      </c>
    </row>
    <row r="19" spans="2:45" ht="89.25">
      <c r="B19" s="55" t="str">
        <f t="shared" ca="1" si="20"/>
        <v>CUST</v>
      </c>
      <c r="C19" s="55" t="s">
        <v>58</v>
      </c>
      <c r="D19" s="56" t="s">
        <v>438</v>
      </c>
      <c r="E19" s="57" t="str">
        <f t="shared" ca="1" si="21"/>
        <v>0x1002</v>
      </c>
      <c r="F19" s="57">
        <v>2</v>
      </c>
      <c r="G19" s="57">
        <v>0</v>
      </c>
      <c r="H19" s="57">
        <v>0</v>
      </c>
      <c r="I19" s="57" t="s">
        <v>68</v>
      </c>
      <c r="J19" s="50" t="str">
        <f t="shared" ref="J19" si="83">IF(D19&lt;&gt;"-","["&amp;AI19&amp;":"&amp;AJ19&amp;"]","-")</f>
        <v>[1:0]</v>
      </c>
      <c r="K19" s="50">
        <f t="shared" ref="K19" si="84">IF(H19,-L19-1,0)</f>
        <v>0</v>
      </c>
      <c r="L19" s="50">
        <f t="shared" ref="L19" si="85">IF(H19,FLOOR((2^F19-1)/2,1),2^F19-1)</f>
        <v>3</v>
      </c>
      <c r="M19" s="61" t="s">
        <v>527</v>
      </c>
      <c r="N19" s="28"/>
      <c r="O19" s="57">
        <v>0</v>
      </c>
      <c r="P19" s="57">
        <f t="shared" si="22"/>
        <v>0</v>
      </c>
      <c r="Q19" s="57">
        <f t="shared" si="23"/>
        <v>0</v>
      </c>
      <c r="R19" s="57">
        <f t="shared" si="24"/>
        <v>0</v>
      </c>
      <c r="S19" s="163">
        <f t="shared" si="24"/>
        <v>0</v>
      </c>
      <c r="T19" s="163">
        <v>0</v>
      </c>
      <c r="U19" s="163">
        <f>S19</f>
        <v>0</v>
      </c>
      <c r="V19" s="163">
        <f t="shared" si="67"/>
        <v>0</v>
      </c>
      <c r="W19" s="59"/>
      <c r="X19" s="57">
        <f t="shared" ref="X19" ca="1" si="86">IF(H19=0,AP19,    IF(AP19&lt;=2^(F19-1)-1,AP19,AP19-2^F19)  )</f>
        <v>0</v>
      </c>
      <c r="Y19" s="32"/>
      <c r="AC19" s="12" t="b">
        <f t="shared" si="4"/>
        <v>1</v>
      </c>
      <c r="AD19" s="12" t="str">
        <f t="shared" ref="AD19" si="87">IF(AND(D19="-",C19&lt;&gt;"-"),E19,"-")</f>
        <v>-</v>
      </c>
      <c r="AE19" s="12" t="str">
        <f t="shared" ref="AE19" si="88">IF(D19="-",C19,"-")</f>
        <v>-</v>
      </c>
      <c r="AF19" s="12" t="str">
        <f t="shared" ref="AF19" ca="1" si="89">IF(AND(D19&lt;&gt;"-",ISTEXT(D19)),E19,"-")</f>
        <v>0x1002</v>
      </c>
      <c r="AG19" s="12" t="str">
        <f t="shared" ref="AG19" si="90">IF(AND(D19&lt;&gt;"-",ISTEXT(D19)),D19,"-")</f>
        <v>FUNCTIONAL_MODE</v>
      </c>
      <c r="AH19" s="12">
        <f t="shared" ref="AH19" si="91">IF(D19&lt;&gt;"-",F19,"-")</f>
        <v>2</v>
      </c>
      <c r="AI19" s="12">
        <f t="shared" ref="AI19" si="92">IF(D19&lt;&gt;"-",G19+F19-1,"-")</f>
        <v>1</v>
      </c>
      <c r="AJ19" s="12">
        <f t="shared" ref="AJ19" si="93">IF(D19&lt;&gt;"-",G19,"-")</f>
        <v>0</v>
      </c>
      <c r="AK19" s="12">
        <f t="shared" ref="AK19" si="94">IF(OR(AH19="-",AJ19="-"),AD19,(2^AH19-1)*2^AJ19)</f>
        <v>3</v>
      </c>
      <c r="AL19" s="12" t="str">
        <f t="shared" ref="AL19" si="95">IF(D19="-",B19,"-")</f>
        <v>-</v>
      </c>
      <c r="AM19" s="22">
        <f t="shared" si="14"/>
        <v>0</v>
      </c>
      <c r="AN19" s="12">
        <f t="shared" ref="AN19" si="96">IF(OR(AH19="-",AJ19="-"),AD19,IF(AM19&lt;0,AM19+2^AH19,AM19)*2^AJ19)</f>
        <v>0</v>
      </c>
      <c r="AO19" s="22" t="str">
        <f ca="1">IF(AF19="-",VLOOKUP(AD19,MemoryView!$A$3:$F$108,6,0),MID(VLOOKUP(AF19,MemoryView!$BD$3:$BE$108,2,0),15-AI19+1,AH19))</f>
        <v>00</v>
      </c>
      <c r="AP19" s="22">
        <f t="shared" ref="AP19" ca="1" si="97">IF(AF19="-",HEX2DEC(AO19),IF(LEN(AO19)&gt;8,BIN2DEC(LEFT(AO19,LEN(AO19)-8))*2^8+BIN2DEC(RIGHT(AO19,8)),BIN2DEC(AO19)))</f>
        <v>0</v>
      </c>
      <c r="AQ19" s="53" t="str">
        <f t="shared" ref="AQ19" si="98">IF(AG19&lt;&gt;"-",CONCATENATE("`EE_MNG.",AG19,".SET(",AM19,");        // [",K19,"..",L19,"]"),"-")</f>
        <v>`EE_MNG.FUNCTIONAL_MODE.SET(0);        // [0..3]</v>
      </c>
      <c r="AR19" s="54" t="str">
        <f t="shared" ref="AR19" ca="1" si="99">IF(AND(AD19="-",AE19="-",AF19="-",AG19="-"),"-",IF(AG19&lt;&gt;"-",CONCATENATE("EE_MEM #(`PARAM(16'h",RIGHT(AF19,4),", ",G19,", ",F19,", ",H19,")) ",AG19,"(); bit ",IF(H19=0,"unsigned [","signed ["),F19,"-1:0] ", AG19,"_V; assign ",AG19,"_V = ",AG19,".GET;"), CONCATENATE("EE_MEM #(`PARAM(16'h",RIGHT(AD19,4),", ",G19,", ",F19,", ",H19,")) ",AE19,"(); bit ",IF(H19=0,"unsigned [","signed ["),F19,"-1:0] ", AE19,"_V; assign ",AE19,"_V = ",AE19,".GET;")))</f>
        <v>EE_MEM #(`PARAM(16'h1002, 0, 2, 0)) FUNCTIONAL_MODE(); bit unsigned [2-1:0] FUNCTIONAL_MODE_V; assign FUNCTIONAL_MODE_V = FUNCTIONAL_MODE.GET;</v>
      </c>
      <c r="AS19" s="12" t="str">
        <f t="shared" ref="AS19" ca="1" si="100">IF(AG19="-",AE19,INDIRECT(ADDRESS(ROW()-1,COLUMN())))</f>
        <v>EE_GEN_CTRL1</v>
      </c>
    </row>
    <row r="20" spans="2:45">
      <c r="B20" s="47" t="str">
        <f t="shared" ca="1" si="20"/>
        <v>CUST</v>
      </c>
      <c r="C20" s="47" t="s">
        <v>567</v>
      </c>
      <c r="D20" s="48" t="s">
        <v>58</v>
      </c>
      <c r="E20" s="60" t="str">
        <f ca="1">"0x"&amp;DEC2HEX(HEX2DEC(RIGHT(INDIRECT(ADDRESS(ROW()-1,COLUMN())),4))+2,4)</f>
        <v>0x1004</v>
      </c>
      <c r="F20" s="49">
        <v>16</v>
      </c>
      <c r="G20" s="49">
        <v>0</v>
      </c>
      <c r="H20" s="49">
        <v>0</v>
      </c>
      <c r="I20" s="49" t="s">
        <v>58</v>
      </c>
      <c r="J20" s="50" t="str">
        <f t="shared" ref="J20:J33" si="101">IF(D20&lt;&gt;"-","["&amp;AI20&amp;":"&amp;AJ20&amp;"]","-")</f>
        <v>-</v>
      </c>
      <c r="K20" s="50">
        <f t="shared" ref="K20:K33" si="102">IF(H20,-L20-1,0)</f>
        <v>0</v>
      </c>
      <c r="L20" s="50">
        <f t="shared" ref="L20:L33" si="103">IF(H20,FLOOR((2^F20-1)/2,1),2^F20-1)</f>
        <v>65535</v>
      </c>
      <c r="M20" s="51" t="s">
        <v>579</v>
      </c>
      <c r="N20" s="28"/>
      <c r="O20" s="125"/>
      <c r="P20" s="52"/>
      <c r="Q20" s="52"/>
      <c r="R20" s="52"/>
      <c r="S20" s="140"/>
      <c r="T20" s="165"/>
      <c r="U20" s="165"/>
      <c r="V20" s="165"/>
      <c r="W20" s="28"/>
      <c r="X20" s="52">
        <f t="shared" ref="X20:X33" ca="1" si="104">IF(H20=0,AP20,    IF(AP20&lt;=2^(F20-1)-1,AP20,AP20-2^F20)  )</f>
        <v>26</v>
      </c>
      <c r="Y20" s="32"/>
      <c r="AC20" s="12">
        <f t="shared" si="4"/>
        <v>1</v>
      </c>
      <c r="AD20" s="12" t="str">
        <f t="shared" ref="AD20:AD33" ca="1" si="105">IF(AND(D20="-",C20&lt;&gt;"-"),E20,"-")</f>
        <v>0x1004</v>
      </c>
      <c r="AE20" s="12" t="str">
        <f t="shared" ref="AE20:AE33" si="106">IF(D20="-",C20,"-")</f>
        <v>EE_N_AVG_CONF</v>
      </c>
      <c r="AF20" s="12" t="str">
        <f t="shared" ref="AF20:AF33" si="107">IF(AND(D20&lt;&gt;"-",ISTEXT(D20)),E20,"-")</f>
        <v>-</v>
      </c>
      <c r="AG20" s="12" t="str">
        <f t="shared" ref="AG20:AG33" si="108">IF(AND(D20&lt;&gt;"-",ISTEXT(D20)),D20,"-")</f>
        <v>-</v>
      </c>
      <c r="AH20" s="12" t="str">
        <f t="shared" ref="AH20:AH33" si="109">IF(D20&lt;&gt;"-",F20,"-")</f>
        <v>-</v>
      </c>
      <c r="AI20" s="12" t="str">
        <f t="shared" ref="AI20:AI33" si="110">IF(D20&lt;&gt;"-",G20+F20-1,"-")</f>
        <v>-</v>
      </c>
      <c r="AJ20" s="12" t="str">
        <f t="shared" ref="AJ20:AJ33" si="111">IF(D20&lt;&gt;"-",G20,"-")</f>
        <v>-</v>
      </c>
      <c r="AK20" s="12" t="str">
        <f t="shared" ref="AK20:AK33" ca="1" si="112">IF(OR(AH20="-",AJ20="-"),AD20,(2^AH20-1)*2^AJ20)</f>
        <v>0x1004</v>
      </c>
      <c r="AL20" s="12" t="str">
        <f t="shared" ref="AL20:AL33" ca="1" si="113">IF(D20="-",B20,"-")</f>
        <v>CUST</v>
      </c>
      <c r="AM20" s="22">
        <f t="shared" si="14"/>
        <v>0</v>
      </c>
      <c r="AN20" s="12" t="str">
        <f t="shared" ref="AN20:AN33" ca="1" si="114">IF(OR(AH20="-",AJ20="-"),AD20,IF(AM20&lt;0,AM20+2^AH20,AM20)*2^AJ20)</f>
        <v>0x1004</v>
      </c>
      <c r="AO20" s="22" t="str">
        <f ca="1">IF(AF20="-",VLOOKUP(AD20,MemoryView!$A$3:$F$108,6,0),MID(VLOOKUP(AF20,MemoryView!$BD$3:$BE$108,2,0),15-AI20+1,AH20))</f>
        <v>001A</v>
      </c>
      <c r="AP20" s="22">
        <f t="shared" ref="AP20:AP33" ca="1" si="115">IF(AF20="-",HEX2DEC(AO20),IF(LEN(AO20)&gt;8,BIN2DEC(LEFT(AO20,LEN(AO20)-8))*2^8+BIN2DEC(RIGHT(AO20,8)),BIN2DEC(AO20)))</f>
        <v>26</v>
      </c>
      <c r="AQ20" s="53" t="str">
        <f t="shared" ref="AQ20:AQ33" si="116">IF(AG20&lt;&gt;"-",CONCATENATE("`EE_MNG.",AG20,".SET(",AM20,");        // [",K20,"..",L20,"]"),"-")</f>
        <v>-</v>
      </c>
      <c r="AR20" s="54" t="str">
        <f t="shared" ref="AR20:AR33" ca="1" si="117">IF(AND(AD20="-",AE20="-",AF20="-",AG20="-"),"-",IF(AG20&lt;&gt;"-",CONCATENATE("EE_MEM #(`PARAM(16'h",RIGHT(AF20,4),", ",G20,", ",F20,", ",H20,")) ",AG20,"(); bit ",IF(H20=0,"unsigned [","signed ["),F20,"-1:0] ", AG20,"_V; assign ",AG20,"_V = ",AG20,".GET;"), CONCATENATE("EE_MEM #(`PARAM(16'h",RIGHT(AD20,4),", ",G20,", ",F20,", ",H20,")) ",AE20,"(); bit ",IF(H20=0,"unsigned [","signed ["),F20,"-1:0] ", AE20,"_V; assign ",AE20,"_V = ",AE20,".GET;")))</f>
        <v>EE_MEM #(`PARAM(16'h1004, 0, 16, 0)) EE_N_AVG_CONF(); bit unsigned [16-1:0] EE_N_AVG_CONF_V; assign EE_N_AVG_CONF_V = EE_N_AVG_CONF.GET;</v>
      </c>
      <c r="AS20" s="12" t="str">
        <f t="shared" ref="AS20:AS33" ca="1" si="118">IF(AG20="-",AE20,INDIRECT(ADDRESS(ROW()-1,COLUMN())))</f>
        <v>EE_N_AVG_CONF</v>
      </c>
    </row>
    <row r="21" spans="2:45" ht="76.5">
      <c r="B21" s="55" t="str">
        <f t="shared" ref="B21:B26" ca="1" si="119">INDIRECT(ADDRESS(ROW()-1,COLUMN()))</f>
        <v>CUST</v>
      </c>
      <c r="C21" s="55" t="s">
        <v>58</v>
      </c>
      <c r="D21" s="56" t="s">
        <v>568</v>
      </c>
      <c r="E21" s="57" t="str">
        <f t="shared" ref="E21:E26" ca="1" si="120">INDIRECT(ADDRESS(ROW()-1,COLUMN()))</f>
        <v>0x1004</v>
      </c>
      <c r="F21" s="57">
        <v>2</v>
      </c>
      <c r="G21" s="57">
        <v>14</v>
      </c>
      <c r="H21" s="57">
        <v>0</v>
      </c>
      <c r="I21" s="57" t="s">
        <v>68</v>
      </c>
      <c r="J21" s="50" t="str">
        <f t="shared" ref="J21:J26" si="121">IF(D21&lt;&gt;"-","["&amp;AI21&amp;":"&amp;AJ21&amp;"]","-")</f>
        <v>[15:14]</v>
      </c>
      <c r="K21" s="50">
        <f t="shared" ref="K21:K26" si="122">IF(H21,-L21-1,0)</f>
        <v>0</v>
      </c>
      <c r="L21" s="50">
        <f t="shared" ref="L21:L26" si="123">IF(H21,FLOOR((2^F21-1)/2,1),2^F21-1)</f>
        <v>3</v>
      </c>
      <c r="M21" s="61" t="s">
        <v>575</v>
      </c>
      <c r="N21" s="28"/>
      <c r="O21" s="57">
        <v>0</v>
      </c>
      <c r="P21" s="57">
        <f t="shared" ref="P21:P26" si="124">O21</f>
        <v>0</v>
      </c>
      <c r="Q21" s="57">
        <f t="shared" ref="Q21:Q26" si="125">O21</f>
        <v>0</v>
      </c>
      <c r="R21" s="57">
        <f t="shared" ref="R21:S26" si="126">O21</f>
        <v>0</v>
      </c>
      <c r="S21" s="163">
        <f t="shared" si="126"/>
        <v>0</v>
      </c>
      <c r="T21" s="163">
        <v>0</v>
      </c>
      <c r="U21" s="163">
        <f t="shared" ref="U21:U26" si="127">S21</f>
        <v>0</v>
      </c>
      <c r="V21" s="163">
        <f t="shared" si="67"/>
        <v>0</v>
      </c>
      <c r="W21" s="59"/>
      <c r="X21" s="57">
        <f t="shared" ref="X21:X26" ca="1" si="128">IF(H21=0,AP21,    IF(AP21&lt;=2^(F21-1)-1,AP21,AP21-2^F21)  )</f>
        <v>0</v>
      </c>
      <c r="Y21" s="32"/>
      <c r="AC21" s="12" t="b">
        <f t="shared" si="4"/>
        <v>1</v>
      </c>
      <c r="AD21" s="12" t="str">
        <f t="shared" ref="AD21:AD26" si="129">IF(AND(D21="-",C21&lt;&gt;"-"),E21,"-")</f>
        <v>-</v>
      </c>
      <c r="AE21" s="12" t="str">
        <f t="shared" ref="AE21:AE26" si="130">IF(D21="-",C21,"-")</f>
        <v>-</v>
      </c>
      <c r="AF21" s="12" t="str">
        <f t="shared" ref="AF21:AF26" ca="1" si="131">IF(AND(D21&lt;&gt;"-",ISTEXT(D21)),E21,"-")</f>
        <v>0x1004</v>
      </c>
      <c r="AG21" s="12" t="str">
        <f t="shared" ref="AG21:AG26" si="132">IF(AND(D21&lt;&gt;"-",ISTEXT(D21)),D21,"-")</f>
        <v>PRES_N_AVG</v>
      </c>
      <c r="AH21" s="12">
        <f t="shared" ref="AH21:AH26" si="133">IF(D21&lt;&gt;"-",F21,"-")</f>
        <v>2</v>
      </c>
      <c r="AI21" s="12">
        <f t="shared" ref="AI21:AI26" si="134">IF(D21&lt;&gt;"-",G21+F21-1,"-")</f>
        <v>15</v>
      </c>
      <c r="AJ21" s="12">
        <f t="shared" ref="AJ21:AJ26" si="135">IF(D21&lt;&gt;"-",G21,"-")</f>
        <v>14</v>
      </c>
      <c r="AK21" s="12">
        <f t="shared" ref="AK21:AK26" si="136">IF(OR(AH21="-",AJ21="-"),AD21,(2^AH21-1)*2^AJ21)</f>
        <v>49152</v>
      </c>
      <c r="AL21" s="12" t="str">
        <f t="shared" ref="AL21:AL26" si="137">IF(D21="-",B21,"-")</f>
        <v>-</v>
      </c>
      <c r="AM21" s="22">
        <f t="shared" si="14"/>
        <v>0</v>
      </c>
      <c r="AN21" s="12">
        <f t="shared" ref="AN21:AN26" si="138">IF(OR(AH21="-",AJ21="-"),AD21,IF(AM21&lt;0,AM21+2^AH21,AM21)*2^AJ21)</f>
        <v>0</v>
      </c>
      <c r="AO21" s="22" t="str">
        <f ca="1">IF(AF21="-",VLOOKUP(AD21,MemoryView!$A$3:$F$108,6,0),MID(VLOOKUP(AF21,MemoryView!$BD$3:$BE$108,2,0),15-AI21+1,AH21))</f>
        <v>00</v>
      </c>
      <c r="AP21" s="22">
        <f t="shared" ref="AP21:AP26" ca="1" si="139">IF(AF21="-",HEX2DEC(AO21),IF(LEN(AO21)&gt;8,BIN2DEC(LEFT(AO21,LEN(AO21)-8))*2^8+BIN2DEC(RIGHT(AO21,8)),BIN2DEC(AO21)))</f>
        <v>0</v>
      </c>
      <c r="AQ21" s="53" t="str">
        <f t="shared" ref="AQ21:AQ26" si="140">IF(AG21&lt;&gt;"-",CONCATENATE("`EE_MNG.",AG21,".SET(",AM21,");        // [",K21,"..",L21,"]"),"-")</f>
        <v>`EE_MNG.PRES_N_AVG.SET(0);        // [0..3]</v>
      </c>
      <c r="AR21" s="54" t="str">
        <f t="shared" ref="AR21:AR26" ca="1" si="141">IF(AND(AD21="-",AE21="-",AF21="-",AG21="-"),"-",IF(AG21&lt;&gt;"-",CONCATENATE("EE_MEM #(`PARAM(16'h",RIGHT(AF21,4),", ",G21,", ",F21,", ",H21,")) ",AG21,"(); bit ",IF(H21=0,"unsigned [","signed ["),F21,"-1:0] ", AG21,"_V; assign ",AG21,"_V = ",AG21,".GET;"), CONCATENATE("EE_MEM #(`PARAM(16'h",RIGHT(AD21,4),", ",G21,", ",F21,", ",H21,")) ",AE21,"(); bit ",IF(H21=0,"unsigned [","signed ["),F21,"-1:0] ", AE21,"_V; assign ",AE21,"_V = ",AE21,".GET;")))</f>
        <v>EE_MEM #(`PARAM(16'h1004, 14, 2, 0)) PRES_N_AVG(); bit unsigned [2-1:0] PRES_N_AVG_V; assign PRES_N_AVG_V = PRES_N_AVG.GET;</v>
      </c>
      <c r="AS21" s="12" t="str">
        <f t="shared" ref="AS21:AS26" ca="1" si="142">IF(AG21="-",AE21,INDIRECT(ADDRESS(ROW()-1,COLUMN())))</f>
        <v>EE_N_AVG_CONF</v>
      </c>
    </row>
    <row r="22" spans="2:45" ht="114.75">
      <c r="B22" s="55" t="str">
        <f t="shared" ca="1" si="119"/>
        <v>CUST</v>
      </c>
      <c r="C22" s="55" t="s">
        <v>58</v>
      </c>
      <c r="D22" s="56" t="s">
        <v>569</v>
      </c>
      <c r="E22" s="57" t="str">
        <f t="shared" ca="1" si="120"/>
        <v>0x1004</v>
      </c>
      <c r="F22" s="57">
        <v>3</v>
      </c>
      <c r="G22" s="57">
        <v>11</v>
      </c>
      <c r="H22" s="57">
        <v>0</v>
      </c>
      <c r="I22" s="57" t="s">
        <v>68</v>
      </c>
      <c r="J22" s="50" t="str">
        <f t="shared" ref="J22:J25" si="143">IF(D22&lt;&gt;"-","["&amp;AI22&amp;":"&amp;AJ22&amp;"]","-")</f>
        <v>[13:11]</v>
      </c>
      <c r="K22" s="50">
        <f t="shared" ref="K22:K25" si="144">IF(H22,-L22-1,0)</f>
        <v>0</v>
      </c>
      <c r="L22" s="50">
        <f t="shared" ref="L22:L25" si="145">IF(H22,FLOOR((2^F22-1)/2,1),2^F22-1)</f>
        <v>7</v>
      </c>
      <c r="M22" s="61" t="s">
        <v>684</v>
      </c>
      <c r="N22" s="28"/>
      <c r="O22" s="57">
        <v>0</v>
      </c>
      <c r="P22" s="57">
        <f t="shared" si="124"/>
        <v>0</v>
      </c>
      <c r="Q22" s="57">
        <f t="shared" si="125"/>
        <v>0</v>
      </c>
      <c r="R22" s="57">
        <f t="shared" si="126"/>
        <v>0</v>
      </c>
      <c r="S22" s="163">
        <f t="shared" si="126"/>
        <v>0</v>
      </c>
      <c r="T22" s="163">
        <v>0</v>
      </c>
      <c r="U22" s="163">
        <f t="shared" si="127"/>
        <v>0</v>
      </c>
      <c r="V22" s="163">
        <f t="shared" si="67"/>
        <v>0</v>
      </c>
      <c r="W22" s="59"/>
      <c r="X22" s="57">
        <f t="shared" ref="X22:X25" ca="1" si="146">IF(H22=0,AP22,    IF(AP22&lt;=2^(F22-1)-1,AP22,AP22-2^F22)  )</f>
        <v>0</v>
      </c>
      <c r="Y22" s="32"/>
      <c r="AC22" s="12" t="b">
        <f t="shared" si="4"/>
        <v>1</v>
      </c>
      <c r="AD22" s="12" t="str">
        <f t="shared" ref="AD22:AD25" si="147">IF(AND(D22="-",C22&lt;&gt;"-"),E22,"-")</f>
        <v>-</v>
      </c>
      <c r="AE22" s="12" t="str">
        <f t="shared" ref="AE22:AE25" si="148">IF(D22="-",C22,"-")</f>
        <v>-</v>
      </c>
      <c r="AF22" s="12" t="str">
        <f t="shared" ref="AF22:AF25" ca="1" si="149">IF(AND(D22&lt;&gt;"-",ISTEXT(D22)),E22,"-")</f>
        <v>0x1004</v>
      </c>
      <c r="AG22" s="12" t="str">
        <f t="shared" ref="AG22:AG25" si="150">IF(AND(D22&lt;&gt;"-",ISTEXT(D22)),D22,"-")</f>
        <v>VSTEMP_N_AVG</v>
      </c>
      <c r="AH22" s="12">
        <f t="shared" ref="AH22:AH25" si="151">IF(D22&lt;&gt;"-",F22,"-")</f>
        <v>3</v>
      </c>
      <c r="AI22" s="12">
        <f t="shared" ref="AI22:AI25" si="152">IF(D22&lt;&gt;"-",G22+F22-1,"-")</f>
        <v>13</v>
      </c>
      <c r="AJ22" s="12">
        <f t="shared" ref="AJ22:AJ25" si="153">IF(D22&lt;&gt;"-",G22,"-")</f>
        <v>11</v>
      </c>
      <c r="AK22" s="12">
        <f t="shared" ref="AK22:AK25" si="154">IF(OR(AH22="-",AJ22="-"),AD22,(2^AH22-1)*2^AJ22)</f>
        <v>14336</v>
      </c>
      <c r="AL22" s="12" t="str">
        <f t="shared" ref="AL22:AL25" si="155">IF(D22="-",B22,"-")</f>
        <v>-</v>
      </c>
      <c r="AM22" s="22">
        <f t="shared" si="14"/>
        <v>0</v>
      </c>
      <c r="AN22" s="12">
        <f t="shared" ref="AN22:AN25" si="156">IF(OR(AH22="-",AJ22="-"),AD22,IF(AM22&lt;0,AM22+2^AH22,AM22)*2^AJ22)</f>
        <v>0</v>
      </c>
      <c r="AO22" s="22" t="str">
        <f ca="1">IF(AF22="-",VLOOKUP(AD22,MemoryView!$A$3:$F$108,6,0),MID(VLOOKUP(AF22,MemoryView!$BD$3:$BE$108,2,0),15-AI22+1,AH22))</f>
        <v>000</v>
      </c>
      <c r="AP22" s="22">
        <f t="shared" ref="AP22:AP25" ca="1" si="157">IF(AF22="-",HEX2DEC(AO22),IF(LEN(AO22)&gt;8,BIN2DEC(LEFT(AO22,LEN(AO22)-8))*2^8+BIN2DEC(RIGHT(AO22,8)),BIN2DEC(AO22)))</f>
        <v>0</v>
      </c>
      <c r="AQ22" s="53" t="str">
        <f t="shared" ref="AQ22:AQ25" si="158">IF(AG22&lt;&gt;"-",CONCATENATE("`EE_MNG.",AG22,".SET(",AM22,");        // [",K22,"..",L22,"]"),"-")</f>
        <v>`EE_MNG.VSTEMP_N_AVG.SET(0);        // [0..7]</v>
      </c>
      <c r="AR22" s="54" t="str">
        <f t="shared" ref="AR22:AR25" ca="1" si="159">IF(AND(AD22="-",AE22="-",AF22="-",AG22="-"),"-",IF(AG22&lt;&gt;"-",CONCATENATE("EE_MEM #(`PARAM(16'h",RIGHT(AF22,4),", ",G22,", ",F22,", ",H22,")) ",AG22,"(); bit ",IF(H22=0,"unsigned [","signed ["),F22,"-1:0] ", AG22,"_V; assign ",AG22,"_V = ",AG22,".GET;"), CONCATENATE("EE_MEM #(`PARAM(16'h",RIGHT(AD22,4),", ",G22,", ",F22,", ",H22,")) ",AE22,"(); bit ",IF(H22=0,"unsigned [","signed ["),F22,"-1:0] ", AE22,"_V; assign ",AE22,"_V = ",AE22,".GET;")))</f>
        <v>EE_MEM #(`PARAM(16'h1004, 11, 3, 0)) VSTEMP_N_AVG(); bit unsigned [3-1:0] VSTEMP_N_AVG_V; assign VSTEMP_N_AVG_V = VSTEMP_N_AVG.GET;</v>
      </c>
      <c r="AS22" s="12" t="str">
        <f t="shared" ref="AS22:AS25" ca="1" si="160">IF(AG22="-",AE22,INDIRECT(ADDRESS(ROW()-1,COLUMN())))</f>
        <v>EE_N_AVG_CONF</v>
      </c>
    </row>
    <row r="23" spans="2:45" ht="114.75">
      <c r="B23" s="55" t="str">
        <f t="shared" ca="1" si="119"/>
        <v>CUST</v>
      </c>
      <c r="C23" s="55" t="s">
        <v>58</v>
      </c>
      <c r="D23" s="56" t="s">
        <v>570</v>
      </c>
      <c r="E23" s="57" t="str">
        <f t="shared" ca="1" si="120"/>
        <v>0x1004</v>
      </c>
      <c r="F23" s="57">
        <v>3</v>
      </c>
      <c r="G23" s="57">
        <v>8</v>
      </c>
      <c r="H23" s="57">
        <v>0</v>
      </c>
      <c r="I23" s="57" t="s">
        <v>68</v>
      </c>
      <c r="J23" s="50" t="str">
        <f t="shared" si="143"/>
        <v>[10:8]</v>
      </c>
      <c r="K23" s="50">
        <f t="shared" si="144"/>
        <v>0</v>
      </c>
      <c r="L23" s="50">
        <f t="shared" si="145"/>
        <v>7</v>
      </c>
      <c r="M23" s="61" t="s">
        <v>683</v>
      </c>
      <c r="N23" s="28"/>
      <c r="O23" s="57">
        <v>0</v>
      </c>
      <c r="P23" s="57">
        <f t="shared" si="124"/>
        <v>0</v>
      </c>
      <c r="Q23" s="57">
        <f t="shared" si="125"/>
        <v>0</v>
      </c>
      <c r="R23" s="57">
        <f t="shared" si="126"/>
        <v>0</v>
      </c>
      <c r="S23" s="163">
        <f t="shared" si="126"/>
        <v>0</v>
      </c>
      <c r="T23" s="163">
        <v>0</v>
      </c>
      <c r="U23" s="163">
        <f t="shared" si="127"/>
        <v>0</v>
      </c>
      <c r="V23" s="163">
        <f t="shared" si="67"/>
        <v>0</v>
      </c>
      <c r="W23" s="59"/>
      <c r="X23" s="57">
        <f t="shared" ca="1" si="146"/>
        <v>0</v>
      </c>
      <c r="Y23" s="32"/>
      <c r="AC23" s="12" t="b">
        <f t="shared" si="4"/>
        <v>1</v>
      </c>
      <c r="AD23" s="12" t="str">
        <f t="shared" si="147"/>
        <v>-</v>
      </c>
      <c r="AE23" s="12" t="str">
        <f t="shared" si="148"/>
        <v>-</v>
      </c>
      <c r="AF23" s="12" t="str">
        <f t="shared" ca="1" si="149"/>
        <v>0x1004</v>
      </c>
      <c r="AG23" s="12" t="str">
        <f t="shared" si="150"/>
        <v>VSTEMP2_N_AVG</v>
      </c>
      <c r="AH23" s="12">
        <f t="shared" si="151"/>
        <v>3</v>
      </c>
      <c r="AI23" s="12">
        <f t="shared" si="152"/>
        <v>10</v>
      </c>
      <c r="AJ23" s="12">
        <f t="shared" si="153"/>
        <v>8</v>
      </c>
      <c r="AK23" s="12">
        <f t="shared" si="154"/>
        <v>1792</v>
      </c>
      <c r="AL23" s="12" t="str">
        <f t="shared" si="155"/>
        <v>-</v>
      </c>
      <c r="AM23" s="22">
        <f t="shared" si="14"/>
        <v>0</v>
      </c>
      <c r="AN23" s="12">
        <f t="shared" si="156"/>
        <v>0</v>
      </c>
      <c r="AO23" s="22" t="str">
        <f ca="1">IF(AF23="-",VLOOKUP(AD23,MemoryView!$A$3:$F$108,6,0),MID(VLOOKUP(AF23,MemoryView!$BD$3:$BE$108,2,0),15-AI23+1,AH23))</f>
        <v>000</v>
      </c>
      <c r="AP23" s="22">
        <f t="shared" ca="1" si="157"/>
        <v>0</v>
      </c>
      <c r="AQ23" s="53" t="str">
        <f t="shared" si="158"/>
        <v>`EE_MNG.VSTEMP2_N_AVG.SET(0);        // [0..7]</v>
      </c>
      <c r="AR23" s="54" t="str">
        <f t="shared" ca="1" si="159"/>
        <v>EE_MEM #(`PARAM(16'h1004, 8, 3, 0)) VSTEMP2_N_AVG(); bit unsigned [3-1:0] VSTEMP2_N_AVG_V; assign VSTEMP2_N_AVG_V = VSTEMP2_N_AVG.GET;</v>
      </c>
      <c r="AS23" s="12" t="str">
        <f t="shared" ca="1" si="160"/>
        <v>EE_N_AVG_CONF</v>
      </c>
    </row>
    <row r="24" spans="2:45" ht="76.5">
      <c r="B24" s="55" t="str">
        <f t="shared" ca="1" si="119"/>
        <v>CUST</v>
      </c>
      <c r="C24" s="55" t="s">
        <v>58</v>
      </c>
      <c r="D24" s="56" t="s">
        <v>571</v>
      </c>
      <c r="E24" s="57" t="str">
        <f t="shared" ca="1" si="120"/>
        <v>0x1004</v>
      </c>
      <c r="F24" s="57">
        <v>2</v>
      </c>
      <c r="G24" s="57">
        <v>6</v>
      </c>
      <c r="H24" s="57">
        <v>0</v>
      </c>
      <c r="I24" s="57" t="s">
        <v>68</v>
      </c>
      <c r="J24" s="50" t="str">
        <f t="shared" si="143"/>
        <v>[7:6]</v>
      </c>
      <c r="K24" s="50">
        <f t="shared" si="144"/>
        <v>0</v>
      </c>
      <c r="L24" s="50">
        <f t="shared" si="145"/>
        <v>3</v>
      </c>
      <c r="M24" s="61" t="s">
        <v>682</v>
      </c>
      <c r="N24" s="28"/>
      <c r="O24" s="57">
        <v>0</v>
      </c>
      <c r="P24" s="57">
        <f t="shared" si="124"/>
        <v>0</v>
      </c>
      <c r="Q24" s="57">
        <f t="shared" si="125"/>
        <v>0</v>
      </c>
      <c r="R24" s="57">
        <f t="shared" si="126"/>
        <v>0</v>
      </c>
      <c r="S24" s="163">
        <f t="shared" si="126"/>
        <v>0</v>
      </c>
      <c r="T24" s="163">
        <v>0</v>
      </c>
      <c r="U24" s="163">
        <f t="shared" si="127"/>
        <v>0</v>
      </c>
      <c r="V24" s="163">
        <f t="shared" si="67"/>
        <v>0</v>
      </c>
      <c r="W24" s="59"/>
      <c r="X24" s="57">
        <f t="shared" ca="1" si="146"/>
        <v>0</v>
      </c>
      <c r="Y24" s="32"/>
      <c r="AC24" s="12" t="b">
        <f t="shared" si="4"/>
        <v>1</v>
      </c>
      <c r="AD24" s="12" t="str">
        <f t="shared" si="147"/>
        <v>-</v>
      </c>
      <c r="AE24" s="12" t="str">
        <f t="shared" si="148"/>
        <v>-</v>
      </c>
      <c r="AF24" s="12" t="str">
        <f t="shared" ca="1" si="149"/>
        <v>0x1004</v>
      </c>
      <c r="AG24" s="12" t="str">
        <f t="shared" si="150"/>
        <v>VANA_DIV_N_AVG</v>
      </c>
      <c r="AH24" s="12">
        <f t="shared" si="151"/>
        <v>2</v>
      </c>
      <c r="AI24" s="12">
        <f t="shared" si="152"/>
        <v>7</v>
      </c>
      <c r="AJ24" s="12">
        <f t="shared" si="153"/>
        <v>6</v>
      </c>
      <c r="AK24" s="12">
        <f t="shared" si="154"/>
        <v>192</v>
      </c>
      <c r="AL24" s="12" t="str">
        <f t="shared" si="155"/>
        <v>-</v>
      </c>
      <c r="AM24" s="22">
        <f t="shared" si="14"/>
        <v>0</v>
      </c>
      <c r="AN24" s="12">
        <f t="shared" si="156"/>
        <v>0</v>
      </c>
      <c r="AO24" s="22" t="str">
        <f ca="1">IF(AF24="-",VLOOKUP(AD24,MemoryView!$A$3:$F$108,6,0),MID(VLOOKUP(AF24,MemoryView!$BD$3:$BE$108,2,0),15-AI24+1,AH24))</f>
        <v>00</v>
      </c>
      <c r="AP24" s="22">
        <f t="shared" ca="1" si="157"/>
        <v>0</v>
      </c>
      <c r="AQ24" s="53" t="str">
        <f t="shared" si="158"/>
        <v>`EE_MNG.VANA_DIV_N_AVG.SET(0);        // [0..3]</v>
      </c>
      <c r="AR24" s="54" t="str">
        <f t="shared" ca="1" si="159"/>
        <v>EE_MEM #(`PARAM(16'h1004, 6, 2, 0)) VANA_DIV_N_AVG(); bit unsigned [2-1:0] VANA_DIV_N_AVG_V; assign VANA_DIV_N_AVG_V = VANA_DIV_N_AVG.GET;</v>
      </c>
      <c r="AS24" s="12" t="str">
        <f t="shared" ca="1" si="160"/>
        <v>EE_N_AVG_CONF</v>
      </c>
    </row>
    <row r="25" spans="2:45" ht="114.75">
      <c r="B25" s="55" t="str">
        <f t="shared" ca="1" si="119"/>
        <v>CUST</v>
      </c>
      <c r="C25" s="55" t="s">
        <v>58</v>
      </c>
      <c r="D25" s="56" t="s">
        <v>572</v>
      </c>
      <c r="E25" s="57" t="str">
        <f t="shared" ca="1" si="120"/>
        <v>0x1004</v>
      </c>
      <c r="F25" s="57">
        <v>3</v>
      </c>
      <c r="G25" s="57">
        <v>3</v>
      </c>
      <c r="H25" s="57">
        <v>0</v>
      </c>
      <c r="I25" s="57" t="s">
        <v>68</v>
      </c>
      <c r="J25" s="50" t="str">
        <f t="shared" si="143"/>
        <v>[5:3]</v>
      </c>
      <c r="K25" s="50">
        <f t="shared" si="144"/>
        <v>0</v>
      </c>
      <c r="L25" s="50">
        <f t="shared" si="145"/>
        <v>7</v>
      </c>
      <c r="M25" s="61" t="s">
        <v>578</v>
      </c>
      <c r="N25" s="28"/>
      <c r="O25" s="57">
        <v>3</v>
      </c>
      <c r="P25" s="57">
        <f t="shared" si="124"/>
        <v>3</v>
      </c>
      <c r="Q25" s="57">
        <f t="shared" si="125"/>
        <v>3</v>
      </c>
      <c r="R25" s="57">
        <f t="shared" si="126"/>
        <v>3</v>
      </c>
      <c r="S25" s="163">
        <f t="shared" si="126"/>
        <v>3</v>
      </c>
      <c r="T25" s="163">
        <v>3</v>
      </c>
      <c r="U25" s="163">
        <f t="shared" si="127"/>
        <v>3</v>
      </c>
      <c r="V25" s="163">
        <f t="shared" si="67"/>
        <v>3</v>
      </c>
      <c r="W25" s="59"/>
      <c r="X25" s="57">
        <f t="shared" ca="1" si="146"/>
        <v>3</v>
      </c>
      <c r="Y25" s="32"/>
      <c r="AC25" s="12" t="b">
        <f t="shared" si="4"/>
        <v>1</v>
      </c>
      <c r="AD25" s="12" t="str">
        <f t="shared" si="147"/>
        <v>-</v>
      </c>
      <c r="AE25" s="12" t="str">
        <f t="shared" si="148"/>
        <v>-</v>
      </c>
      <c r="AF25" s="12" t="str">
        <f t="shared" ca="1" si="149"/>
        <v>0x1004</v>
      </c>
      <c r="AG25" s="12" t="str">
        <f t="shared" si="150"/>
        <v>VPTAT_N_AVG</v>
      </c>
      <c r="AH25" s="12">
        <f t="shared" si="151"/>
        <v>3</v>
      </c>
      <c r="AI25" s="12">
        <f t="shared" si="152"/>
        <v>5</v>
      </c>
      <c r="AJ25" s="12">
        <f t="shared" si="153"/>
        <v>3</v>
      </c>
      <c r="AK25" s="12">
        <f t="shared" si="154"/>
        <v>56</v>
      </c>
      <c r="AL25" s="12" t="str">
        <f t="shared" si="155"/>
        <v>-</v>
      </c>
      <c r="AM25" s="22">
        <f t="shared" si="14"/>
        <v>3</v>
      </c>
      <c r="AN25" s="12">
        <f t="shared" si="156"/>
        <v>24</v>
      </c>
      <c r="AO25" s="22" t="str">
        <f ca="1">IF(AF25="-",VLOOKUP(AD25,MemoryView!$A$3:$F$108,6,0),MID(VLOOKUP(AF25,MemoryView!$BD$3:$BE$108,2,0),15-AI25+1,AH25))</f>
        <v>011</v>
      </c>
      <c r="AP25" s="22">
        <f t="shared" ca="1" si="157"/>
        <v>3</v>
      </c>
      <c r="AQ25" s="53" t="str">
        <f t="shared" si="158"/>
        <v>`EE_MNG.VPTAT_N_AVG.SET(3);        // [0..7]</v>
      </c>
      <c r="AR25" s="54" t="str">
        <f t="shared" ca="1" si="159"/>
        <v>EE_MEM #(`PARAM(16'h1004, 3, 3, 0)) VPTAT_N_AVG(); bit unsigned [3-1:0] VPTAT_N_AVG_V; assign VPTAT_N_AVG_V = VPTAT_N_AVG.GET;</v>
      </c>
      <c r="AS25" s="12" t="str">
        <f t="shared" ca="1" si="160"/>
        <v>EE_N_AVG_CONF</v>
      </c>
    </row>
    <row r="26" spans="2:45" ht="114.75">
      <c r="B26" s="55" t="str">
        <f t="shared" ca="1" si="119"/>
        <v>CUST</v>
      </c>
      <c r="C26" s="55" t="s">
        <v>58</v>
      </c>
      <c r="D26" s="56" t="s">
        <v>574</v>
      </c>
      <c r="E26" s="57" t="str">
        <f t="shared" ca="1" si="120"/>
        <v>0x1004</v>
      </c>
      <c r="F26" s="57">
        <v>3</v>
      </c>
      <c r="G26" s="57">
        <v>0</v>
      </c>
      <c r="H26" s="57">
        <v>0</v>
      </c>
      <c r="I26" s="57" t="s">
        <v>68</v>
      </c>
      <c r="J26" s="50" t="str">
        <f t="shared" si="121"/>
        <v>[2:0]</v>
      </c>
      <c r="K26" s="50">
        <f t="shared" si="122"/>
        <v>0</v>
      </c>
      <c r="L26" s="50">
        <f t="shared" si="123"/>
        <v>7</v>
      </c>
      <c r="M26" s="61" t="s">
        <v>577</v>
      </c>
      <c r="N26" s="28"/>
      <c r="O26" s="57">
        <v>2</v>
      </c>
      <c r="P26" s="57">
        <f t="shared" si="124"/>
        <v>2</v>
      </c>
      <c r="Q26" s="57">
        <f t="shared" si="125"/>
        <v>2</v>
      </c>
      <c r="R26" s="57">
        <f t="shared" si="126"/>
        <v>2</v>
      </c>
      <c r="S26" s="163">
        <f t="shared" si="126"/>
        <v>2</v>
      </c>
      <c r="T26" s="163">
        <v>2</v>
      </c>
      <c r="U26" s="163">
        <f t="shared" si="127"/>
        <v>2</v>
      </c>
      <c r="V26" s="163">
        <f t="shared" si="67"/>
        <v>2</v>
      </c>
      <c r="W26" s="59"/>
      <c r="X26" s="57">
        <f t="shared" ca="1" si="128"/>
        <v>2</v>
      </c>
      <c r="Y26" s="32"/>
      <c r="AC26" s="12" t="b">
        <f t="shared" si="4"/>
        <v>1</v>
      </c>
      <c r="AD26" s="12" t="str">
        <f t="shared" si="129"/>
        <v>-</v>
      </c>
      <c r="AE26" s="12" t="str">
        <f t="shared" si="130"/>
        <v>-</v>
      </c>
      <c r="AF26" s="12" t="str">
        <f t="shared" ca="1" si="131"/>
        <v>0x1004</v>
      </c>
      <c r="AG26" s="12" t="str">
        <f t="shared" si="132"/>
        <v>RNTC_N_AVG</v>
      </c>
      <c r="AH26" s="12">
        <f t="shared" si="133"/>
        <v>3</v>
      </c>
      <c r="AI26" s="12">
        <f t="shared" si="134"/>
        <v>2</v>
      </c>
      <c r="AJ26" s="12">
        <f t="shared" si="135"/>
        <v>0</v>
      </c>
      <c r="AK26" s="12">
        <f t="shared" si="136"/>
        <v>7</v>
      </c>
      <c r="AL26" s="12" t="str">
        <f t="shared" si="137"/>
        <v>-</v>
      </c>
      <c r="AM26" s="22">
        <f t="shared" si="14"/>
        <v>2</v>
      </c>
      <c r="AN26" s="12">
        <f t="shared" si="138"/>
        <v>2</v>
      </c>
      <c r="AO26" s="22" t="str">
        <f ca="1">IF(AF26="-",VLOOKUP(AD26,MemoryView!$A$3:$F$108,6,0),MID(VLOOKUP(AF26,MemoryView!$BD$3:$BE$108,2,0),15-AI26+1,AH26))</f>
        <v>010</v>
      </c>
      <c r="AP26" s="22">
        <f t="shared" ca="1" si="139"/>
        <v>2</v>
      </c>
      <c r="AQ26" s="53" t="str">
        <f t="shared" si="140"/>
        <v>`EE_MNG.RNTC_N_AVG.SET(2);        // [0..7]</v>
      </c>
      <c r="AR26" s="54" t="str">
        <f t="shared" ca="1" si="141"/>
        <v>EE_MEM #(`PARAM(16'h1004, 0, 3, 0)) RNTC_N_AVG(); bit unsigned [3-1:0] RNTC_N_AVG_V; assign RNTC_N_AVG_V = RNTC_N_AVG.GET;</v>
      </c>
      <c r="AS26" s="12" t="str">
        <f t="shared" ca="1" si="142"/>
        <v>EE_N_AVG_CONF</v>
      </c>
    </row>
    <row r="27" spans="2:45">
      <c r="B27" s="47" t="str">
        <f t="shared" ca="1" si="20"/>
        <v>CUST</v>
      </c>
      <c r="C27" s="47" t="s">
        <v>580</v>
      </c>
      <c r="D27" s="48" t="s">
        <v>58</v>
      </c>
      <c r="E27" s="60" t="str">
        <f ca="1">"0x"&amp;DEC2HEX(HEX2DEC(RIGHT(INDIRECT(ADDRESS(ROW()-1,COLUMN())),4))+2,4)</f>
        <v>0x1006</v>
      </c>
      <c r="F27" s="49">
        <v>16</v>
      </c>
      <c r="G27" s="49">
        <v>0</v>
      </c>
      <c r="H27" s="49">
        <v>0</v>
      </c>
      <c r="I27" s="49" t="s">
        <v>58</v>
      </c>
      <c r="J27" s="50" t="str">
        <f t="shared" ref="J27:J30" si="161">IF(D27&lt;&gt;"-","["&amp;AI27&amp;":"&amp;AJ27&amp;"]","-")</f>
        <v>-</v>
      </c>
      <c r="K27" s="50">
        <f t="shared" ref="K27:K30" si="162">IF(H27,-L27-1,0)</f>
        <v>0</v>
      </c>
      <c r="L27" s="50">
        <f t="shared" ref="L27:L30" si="163">IF(H27,FLOOR((2^F27-1)/2,1),2^F27-1)</f>
        <v>65535</v>
      </c>
      <c r="M27" s="51" t="s">
        <v>581</v>
      </c>
      <c r="N27" s="28"/>
      <c r="O27" s="125"/>
      <c r="P27" s="52"/>
      <c r="Q27" s="52"/>
      <c r="R27" s="52"/>
      <c r="S27" s="140"/>
      <c r="T27" s="165"/>
      <c r="U27" s="165"/>
      <c r="V27" s="165"/>
      <c r="W27" s="28"/>
      <c r="X27" s="52">
        <f t="shared" ref="X27:X30" ca="1" si="164">IF(H27=0,AP27,    IF(AP27&lt;=2^(F27-1)-1,AP27,AP27-2^F27)  )</f>
        <v>363</v>
      </c>
      <c r="Y27" s="32"/>
      <c r="AC27" s="12">
        <f t="shared" si="4"/>
        <v>1</v>
      </c>
      <c r="AD27" s="12" t="str">
        <f t="shared" ref="AD27:AD30" ca="1" si="165">IF(AND(D27="-",C27&lt;&gt;"-"),E27,"-")</f>
        <v>0x1006</v>
      </c>
      <c r="AE27" s="12" t="str">
        <f t="shared" ref="AE27:AE30" si="166">IF(D27="-",C27,"-")</f>
        <v>EE_OUT_FILT_CONF</v>
      </c>
      <c r="AF27" s="12" t="str">
        <f t="shared" ref="AF27:AF30" si="167">IF(AND(D27&lt;&gt;"-",ISTEXT(D27)),E27,"-")</f>
        <v>-</v>
      </c>
      <c r="AG27" s="12" t="str">
        <f t="shared" ref="AG27:AG30" si="168">IF(AND(D27&lt;&gt;"-",ISTEXT(D27)),D27,"-")</f>
        <v>-</v>
      </c>
      <c r="AH27" s="12" t="str">
        <f t="shared" ref="AH27:AH30" si="169">IF(D27&lt;&gt;"-",F27,"-")</f>
        <v>-</v>
      </c>
      <c r="AI27" s="12" t="str">
        <f t="shared" ref="AI27:AI30" si="170">IF(D27&lt;&gt;"-",G27+F27-1,"-")</f>
        <v>-</v>
      </c>
      <c r="AJ27" s="12" t="str">
        <f t="shared" ref="AJ27:AJ30" si="171">IF(D27&lt;&gt;"-",G27,"-")</f>
        <v>-</v>
      </c>
      <c r="AK27" s="12" t="str">
        <f t="shared" ref="AK27:AK30" ca="1" si="172">IF(OR(AH27="-",AJ27="-"),AD27,(2^AH27-1)*2^AJ27)</f>
        <v>0x1006</v>
      </c>
      <c r="AL27" s="12" t="str">
        <f t="shared" ref="AL27:AL30" ca="1" si="173">IF(D27="-",B27,"-")</f>
        <v>CUST</v>
      </c>
      <c r="AM27" s="22">
        <f t="shared" si="14"/>
        <v>0</v>
      </c>
      <c r="AN27" s="12" t="str">
        <f t="shared" ref="AN27:AN30" ca="1" si="174">IF(OR(AH27="-",AJ27="-"),AD27,IF(AM27&lt;0,AM27+2^AH27,AM27)*2^AJ27)</f>
        <v>0x1006</v>
      </c>
      <c r="AO27" s="22" t="str">
        <f ca="1">IF(AF27="-",VLOOKUP(AD27,MemoryView!$A$3:$F$108,6,0),MID(VLOOKUP(AF27,MemoryView!$BD$3:$BE$108,2,0),15-AI27+1,AH27))</f>
        <v>016B</v>
      </c>
      <c r="AP27" s="22">
        <f t="shared" ref="AP27:AP30" ca="1" si="175">IF(AF27="-",HEX2DEC(AO27),IF(LEN(AO27)&gt;8,BIN2DEC(LEFT(AO27,LEN(AO27)-8))*2^8+BIN2DEC(RIGHT(AO27,8)),BIN2DEC(AO27)))</f>
        <v>363</v>
      </c>
      <c r="AQ27" s="53" t="str">
        <f t="shared" ref="AQ27:AQ30" si="176">IF(AG27&lt;&gt;"-",CONCATENATE("`EE_MNG.",AG27,".SET(",AM27,");        // [",K27,"..",L27,"]"),"-")</f>
        <v>-</v>
      </c>
      <c r="AR27" s="54" t="str">
        <f t="shared" ref="AR27:AR30" ca="1" si="177">IF(AND(AD27="-",AE27="-",AF27="-",AG27="-"),"-",IF(AG27&lt;&gt;"-",CONCATENATE("EE_MEM #(`PARAM(16'h",RIGHT(AF27,4),", ",G27,", ",F27,", ",H27,")) ",AG27,"(); bit ",IF(H27=0,"unsigned [","signed ["),F27,"-1:0] ", AG27,"_V; assign ",AG27,"_V = ",AG27,".GET;"), CONCATENATE("EE_MEM #(`PARAM(16'h",RIGHT(AD27,4),", ",G27,", ",F27,", ",H27,")) ",AE27,"(); bit ",IF(H27=0,"unsigned [","signed ["),F27,"-1:0] ", AE27,"_V; assign ",AE27,"_V = ",AE27,".GET;")))</f>
        <v>EE_MEM #(`PARAM(16'h1006, 0, 16, 0)) EE_OUT_FILT_CONF(); bit unsigned [16-1:0] EE_OUT_FILT_CONF_V; assign EE_OUT_FILT_CONF_V = EE_OUT_FILT_CONF.GET;</v>
      </c>
      <c r="AS27" s="12" t="str">
        <f t="shared" ref="AS27:AS30" ca="1" si="178">IF(AG27="-",AE27,INDIRECT(ADDRESS(ROW()-1,COLUMN())))</f>
        <v>EE_OUT_FILT_CONF</v>
      </c>
    </row>
    <row r="28" spans="2:45">
      <c r="B28" s="55" t="str">
        <f ca="1">INDIRECT(ADDRESS(ROW()-1,COLUMN()))</f>
        <v>CUST</v>
      </c>
      <c r="C28" s="55" t="s">
        <v>58</v>
      </c>
      <c r="D28" s="56" t="s">
        <v>584</v>
      </c>
      <c r="E28" s="57" t="str">
        <f ca="1">INDIRECT(ADDRESS(ROW()-1,COLUMN()))</f>
        <v>0x1006</v>
      </c>
      <c r="F28" s="57">
        <v>1</v>
      </c>
      <c r="G28" s="57">
        <v>15</v>
      </c>
      <c r="H28" s="57">
        <v>0</v>
      </c>
      <c r="I28" s="57" t="s">
        <v>68</v>
      </c>
      <c r="J28" s="50" t="str">
        <f t="shared" ref="J28" si="179">IF(D28&lt;&gt;"-","["&amp;AI28&amp;":"&amp;AJ28&amp;"]","-")</f>
        <v>[15:15]</v>
      </c>
      <c r="K28" s="50">
        <f t="shared" ref="K28" si="180">IF(H28,-L28-1,0)</f>
        <v>0</v>
      </c>
      <c r="L28" s="50">
        <f t="shared" ref="L28" si="181">IF(H28,FLOOR((2^F28-1)/2,1),2^F28-1)</f>
        <v>1</v>
      </c>
      <c r="M28" s="58" t="s">
        <v>583</v>
      </c>
      <c r="N28" s="28"/>
      <c r="O28" s="57">
        <v>0</v>
      </c>
      <c r="P28" s="57">
        <f t="shared" ref="P28:P33" si="182">O28</f>
        <v>0</v>
      </c>
      <c r="Q28" s="57">
        <f t="shared" ref="Q28:Q33" si="183">O28</f>
        <v>0</v>
      </c>
      <c r="R28" s="57">
        <f t="shared" ref="R28:S33" si="184">O28</f>
        <v>0</v>
      </c>
      <c r="S28" s="163">
        <f t="shared" si="184"/>
        <v>0</v>
      </c>
      <c r="T28" s="163">
        <v>0</v>
      </c>
      <c r="U28" s="163">
        <f t="shared" ref="U28:U33" si="185">S28</f>
        <v>0</v>
      </c>
      <c r="V28" s="163">
        <f t="shared" si="67"/>
        <v>0</v>
      </c>
      <c r="W28" s="59"/>
      <c r="X28" s="57">
        <f t="shared" ref="X28" ca="1" si="186">IF(H28=0,AP28,    IF(AP28&lt;=2^(F28-1)-1,AP28,AP28-2^F28)  )</f>
        <v>0</v>
      </c>
      <c r="Y28" s="32"/>
      <c r="AC28" s="12" t="b">
        <f t="shared" si="4"/>
        <v>1</v>
      </c>
      <c r="AD28" s="12" t="str">
        <f t="shared" ref="AD28" si="187">IF(AND(D28="-",C28&lt;&gt;"-"),E28,"-")</f>
        <v>-</v>
      </c>
      <c r="AE28" s="12" t="str">
        <f t="shared" ref="AE28" si="188">IF(D28="-",C28,"-")</f>
        <v>-</v>
      </c>
      <c r="AF28" s="12" t="str">
        <f t="shared" ref="AF28" ca="1" si="189">IF(AND(D28&lt;&gt;"-",ISTEXT(D28)),E28,"-")</f>
        <v>0x1006</v>
      </c>
      <c r="AG28" s="12" t="str">
        <f t="shared" ref="AG28" si="190">IF(AND(D28&lt;&gt;"-",ISTEXT(D28)),D28,"-")</f>
        <v>OUT_FILT_CONF_RESERVED</v>
      </c>
      <c r="AH28" s="12">
        <f t="shared" ref="AH28" si="191">IF(D28&lt;&gt;"-",F28,"-")</f>
        <v>1</v>
      </c>
      <c r="AI28" s="12">
        <f t="shared" ref="AI28" si="192">IF(D28&lt;&gt;"-",G28+F28-1,"-")</f>
        <v>15</v>
      </c>
      <c r="AJ28" s="12">
        <f t="shared" ref="AJ28" si="193">IF(D28&lt;&gt;"-",G28,"-")</f>
        <v>15</v>
      </c>
      <c r="AK28" s="12">
        <f t="shared" ref="AK28" si="194">IF(OR(AH28="-",AJ28="-"),AD28,(2^AH28-1)*2^AJ28)</f>
        <v>32768</v>
      </c>
      <c r="AL28" s="12" t="str">
        <f t="shared" ref="AL28" si="195">IF(D28="-",B28,"-")</f>
        <v>-</v>
      </c>
      <c r="AM28" s="22">
        <f t="shared" si="14"/>
        <v>0</v>
      </c>
      <c r="AN28" s="12">
        <f t="shared" ref="AN28" si="196">IF(OR(AH28="-",AJ28="-"),AD28,IF(AM28&lt;0,AM28+2^AH28,AM28)*2^AJ28)</f>
        <v>0</v>
      </c>
      <c r="AO28" s="22" t="str">
        <f ca="1">IF(AF28="-",VLOOKUP(AD28,MemoryView!$A$3:$F$108,6,0),MID(VLOOKUP(AF28,MemoryView!$BD$3:$BE$108,2,0),15-AI28+1,AH28))</f>
        <v>0</v>
      </c>
      <c r="AP28" s="22">
        <f t="shared" ref="AP28" ca="1" si="197">IF(AF28="-",HEX2DEC(AO28),IF(LEN(AO28)&gt;8,BIN2DEC(LEFT(AO28,LEN(AO28)-8))*2^8+BIN2DEC(RIGHT(AO28,8)),BIN2DEC(AO28)))</f>
        <v>0</v>
      </c>
      <c r="AQ28" s="53" t="str">
        <f t="shared" ref="AQ28" si="198">IF(AG28&lt;&gt;"-",CONCATENATE("`EE_MNG.",AG28,".SET(",AM28,");        // [",K28,"..",L28,"]"),"-")</f>
        <v>`EE_MNG.OUT_FILT_CONF_RESERVED.SET(0);        // [0..1]</v>
      </c>
      <c r="AR28" s="54" t="str">
        <f t="shared" ref="AR28" ca="1" si="199">IF(AND(AD28="-",AE28="-",AF28="-",AG28="-"),"-",IF(AG28&lt;&gt;"-",CONCATENATE("EE_MEM #(`PARAM(16'h",RIGHT(AF28,4),", ",G28,", ",F28,", ",H28,")) ",AG28,"(); bit ",IF(H28=0,"unsigned [","signed ["),F28,"-1:0] ", AG28,"_V; assign ",AG28,"_V = ",AG28,".GET;"), CONCATENATE("EE_MEM #(`PARAM(16'h",RIGHT(AD28,4),", ",G28,", ",F28,", ",H28,")) ",AE28,"(); bit ",IF(H28=0,"unsigned [","signed ["),F28,"-1:0] ", AE28,"_V; assign ",AE28,"_V = ",AE28,".GET;")))</f>
        <v>EE_MEM #(`PARAM(16'h1006, 15, 1, 0)) OUT_FILT_CONF_RESERVED(); bit unsigned [1-1:0] OUT_FILT_CONF_RESERVED_V; assign OUT_FILT_CONF_RESERVED_V = OUT_FILT_CONF_RESERVED.GET;</v>
      </c>
      <c r="AS28" s="12" t="str">
        <f t="shared" ref="AS28" ca="1" si="200">IF(AG28="-",AE28,INDIRECT(ADDRESS(ROW()-1,COLUMN())))</f>
        <v>EE_OUT_FILT_CONF</v>
      </c>
    </row>
    <row r="29" spans="2:45" ht="63.75">
      <c r="B29" s="55" t="str">
        <f ca="1">INDIRECT(ADDRESS(ROW()-1,COLUMN()))</f>
        <v>CUST</v>
      </c>
      <c r="C29" s="55" t="s">
        <v>58</v>
      </c>
      <c r="D29" s="56" t="s">
        <v>456</v>
      </c>
      <c r="E29" s="57" t="str">
        <f ca="1">INDIRECT(ADDRESS(ROW()-1,COLUMN()))</f>
        <v>0x1006</v>
      </c>
      <c r="F29" s="57">
        <v>3</v>
      </c>
      <c r="G29" s="57">
        <v>12</v>
      </c>
      <c r="H29" s="57">
        <v>0</v>
      </c>
      <c r="I29" s="57" t="s">
        <v>68</v>
      </c>
      <c r="J29" s="50" t="str">
        <f t="shared" si="161"/>
        <v>[14:12]</v>
      </c>
      <c r="K29" s="50">
        <f t="shared" si="162"/>
        <v>0</v>
      </c>
      <c r="L29" s="50">
        <f t="shared" si="163"/>
        <v>7</v>
      </c>
      <c r="M29" s="61" t="s">
        <v>558</v>
      </c>
      <c r="N29" s="28"/>
      <c r="O29" s="57">
        <v>0</v>
      </c>
      <c r="P29" s="57">
        <f t="shared" si="182"/>
        <v>0</v>
      </c>
      <c r="Q29" s="57">
        <f t="shared" si="183"/>
        <v>0</v>
      </c>
      <c r="R29" s="57">
        <f t="shared" si="184"/>
        <v>0</v>
      </c>
      <c r="S29" s="163">
        <f t="shared" si="184"/>
        <v>0</v>
      </c>
      <c r="T29" s="163">
        <v>0</v>
      </c>
      <c r="U29" s="163">
        <f t="shared" si="185"/>
        <v>0</v>
      </c>
      <c r="V29" s="163">
        <f t="shared" si="67"/>
        <v>0</v>
      </c>
      <c r="W29" s="59"/>
      <c r="X29" s="57">
        <f t="shared" ca="1" si="164"/>
        <v>0</v>
      </c>
      <c r="Y29" s="32"/>
      <c r="AC29" s="12" t="b">
        <f t="shared" si="4"/>
        <v>1</v>
      </c>
      <c r="AD29" s="12" t="str">
        <f t="shared" si="165"/>
        <v>-</v>
      </c>
      <c r="AE29" s="12" t="str">
        <f t="shared" si="166"/>
        <v>-</v>
      </c>
      <c r="AF29" s="12" t="str">
        <f t="shared" ca="1" si="167"/>
        <v>0x1006</v>
      </c>
      <c r="AG29" s="12" t="str">
        <f t="shared" si="168"/>
        <v>TMEMS_FILT_DEPTH</v>
      </c>
      <c r="AH29" s="12">
        <f t="shared" si="169"/>
        <v>3</v>
      </c>
      <c r="AI29" s="12">
        <f t="shared" si="170"/>
        <v>14</v>
      </c>
      <c r="AJ29" s="12">
        <f t="shared" si="171"/>
        <v>12</v>
      </c>
      <c r="AK29" s="12">
        <f t="shared" si="172"/>
        <v>28672</v>
      </c>
      <c r="AL29" s="12" t="str">
        <f t="shared" si="173"/>
        <v>-</v>
      </c>
      <c r="AM29" s="22">
        <f t="shared" si="14"/>
        <v>0</v>
      </c>
      <c r="AN29" s="12">
        <f t="shared" si="174"/>
        <v>0</v>
      </c>
      <c r="AO29" s="22" t="str">
        <f ca="1">IF(AF29="-",VLOOKUP(AD29,MemoryView!$A$3:$F$108,6,0),MID(VLOOKUP(AF29,MemoryView!$BD$3:$BE$108,2,0),15-AI29+1,AH29))</f>
        <v>000</v>
      </c>
      <c r="AP29" s="22">
        <f t="shared" ca="1" si="175"/>
        <v>0</v>
      </c>
      <c r="AQ29" s="53" t="str">
        <f t="shared" si="176"/>
        <v>`EE_MNG.TMEMS_FILT_DEPTH.SET(0);        // [0..7]</v>
      </c>
      <c r="AR29" s="54" t="str">
        <f t="shared" ca="1" si="177"/>
        <v>EE_MEM #(`PARAM(16'h1006, 12, 3, 0)) TMEMS_FILT_DEPTH(); bit unsigned [3-1:0] TMEMS_FILT_DEPTH_V; assign TMEMS_FILT_DEPTH_V = TMEMS_FILT_DEPTH.GET;</v>
      </c>
      <c r="AS29" s="12" t="str">
        <f t="shared" ca="1" si="178"/>
        <v>EE_OUT_FILT_CONF</v>
      </c>
    </row>
    <row r="30" spans="2:45" ht="63.75">
      <c r="B30" s="55" t="str">
        <f ca="1">INDIRECT(ADDRESS(ROW()-1,COLUMN()))</f>
        <v>CUST</v>
      </c>
      <c r="C30" s="55" t="s">
        <v>58</v>
      </c>
      <c r="D30" s="56" t="s">
        <v>455</v>
      </c>
      <c r="E30" s="57" t="str">
        <f ca="1">INDIRECT(ADDRESS(ROW()-1,COLUMN()))</f>
        <v>0x1006</v>
      </c>
      <c r="F30" s="57">
        <v>3</v>
      </c>
      <c r="G30" s="57">
        <v>9</v>
      </c>
      <c r="H30" s="57">
        <v>0</v>
      </c>
      <c r="I30" s="57" t="s">
        <v>68</v>
      </c>
      <c r="J30" s="50" t="str">
        <f t="shared" si="161"/>
        <v>[11:9]</v>
      </c>
      <c r="K30" s="50">
        <f t="shared" si="162"/>
        <v>0</v>
      </c>
      <c r="L30" s="50">
        <f t="shared" si="163"/>
        <v>7</v>
      </c>
      <c r="M30" s="61" t="s">
        <v>557</v>
      </c>
      <c r="N30" s="28"/>
      <c r="O30" s="57">
        <v>0</v>
      </c>
      <c r="P30" s="57">
        <f t="shared" si="182"/>
        <v>0</v>
      </c>
      <c r="Q30" s="57">
        <f t="shared" si="183"/>
        <v>0</v>
      </c>
      <c r="R30" s="57">
        <f t="shared" si="184"/>
        <v>0</v>
      </c>
      <c r="S30" s="163">
        <f t="shared" si="184"/>
        <v>0</v>
      </c>
      <c r="T30" s="163">
        <v>0</v>
      </c>
      <c r="U30" s="163">
        <f t="shared" si="185"/>
        <v>0</v>
      </c>
      <c r="V30" s="163">
        <f t="shared" si="67"/>
        <v>0</v>
      </c>
      <c r="W30" s="59"/>
      <c r="X30" s="57">
        <f t="shared" ca="1" si="164"/>
        <v>0</v>
      </c>
      <c r="Y30" s="32"/>
      <c r="AC30" s="12" t="b">
        <f t="shared" si="4"/>
        <v>1</v>
      </c>
      <c r="AD30" s="12" t="str">
        <f t="shared" si="165"/>
        <v>-</v>
      </c>
      <c r="AE30" s="12" t="str">
        <f t="shared" si="166"/>
        <v>-</v>
      </c>
      <c r="AF30" s="12" t="str">
        <f t="shared" ca="1" si="167"/>
        <v>0x1006</v>
      </c>
      <c r="AG30" s="12" t="str">
        <f t="shared" si="168"/>
        <v>TINT_FILT_DEPTH</v>
      </c>
      <c r="AH30" s="12">
        <f t="shared" si="169"/>
        <v>3</v>
      </c>
      <c r="AI30" s="12">
        <f t="shared" si="170"/>
        <v>11</v>
      </c>
      <c r="AJ30" s="12">
        <f t="shared" si="171"/>
        <v>9</v>
      </c>
      <c r="AK30" s="12">
        <f t="shared" si="172"/>
        <v>3584</v>
      </c>
      <c r="AL30" s="12" t="str">
        <f t="shared" si="173"/>
        <v>-</v>
      </c>
      <c r="AM30" s="22">
        <f t="shared" si="14"/>
        <v>0</v>
      </c>
      <c r="AN30" s="12">
        <f t="shared" si="174"/>
        <v>0</v>
      </c>
      <c r="AO30" s="22" t="str">
        <f ca="1">IF(AF30="-",VLOOKUP(AD30,MemoryView!$A$3:$F$108,6,0),MID(VLOOKUP(AF30,MemoryView!$BD$3:$BE$108,2,0),15-AI30+1,AH30))</f>
        <v>000</v>
      </c>
      <c r="AP30" s="22">
        <f t="shared" ca="1" si="175"/>
        <v>0</v>
      </c>
      <c r="AQ30" s="53" t="str">
        <f t="shared" si="176"/>
        <v>`EE_MNG.TINT_FILT_DEPTH.SET(0);        // [0..7]</v>
      </c>
      <c r="AR30" s="54" t="str">
        <f t="shared" ca="1" si="177"/>
        <v>EE_MEM #(`PARAM(16'h1006, 9, 3, 0)) TINT_FILT_DEPTH(); bit unsigned [3-1:0] TINT_FILT_DEPTH_V; assign TINT_FILT_DEPTH_V = TINT_FILT_DEPTH.GET;</v>
      </c>
      <c r="AS30" s="12" t="str">
        <f t="shared" ca="1" si="178"/>
        <v>EE_OUT_FILT_CONF</v>
      </c>
    </row>
    <row r="31" spans="2:45" ht="216.75">
      <c r="B31" s="55" t="str">
        <f t="shared" ca="1" si="20"/>
        <v>CUST</v>
      </c>
      <c r="C31" s="55" t="s">
        <v>58</v>
      </c>
      <c r="D31" s="56" t="s">
        <v>504</v>
      </c>
      <c r="E31" s="57" t="str">
        <f t="shared" ca="1" si="21"/>
        <v>0x1006</v>
      </c>
      <c r="F31" s="57">
        <v>3</v>
      </c>
      <c r="G31" s="57">
        <v>6</v>
      </c>
      <c r="H31" s="57">
        <v>0</v>
      </c>
      <c r="I31" s="57" t="s">
        <v>68</v>
      </c>
      <c r="J31" s="50" t="str">
        <f t="shared" ref="J31" si="201">IF(D31&lt;&gt;"-","["&amp;AI31&amp;":"&amp;AJ31&amp;"]","-")</f>
        <v>[8:6]</v>
      </c>
      <c r="K31" s="50">
        <f t="shared" ref="K31" si="202">IF(H31,-L31-1,0)</f>
        <v>0</v>
      </c>
      <c r="L31" s="50">
        <f t="shared" ref="L31" si="203">IF(H31,FLOOR((2^F31-1)/2,1),2^F31-1)</f>
        <v>7</v>
      </c>
      <c r="M31" s="61" t="s">
        <v>588</v>
      </c>
      <c r="N31" s="28"/>
      <c r="O31" s="57">
        <v>3</v>
      </c>
      <c r="P31" s="57">
        <f t="shared" si="182"/>
        <v>3</v>
      </c>
      <c r="Q31" s="57">
        <f t="shared" si="183"/>
        <v>3</v>
      </c>
      <c r="R31" s="57">
        <f t="shared" si="184"/>
        <v>3</v>
      </c>
      <c r="S31" s="163">
        <v>5</v>
      </c>
      <c r="T31" s="163">
        <v>5</v>
      </c>
      <c r="U31" s="163">
        <f t="shared" si="185"/>
        <v>5</v>
      </c>
      <c r="V31" s="163">
        <f t="shared" si="67"/>
        <v>5</v>
      </c>
      <c r="W31" s="59"/>
      <c r="X31" s="57">
        <f t="shared" ref="X31" ca="1" si="204">IF(H31=0,AP31,    IF(AP31&lt;=2^(F31-1)-1,AP31,AP31-2^F31)  )</f>
        <v>5</v>
      </c>
      <c r="Y31" s="32"/>
      <c r="AC31" s="12" t="b">
        <f t="shared" si="4"/>
        <v>1</v>
      </c>
      <c r="AD31" s="12" t="str">
        <f t="shared" ref="AD31" si="205">IF(AND(D31="-",C31&lt;&gt;"-"),E31,"-")</f>
        <v>-</v>
      </c>
      <c r="AE31" s="12" t="str">
        <f t="shared" ref="AE31" si="206">IF(D31="-",C31,"-")</f>
        <v>-</v>
      </c>
      <c r="AF31" s="12" t="str">
        <f t="shared" ref="AF31" ca="1" si="207">IF(AND(D31&lt;&gt;"-",ISTEXT(D31)),E31,"-")</f>
        <v>0x1006</v>
      </c>
      <c r="AG31" s="12" t="str">
        <f t="shared" ref="AG31" si="208">IF(AND(D31&lt;&gt;"-",ISTEXT(D31)),D31,"-")</f>
        <v>TNTC_OUT_N_BIT</v>
      </c>
      <c r="AH31" s="12">
        <f t="shared" ref="AH31" si="209">IF(D31&lt;&gt;"-",F31,"-")</f>
        <v>3</v>
      </c>
      <c r="AI31" s="12">
        <f t="shared" ref="AI31" si="210">IF(D31&lt;&gt;"-",G31+F31-1,"-")</f>
        <v>8</v>
      </c>
      <c r="AJ31" s="12">
        <f t="shared" ref="AJ31" si="211">IF(D31&lt;&gt;"-",G31,"-")</f>
        <v>6</v>
      </c>
      <c r="AK31" s="12">
        <f t="shared" ref="AK31" si="212">IF(OR(AH31="-",AJ31="-"),AD31,(2^AH31-1)*2^AJ31)</f>
        <v>448</v>
      </c>
      <c r="AL31" s="12" t="str">
        <f t="shared" ref="AL31" si="213">IF(D31="-",B31,"-")</f>
        <v>-</v>
      </c>
      <c r="AM31" s="22">
        <f t="shared" si="14"/>
        <v>5</v>
      </c>
      <c r="AN31" s="12">
        <f t="shared" ref="AN31" si="214">IF(OR(AH31="-",AJ31="-"),AD31,IF(AM31&lt;0,AM31+2^AH31,AM31)*2^AJ31)</f>
        <v>320</v>
      </c>
      <c r="AO31" s="22" t="str">
        <f ca="1">IF(AF31="-",VLOOKUP(AD31,MemoryView!$A$3:$F$108,6,0),MID(VLOOKUP(AF31,MemoryView!$BD$3:$BE$108,2,0),15-AI31+1,AH31))</f>
        <v>101</v>
      </c>
      <c r="AP31" s="22">
        <f t="shared" ref="AP31" ca="1" si="215">IF(AF31="-",HEX2DEC(AO31),IF(LEN(AO31)&gt;8,BIN2DEC(LEFT(AO31,LEN(AO31)-8))*2^8+BIN2DEC(RIGHT(AO31,8)),BIN2DEC(AO31)))</f>
        <v>5</v>
      </c>
      <c r="AQ31" s="53" t="str">
        <f t="shared" ref="AQ31" si="216">IF(AG31&lt;&gt;"-",CONCATENATE("`EE_MNG.",AG31,".SET(",AM31,");        // [",K31,"..",L31,"]"),"-")</f>
        <v>`EE_MNG.TNTC_OUT_N_BIT.SET(5);        // [0..7]</v>
      </c>
      <c r="AR31" s="54" t="str">
        <f t="shared" ref="AR31" ca="1" si="217">IF(AND(AD31="-",AE31="-",AF31="-",AG31="-"),"-",IF(AG31&lt;&gt;"-",CONCATENATE("EE_MEM #(`PARAM(16'h",RIGHT(AF31,4),", ",G31,", ",F31,", ",H31,")) ",AG31,"(); bit ",IF(H31=0,"unsigned [","signed ["),F31,"-1:0] ", AG31,"_V; assign ",AG31,"_V = ",AG31,".GET;"), CONCATENATE("EE_MEM #(`PARAM(16'h",RIGHT(AD31,4),", ",G31,", ",F31,", ",H31,")) ",AE31,"(); bit ",IF(H31=0,"unsigned [","signed ["),F31,"-1:0] ", AE31,"_V; assign ",AE31,"_V = ",AE31,".GET;")))</f>
        <v>EE_MEM #(`PARAM(16'h1006, 6, 3, 0)) TNTC_OUT_N_BIT(); bit unsigned [3-1:0] TNTC_OUT_N_BIT_V; assign TNTC_OUT_N_BIT_V = TNTC_OUT_N_BIT.GET;</v>
      </c>
      <c r="AS31" s="12" t="str">
        <f t="shared" ref="AS31" ca="1" si="218">IF(AG31="-",AE31,INDIRECT(ADDRESS(ROW()-1,COLUMN())))</f>
        <v>EE_OUT_FILT_CONF</v>
      </c>
    </row>
    <row r="32" spans="2:45" ht="153">
      <c r="B32" s="55" t="str">
        <f t="shared" ca="1" si="20"/>
        <v>CUST</v>
      </c>
      <c r="C32" s="55" t="s">
        <v>58</v>
      </c>
      <c r="D32" s="56" t="s">
        <v>505</v>
      </c>
      <c r="E32" s="57" t="str">
        <f t="shared" ca="1" si="21"/>
        <v>0x1006</v>
      </c>
      <c r="F32" s="57">
        <v>3</v>
      </c>
      <c r="G32" s="57">
        <v>3</v>
      </c>
      <c r="H32" s="57">
        <v>0</v>
      </c>
      <c r="I32" s="57" t="s">
        <v>68</v>
      </c>
      <c r="J32" s="50" t="str">
        <f t="shared" ref="J32" si="219">IF(D32&lt;&gt;"-","["&amp;AI32&amp;":"&amp;AJ32&amp;"]","-")</f>
        <v>[5:3]</v>
      </c>
      <c r="K32" s="50">
        <f t="shared" ref="K32" si="220">IF(H32,-L32-1,0)</f>
        <v>0</v>
      </c>
      <c r="L32" s="50">
        <f t="shared" ref="L32" si="221">IF(H32,FLOOR((2^F32-1)/2,1),2^F32-1)</f>
        <v>7</v>
      </c>
      <c r="M32" s="61" t="s">
        <v>508</v>
      </c>
      <c r="N32" s="28"/>
      <c r="O32" s="57">
        <v>5</v>
      </c>
      <c r="P32" s="57">
        <f t="shared" si="182"/>
        <v>5</v>
      </c>
      <c r="Q32" s="57">
        <f t="shared" si="183"/>
        <v>5</v>
      </c>
      <c r="R32" s="57">
        <f t="shared" si="184"/>
        <v>5</v>
      </c>
      <c r="S32" s="163">
        <f t="shared" si="184"/>
        <v>5</v>
      </c>
      <c r="T32" s="163">
        <v>5</v>
      </c>
      <c r="U32" s="163">
        <f t="shared" si="185"/>
        <v>5</v>
      </c>
      <c r="V32" s="163">
        <f t="shared" si="67"/>
        <v>5</v>
      </c>
      <c r="W32" s="59"/>
      <c r="X32" s="57">
        <f t="shared" ref="X32" ca="1" si="222">IF(H32=0,AP32,    IF(AP32&lt;=2^(F32-1)-1,AP32,AP32-2^F32)  )</f>
        <v>5</v>
      </c>
      <c r="Y32" s="32"/>
      <c r="AC32" s="12" t="b">
        <f t="shared" si="4"/>
        <v>1</v>
      </c>
      <c r="AD32" s="12" t="str">
        <f t="shared" ref="AD32" si="223">IF(AND(D32="-",C32&lt;&gt;"-"),E32,"-")</f>
        <v>-</v>
      </c>
      <c r="AE32" s="12" t="str">
        <f t="shared" ref="AE32" si="224">IF(D32="-",C32,"-")</f>
        <v>-</v>
      </c>
      <c r="AF32" s="12" t="str">
        <f t="shared" ref="AF32" ca="1" si="225">IF(AND(D32&lt;&gt;"-",ISTEXT(D32)),E32,"-")</f>
        <v>0x1006</v>
      </c>
      <c r="AG32" s="12" t="str">
        <f t="shared" ref="AG32" si="226">IF(AND(D32&lt;&gt;"-",ISTEXT(D32)),D32,"-")</f>
        <v>TDEV_OUT_N_BIT</v>
      </c>
      <c r="AH32" s="12">
        <f t="shared" ref="AH32" si="227">IF(D32&lt;&gt;"-",F32,"-")</f>
        <v>3</v>
      </c>
      <c r="AI32" s="12">
        <f t="shared" ref="AI32" si="228">IF(D32&lt;&gt;"-",G32+F32-1,"-")</f>
        <v>5</v>
      </c>
      <c r="AJ32" s="12">
        <f t="shared" ref="AJ32" si="229">IF(D32&lt;&gt;"-",G32,"-")</f>
        <v>3</v>
      </c>
      <c r="AK32" s="12">
        <f t="shared" ref="AK32" si="230">IF(OR(AH32="-",AJ32="-"),AD32,(2^AH32-1)*2^AJ32)</f>
        <v>56</v>
      </c>
      <c r="AL32" s="12" t="str">
        <f t="shared" ref="AL32" si="231">IF(D32="-",B32,"-")</f>
        <v>-</v>
      </c>
      <c r="AM32" s="22">
        <f t="shared" si="14"/>
        <v>5</v>
      </c>
      <c r="AN32" s="12">
        <f t="shared" ref="AN32" si="232">IF(OR(AH32="-",AJ32="-"),AD32,IF(AM32&lt;0,AM32+2^AH32,AM32)*2^AJ32)</f>
        <v>40</v>
      </c>
      <c r="AO32" s="22" t="str">
        <f ca="1">IF(AF32="-",VLOOKUP(AD32,MemoryView!$A$3:$F$108,6,0),MID(VLOOKUP(AF32,MemoryView!$BD$3:$BE$108,2,0),15-AI32+1,AH32))</f>
        <v>101</v>
      </c>
      <c r="AP32" s="22">
        <f t="shared" ref="AP32" ca="1" si="233">IF(AF32="-",HEX2DEC(AO32),IF(LEN(AO32)&gt;8,BIN2DEC(LEFT(AO32,LEN(AO32)-8))*2^8+BIN2DEC(RIGHT(AO32,8)),BIN2DEC(AO32)))</f>
        <v>5</v>
      </c>
      <c r="AQ32" s="53" t="str">
        <f t="shared" ref="AQ32" si="234">IF(AG32&lt;&gt;"-",CONCATENATE("`EE_MNG.",AG32,".SET(",AM32,");        // [",K32,"..",L32,"]"),"-")</f>
        <v>`EE_MNG.TDEV_OUT_N_BIT.SET(5);        // [0..7]</v>
      </c>
      <c r="AR32" s="54" t="str">
        <f t="shared" ref="AR32" ca="1" si="235">IF(AND(AD32="-",AE32="-",AF32="-",AG32="-"),"-",IF(AG32&lt;&gt;"-",CONCATENATE("EE_MEM #(`PARAM(16'h",RIGHT(AF32,4),", ",G32,", ",F32,", ",H32,")) ",AG32,"(); bit ",IF(H32=0,"unsigned [","signed ["),F32,"-1:0] ", AG32,"_V; assign ",AG32,"_V = ",AG32,".GET;"), CONCATENATE("EE_MEM #(`PARAM(16'h",RIGHT(AD32,4),", ",G32,", ",F32,", ",H32,")) ",AE32,"(); bit ",IF(H32=0,"unsigned [","signed ["),F32,"-1:0] ", AE32,"_V; assign ",AE32,"_V = ",AE32,".GET;")))</f>
        <v>EE_MEM #(`PARAM(16'h1006, 3, 3, 0)) TDEV_OUT_N_BIT(); bit unsigned [3-1:0] TDEV_OUT_N_BIT_V; assign TDEV_OUT_N_BIT_V = TDEV_OUT_N_BIT.GET;</v>
      </c>
      <c r="AS32" s="12" t="str">
        <f t="shared" ref="AS32" ca="1" si="236">IF(AG32="-",AE32,INDIRECT(ADDRESS(ROW()-1,COLUMN())))</f>
        <v>EE_OUT_FILT_CONF</v>
      </c>
    </row>
    <row r="33" spans="2:45" ht="140.25">
      <c r="B33" s="55" t="str">
        <f t="shared" ca="1" si="20"/>
        <v>CUST</v>
      </c>
      <c r="C33" s="55" t="s">
        <v>58</v>
      </c>
      <c r="D33" s="56" t="s">
        <v>506</v>
      </c>
      <c r="E33" s="57" t="str">
        <f t="shared" ca="1" si="21"/>
        <v>0x1006</v>
      </c>
      <c r="F33" s="57">
        <v>3</v>
      </c>
      <c r="G33" s="57">
        <v>0</v>
      </c>
      <c r="H33" s="57">
        <v>0</v>
      </c>
      <c r="I33" s="57" t="s">
        <v>68</v>
      </c>
      <c r="J33" s="50" t="str">
        <f t="shared" si="101"/>
        <v>[2:0]</v>
      </c>
      <c r="K33" s="50">
        <f t="shared" si="102"/>
        <v>0</v>
      </c>
      <c r="L33" s="50">
        <f t="shared" si="103"/>
        <v>7</v>
      </c>
      <c r="M33" s="61" t="s">
        <v>756</v>
      </c>
      <c r="N33" s="28"/>
      <c r="O33" s="57">
        <v>3</v>
      </c>
      <c r="P33" s="57">
        <f t="shared" si="182"/>
        <v>3</v>
      </c>
      <c r="Q33" s="57">
        <f t="shared" si="183"/>
        <v>3</v>
      </c>
      <c r="R33" s="57">
        <f t="shared" si="184"/>
        <v>3</v>
      </c>
      <c r="S33" s="163">
        <f t="shared" si="184"/>
        <v>3</v>
      </c>
      <c r="T33" s="163">
        <v>3</v>
      </c>
      <c r="U33" s="163">
        <f t="shared" si="185"/>
        <v>3</v>
      </c>
      <c r="V33" s="163">
        <f t="shared" si="67"/>
        <v>3</v>
      </c>
      <c r="W33" s="59"/>
      <c r="X33" s="57">
        <f t="shared" ca="1" si="104"/>
        <v>3</v>
      </c>
      <c r="Y33" s="32"/>
      <c r="AC33" s="12" t="b">
        <f t="shared" si="4"/>
        <v>1</v>
      </c>
      <c r="AD33" s="12" t="str">
        <f t="shared" si="105"/>
        <v>-</v>
      </c>
      <c r="AE33" s="12" t="str">
        <f t="shared" si="106"/>
        <v>-</v>
      </c>
      <c r="AF33" s="12" t="str">
        <f t="shared" ca="1" si="107"/>
        <v>0x1006</v>
      </c>
      <c r="AG33" s="12" t="str">
        <f t="shared" si="108"/>
        <v>P_OUT_N_BIT</v>
      </c>
      <c r="AH33" s="12">
        <f t="shared" si="109"/>
        <v>3</v>
      </c>
      <c r="AI33" s="12">
        <f t="shared" si="110"/>
        <v>2</v>
      </c>
      <c r="AJ33" s="12">
        <f t="shared" si="111"/>
        <v>0</v>
      </c>
      <c r="AK33" s="12">
        <f t="shared" si="112"/>
        <v>7</v>
      </c>
      <c r="AL33" s="12" t="str">
        <f t="shared" si="113"/>
        <v>-</v>
      </c>
      <c r="AM33" s="22">
        <f t="shared" si="14"/>
        <v>3</v>
      </c>
      <c r="AN33" s="12">
        <f t="shared" si="114"/>
        <v>3</v>
      </c>
      <c r="AO33" s="22" t="str">
        <f ca="1">IF(AF33="-",VLOOKUP(AD33,MemoryView!$A$3:$F$108,6,0),MID(VLOOKUP(AF33,MemoryView!$BD$3:$BE$108,2,0),15-AI33+1,AH33))</f>
        <v>011</v>
      </c>
      <c r="AP33" s="22">
        <f t="shared" ca="1" si="115"/>
        <v>3</v>
      </c>
      <c r="AQ33" s="53" t="str">
        <f t="shared" si="116"/>
        <v>`EE_MNG.P_OUT_N_BIT.SET(3);        // [0..7]</v>
      </c>
      <c r="AR33" s="54" t="str">
        <f t="shared" ca="1" si="117"/>
        <v>EE_MEM #(`PARAM(16'h1006, 0, 3, 0)) P_OUT_N_BIT(); bit unsigned [3-1:0] P_OUT_N_BIT_V; assign P_OUT_N_BIT_V = P_OUT_N_BIT.GET;</v>
      </c>
      <c r="AS33" s="12" t="str">
        <f t="shared" ca="1" si="118"/>
        <v>EE_OUT_FILT_CONF</v>
      </c>
    </row>
    <row r="34" spans="2:45" ht="25.5">
      <c r="B34" s="47" t="str">
        <f t="shared" ca="1" si="20"/>
        <v>CUST</v>
      </c>
      <c r="C34" s="47" t="s">
        <v>685</v>
      </c>
      <c r="D34" s="48" t="s">
        <v>58</v>
      </c>
      <c r="E34" s="60" t="str">
        <f ca="1">"0x"&amp;DEC2HEX(HEX2DEC(RIGHT(INDIRECT(ADDRESS(ROW()-1,COLUMN())),4))+2,4)</f>
        <v>0x1008</v>
      </c>
      <c r="F34" s="49">
        <v>16</v>
      </c>
      <c r="G34" s="49">
        <v>0</v>
      </c>
      <c r="H34" s="49">
        <v>0</v>
      </c>
      <c r="I34" s="49" t="s">
        <v>58</v>
      </c>
      <c r="J34" s="50" t="str">
        <f t="shared" ref="J34:J39" si="237">IF(D34&lt;&gt;"-","["&amp;AI34&amp;":"&amp;AJ34&amp;"]","-")</f>
        <v>-</v>
      </c>
      <c r="K34" s="50">
        <f t="shared" ref="K34:K47" si="238">IF(H34,-L34-1,0)</f>
        <v>0</v>
      </c>
      <c r="L34" s="50">
        <f t="shared" ref="L34:L47" si="239">IF(H34,FLOOR((2^F34-1)/2,1),2^F34-1)</f>
        <v>65535</v>
      </c>
      <c r="M34" s="51" t="s">
        <v>461</v>
      </c>
      <c r="N34" s="28"/>
      <c r="O34" s="125"/>
      <c r="P34" s="52"/>
      <c r="Q34" s="52"/>
      <c r="R34" s="52"/>
      <c r="S34" s="140"/>
      <c r="T34" s="165"/>
      <c r="U34" s="165"/>
      <c r="V34" s="165"/>
      <c r="W34" s="28"/>
      <c r="X34" s="52">
        <f t="shared" ref="X34:X47" ca="1" si="240">IF(H34=0,AP34,    IF(AP34&lt;=2^(F34-1)-1,AP34,AP34-2^F34)  )</f>
        <v>32768</v>
      </c>
      <c r="Y34" s="32"/>
      <c r="AC34" s="12">
        <f t="shared" si="4"/>
        <v>1</v>
      </c>
      <c r="AD34" s="12" t="str">
        <f t="shared" ref="AD34:AD39" ca="1" si="241">IF(AND(D34="-",C34&lt;&gt;"-"),E34,"-")</f>
        <v>0x1008</v>
      </c>
      <c r="AE34" s="12" t="str">
        <f t="shared" ref="AE34:AE39" si="242">IF(D34="-",C34,"-")</f>
        <v>EE_WOC_VBE_NAVG_CONF</v>
      </c>
      <c r="AF34" s="12" t="str">
        <f t="shared" ref="AF34:AF39" si="243">IF(AND(D34&lt;&gt;"-",ISTEXT(D34)),E34,"-")</f>
        <v>-</v>
      </c>
      <c r="AG34" s="12" t="str">
        <f t="shared" ref="AG34:AG39" si="244">IF(AND(D34&lt;&gt;"-",ISTEXT(D34)),D34,"-")</f>
        <v>-</v>
      </c>
      <c r="AH34" s="12" t="str">
        <f t="shared" ref="AH34:AH39" si="245">IF(D34&lt;&gt;"-",F34,"-")</f>
        <v>-</v>
      </c>
      <c r="AI34" s="12" t="str">
        <f t="shared" ref="AI34:AI39" si="246">IF(D34&lt;&gt;"-",G34+F34-1,"-")</f>
        <v>-</v>
      </c>
      <c r="AJ34" s="12" t="str">
        <f t="shared" ref="AJ34:AJ39" si="247">IF(D34&lt;&gt;"-",G34,"-")</f>
        <v>-</v>
      </c>
      <c r="AK34" s="12" t="str">
        <f t="shared" ref="AK34:AK47" ca="1" si="248">IF(OR(AH34="-",AJ34="-"),AD34,(2^AH34-1)*2^AJ34)</f>
        <v>0x1008</v>
      </c>
      <c r="AL34" s="12" t="str">
        <f t="shared" ref="AL34:AL39" ca="1" si="249">IF(D34="-",B34,"-")</f>
        <v>CUST</v>
      </c>
      <c r="AM34" s="22">
        <f t="shared" si="14"/>
        <v>0</v>
      </c>
      <c r="AN34" s="12" t="str">
        <f t="shared" ref="AN34:AN47" ca="1" si="250">IF(OR(AH34="-",AJ34="-"),AD34,IF(AM34&lt;0,AM34+2^AH34,AM34)*2^AJ34)</f>
        <v>0x1008</v>
      </c>
      <c r="AO34" s="22" t="str">
        <f ca="1">IF(AF34="-",VLOOKUP(AD34,MemoryView!$A$3:$F$108,6,0),MID(VLOOKUP(AF34,MemoryView!$BD$3:$BE$108,2,0),15-AI34+1,AH34))</f>
        <v>8000</v>
      </c>
      <c r="AP34" s="22">
        <f t="shared" ref="AP34:AP47" ca="1" si="251">IF(AF34="-",HEX2DEC(AO34),IF(LEN(AO34)&gt;8,BIN2DEC(LEFT(AO34,LEN(AO34)-8))*2^8+BIN2DEC(RIGHT(AO34,8)),BIN2DEC(AO34)))</f>
        <v>32768</v>
      </c>
      <c r="AQ34" s="53" t="str">
        <f t="shared" ref="AQ34:AQ47" si="252">IF(AG34&lt;&gt;"-",CONCATENATE("`EE_MNG.",AG34,".SET(",AM34,");        // [",K34,"..",L34,"]"),"-")</f>
        <v>-</v>
      </c>
      <c r="AR34" s="54" t="str">
        <f t="shared" ref="AR34:AR47" ca="1" si="253">IF(AND(AD34="-",AE34="-",AF34="-",AG34="-"),"-",IF(AG34&lt;&gt;"-",CONCATENATE("EE_MEM #(`PARAM(16'h",RIGHT(AF34,4),", ",G34,", ",F34,", ",H34,")) ",AG34,"(); bit ",IF(H34=0,"unsigned [","signed ["),F34,"-1:0] ", AG34,"_V; assign ",AG34,"_V = ",AG34,".GET;"), CONCATENATE("EE_MEM #(`PARAM(16'h",RIGHT(AD34,4),", ",G34,", ",F34,", ",H34,")) ",AE34,"(); bit ",IF(H34=0,"unsigned [","signed ["),F34,"-1:0] ", AE34,"_V; assign ",AE34,"_V = ",AE34,".GET;")))</f>
        <v>EE_MEM #(`PARAM(16'h1008, 0, 16, 0)) EE_WOC_VBE_NAVG_CONF(); bit unsigned [16-1:0] EE_WOC_VBE_NAVG_CONF_V; assign EE_WOC_VBE_NAVG_CONF_V = EE_WOC_VBE_NAVG_CONF.GET;</v>
      </c>
      <c r="AS34" s="12" t="str">
        <f t="shared" ref="AS34:AS47" ca="1" si="254">IF(AG34="-",AE34,INDIRECT(ADDRESS(ROW()-1,COLUMN())))</f>
        <v>EE_WOC_VBE_NAVG_CONF</v>
      </c>
    </row>
    <row r="35" spans="2:45" ht="76.5">
      <c r="B35" s="55" t="str">
        <f t="shared" ca="1" si="20"/>
        <v>CUST</v>
      </c>
      <c r="C35" s="55" t="s">
        <v>58</v>
      </c>
      <c r="D35" s="156" t="s">
        <v>573</v>
      </c>
      <c r="E35" s="57" t="str">
        <f t="shared" ca="1" si="21"/>
        <v>0x1008</v>
      </c>
      <c r="F35" s="57">
        <v>2</v>
      </c>
      <c r="G35" s="57">
        <v>14</v>
      </c>
      <c r="H35" s="57">
        <v>0</v>
      </c>
      <c r="I35" s="57" t="s">
        <v>68</v>
      </c>
      <c r="J35" s="50" t="str">
        <f t="shared" ref="J35" si="255">IF(D35&lt;&gt;"-","["&amp;AI35&amp;":"&amp;AJ35&amp;"]","-")</f>
        <v>[15:14]</v>
      </c>
      <c r="K35" s="50">
        <f t="shared" ref="K35" si="256">IF(H35,-L35-1,0)</f>
        <v>0</v>
      </c>
      <c r="L35" s="50">
        <f t="shared" ref="L35" si="257">IF(H35,FLOOR((2^F35-1)/2,1),2^F35-1)</f>
        <v>3</v>
      </c>
      <c r="M35" s="159" t="s">
        <v>576</v>
      </c>
      <c r="N35" s="28"/>
      <c r="O35" s="57">
        <v>0</v>
      </c>
      <c r="P35" s="57">
        <f t="shared" ref="P35:P36" si="258">O35</f>
        <v>0</v>
      </c>
      <c r="Q35" s="57">
        <f t="shared" ref="Q35:Q36" si="259">O35</f>
        <v>0</v>
      </c>
      <c r="R35" s="57">
        <f t="shared" ref="R35:S36" si="260">O35</f>
        <v>0</v>
      </c>
      <c r="S35" s="163">
        <v>2</v>
      </c>
      <c r="T35" s="163">
        <v>2</v>
      </c>
      <c r="U35" s="163">
        <f>S35</f>
        <v>2</v>
      </c>
      <c r="V35" s="163">
        <f t="shared" si="67"/>
        <v>2</v>
      </c>
      <c r="W35" s="59"/>
      <c r="X35" s="57">
        <f t="shared" ref="X35" ca="1" si="261">IF(H35=0,AP35,    IF(AP35&lt;=2^(F35-1)-1,AP35,AP35-2^F35)  )</f>
        <v>2</v>
      </c>
      <c r="Y35" s="32"/>
      <c r="AC35" s="12" t="b">
        <f t="shared" si="4"/>
        <v>1</v>
      </c>
      <c r="AD35" s="12" t="str">
        <f t="shared" ref="AD35" si="262">IF(AND(D35="-",C35&lt;&gt;"-"),E35,"-")</f>
        <v>-</v>
      </c>
      <c r="AE35" s="12" t="str">
        <f t="shared" ref="AE35" si="263">IF(D35="-",C35,"-")</f>
        <v>-</v>
      </c>
      <c r="AF35" s="12" t="str">
        <f t="shared" ref="AF35" ca="1" si="264">IF(AND(D35&lt;&gt;"-",ISTEXT(D35)),E35,"-")</f>
        <v>0x1008</v>
      </c>
      <c r="AG35" s="12" t="str">
        <f t="shared" ref="AG35" si="265">IF(AND(D35&lt;&gt;"-",ISTEXT(D35)),D35,"-")</f>
        <v>VBE_N_AVG</v>
      </c>
      <c r="AH35" s="12">
        <f t="shared" ref="AH35" si="266">IF(D35&lt;&gt;"-",F35,"-")</f>
        <v>2</v>
      </c>
      <c r="AI35" s="12">
        <f t="shared" ref="AI35" si="267">IF(D35&lt;&gt;"-",G35+F35-1,"-")</f>
        <v>15</v>
      </c>
      <c r="AJ35" s="12">
        <f t="shared" ref="AJ35" si="268">IF(D35&lt;&gt;"-",G35,"-")</f>
        <v>14</v>
      </c>
      <c r="AK35" s="12">
        <f t="shared" ref="AK35" si="269">IF(OR(AH35="-",AJ35="-"),AD35,(2^AH35-1)*2^AJ35)</f>
        <v>49152</v>
      </c>
      <c r="AL35" s="12" t="str">
        <f t="shared" ref="AL35" si="270">IF(D35="-",B35,"-")</f>
        <v>-</v>
      </c>
      <c r="AM35" s="22">
        <f t="shared" si="14"/>
        <v>2</v>
      </c>
      <c r="AN35" s="12">
        <f t="shared" ref="AN35" si="271">IF(OR(AH35="-",AJ35="-"),AD35,IF(AM35&lt;0,AM35+2^AH35,AM35)*2^AJ35)</f>
        <v>32768</v>
      </c>
      <c r="AO35" s="22" t="str">
        <f ca="1">IF(AF35="-",VLOOKUP(AD35,MemoryView!$A$3:$F$108,6,0),MID(VLOOKUP(AF35,MemoryView!$BD$3:$BE$108,2,0),15-AI35+1,AH35))</f>
        <v>10</v>
      </c>
      <c r="AP35" s="22">
        <f t="shared" ref="AP35" ca="1" si="272">IF(AF35="-",HEX2DEC(AO35),IF(LEN(AO35)&gt;8,BIN2DEC(LEFT(AO35,LEN(AO35)-8))*2^8+BIN2DEC(RIGHT(AO35,8)),BIN2DEC(AO35)))</f>
        <v>2</v>
      </c>
      <c r="AQ35" s="53" t="str">
        <f t="shared" ref="AQ35" si="273">IF(AG35&lt;&gt;"-",CONCATENATE("`EE_MNG.",AG35,".SET(",AM35,");        // [",K35,"..",L35,"]"),"-")</f>
        <v>`EE_MNG.VBE_N_AVG.SET(2);        // [0..3]</v>
      </c>
      <c r="AR35" s="54" t="str">
        <f t="shared" ref="AR35" ca="1" si="274">IF(AND(AD35="-",AE35="-",AF35="-",AG35="-"),"-",IF(AG35&lt;&gt;"-",CONCATENATE("EE_MEM #(`PARAM(16'h",RIGHT(AF35,4),", ",G35,", ",F35,", ",H35,")) ",AG35,"(); bit ",IF(H35=0,"unsigned [","signed ["),F35,"-1:0] ", AG35,"_V; assign ",AG35,"_V = ",AG35,".GET;"), CONCATENATE("EE_MEM #(`PARAM(16'h",RIGHT(AD35,4),", ",G35,", ",F35,", ",H35,")) ",AE35,"(); bit ",IF(H35=0,"unsigned [","signed ["),F35,"-1:0] ", AE35,"_V; assign ",AE35,"_V = ",AE35,".GET;")))</f>
        <v>EE_MEM #(`PARAM(16'h1008, 14, 2, 0)) VBE_N_AVG(); bit unsigned [2-1:0] VBE_N_AVG_V; assign VBE_N_AVG_V = VBE_N_AVG.GET;</v>
      </c>
      <c r="AS35" s="12" t="str">
        <f t="shared" ref="AS35" ca="1" si="275">IF(AG35="-",AE35,INDIRECT(ADDRESS(ROW()-1,COLUMN())))</f>
        <v>EE_WOC_VBE_NAVG_CONF</v>
      </c>
    </row>
    <row r="36" spans="2:45" ht="127.5">
      <c r="B36" s="55" t="str">
        <f t="shared" ca="1" si="20"/>
        <v>CUST</v>
      </c>
      <c r="C36" s="55" t="s">
        <v>58</v>
      </c>
      <c r="D36" s="56" t="s">
        <v>462</v>
      </c>
      <c r="E36" s="57" t="str">
        <f t="shared" ca="1" si="21"/>
        <v>0x1008</v>
      </c>
      <c r="F36" s="57">
        <v>14</v>
      </c>
      <c r="G36" s="57">
        <v>0</v>
      </c>
      <c r="H36" s="57">
        <v>0</v>
      </c>
      <c r="I36" s="57" t="s">
        <v>68</v>
      </c>
      <c r="J36" s="50" t="str">
        <f t="shared" si="237"/>
        <v>[13:0]</v>
      </c>
      <c r="K36" s="50">
        <f t="shared" si="238"/>
        <v>0</v>
      </c>
      <c r="L36" s="50">
        <f t="shared" si="239"/>
        <v>16383</v>
      </c>
      <c r="M36" s="61" t="s">
        <v>631</v>
      </c>
      <c r="N36" s="28"/>
      <c r="O36" s="57">
        <v>0</v>
      </c>
      <c r="P36" s="57">
        <f t="shared" si="258"/>
        <v>0</v>
      </c>
      <c r="Q36" s="57">
        <f t="shared" si="259"/>
        <v>0</v>
      </c>
      <c r="R36" s="57">
        <f t="shared" si="260"/>
        <v>0</v>
      </c>
      <c r="S36" s="163">
        <f t="shared" si="260"/>
        <v>0</v>
      </c>
      <c r="T36" s="163">
        <v>0</v>
      </c>
      <c r="U36" s="163">
        <f>S36</f>
        <v>0</v>
      </c>
      <c r="V36" s="163">
        <f t="shared" si="67"/>
        <v>0</v>
      </c>
      <c r="W36" s="59"/>
      <c r="X36" s="57">
        <f t="shared" ca="1" si="240"/>
        <v>0</v>
      </c>
      <c r="Y36" s="32"/>
      <c r="AC36" s="12" t="b">
        <f t="shared" si="4"/>
        <v>1</v>
      </c>
      <c r="AD36" s="12" t="str">
        <f t="shared" si="241"/>
        <v>-</v>
      </c>
      <c r="AE36" s="12" t="str">
        <f t="shared" si="242"/>
        <v>-</v>
      </c>
      <c r="AF36" s="12" t="str">
        <f t="shared" ca="1" si="243"/>
        <v>0x1008</v>
      </c>
      <c r="AG36" s="12" t="str">
        <f t="shared" si="244"/>
        <v>WOC_BASE</v>
      </c>
      <c r="AH36" s="12">
        <f t="shared" si="245"/>
        <v>14</v>
      </c>
      <c r="AI36" s="12">
        <f t="shared" si="246"/>
        <v>13</v>
      </c>
      <c r="AJ36" s="12">
        <f t="shared" si="247"/>
        <v>0</v>
      </c>
      <c r="AK36" s="12">
        <f t="shared" si="248"/>
        <v>16383</v>
      </c>
      <c r="AL36" s="12" t="str">
        <f t="shared" si="249"/>
        <v>-</v>
      </c>
      <c r="AM36" s="22">
        <f t="shared" si="14"/>
        <v>0</v>
      </c>
      <c r="AN36" s="12">
        <f t="shared" si="250"/>
        <v>0</v>
      </c>
      <c r="AO36" s="22" t="str">
        <f ca="1">IF(AF36="-",VLOOKUP(AD36,MemoryView!$A$3:$F$108,6,0),MID(VLOOKUP(AF36,MemoryView!$BD$3:$BE$108,2,0),15-AI36+1,AH36))</f>
        <v>00000000000000</v>
      </c>
      <c r="AP36" s="22">
        <f t="shared" ca="1" si="251"/>
        <v>0</v>
      </c>
      <c r="AQ36" s="53" t="str">
        <f t="shared" si="252"/>
        <v>`EE_MNG.WOC_BASE.SET(0);        // [0..16383]</v>
      </c>
      <c r="AR36" s="54" t="str">
        <f t="shared" ca="1" si="253"/>
        <v>EE_MEM #(`PARAM(16'h1008, 0, 14, 0)) WOC_BASE(); bit unsigned [14-1:0] WOC_BASE_V; assign WOC_BASE_V = WOC_BASE.GET;</v>
      </c>
      <c r="AS36" s="12" t="str">
        <f t="shared" ca="1" si="254"/>
        <v>EE_WOC_VBE_NAVG_CONF</v>
      </c>
    </row>
    <row r="37" spans="2:45" ht="25.5">
      <c r="B37" s="47" t="str">
        <f t="shared" ca="1" si="20"/>
        <v>CUST</v>
      </c>
      <c r="C37" s="47" t="s">
        <v>501</v>
      </c>
      <c r="D37" s="48" t="s">
        <v>58</v>
      </c>
      <c r="E37" s="60" t="str">
        <f ca="1">"0x"&amp;DEC2HEX(HEX2DEC(RIGHT(INDIRECT(ADDRESS(ROW()-1,COLUMN())),4))+2,4)</f>
        <v>0x100A</v>
      </c>
      <c r="F37" s="49">
        <v>16</v>
      </c>
      <c r="G37" s="49">
        <v>0</v>
      </c>
      <c r="H37" s="49">
        <v>0</v>
      </c>
      <c r="I37" s="49" t="s">
        <v>58</v>
      </c>
      <c r="J37" s="50" t="str">
        <f t="shared" si="237"/>
        <v>-</v>
      </c>
      <c r="K37" s="50">
        <f t="shared" si="238"/>
        <v>0</v>
      </c>
      <c r="L37" s="50">
        <f t="shared" si="239"/>
        <v>65535</v>
      </c>
      <c r="M37" s="51" t="s">
        <v>502</v>
      </c>
      <c r="N37" s="28"/>
      <c r="O37" s="125"/>
      <c r="P37" s="52"/>
      <c r="Q37" s="52"/>
      <c r="R37" s="52"/>
      <c r="S37" s="140"/>
      <c r="T37" s="165"/>
      <c r="U37" s="165"/>
      <c r="V37" s="165"/>
      <c r="W37" s="28"/>
      <c r="X37" s="52">
        <f t="shared" ca="1" si="240"/>
        <v>8192</v>
      </c>
      <c r="Y37" s="32"/>
      <c r="AC37" s="12">
        <f t="shared" si="4"/>
        <v>1</v>
      </c>
      <c r="AD37" s="12" t="str">
        <f t="shared" ca="1" si="241"/>
        <v>0x100A</v>
      </c>
      <c r="AE37" s="12" t="str">
        <f t="shared" si="242"/>
        <v>EE_WOC_BURST_CONT_CONF</v>
      </c>
      <c r="AF37" s="12" t="str">
        <f t="shared" si="243"/>
        <v>-</v>
      </c>
      <c r="AG37" s="12" t="str">
        <f t="shared" si="244"/>
        <v>-</v>
      </c>
      <c r="AH37" s="12" t="str">
        <f t="shared" si="245"/>
        <v>-</v>
      </c>
      <c r="AI37" s="12" t="str">
        <f t="shared" si="246"/>
        <v>-</v>
      </c>
      <c r="AJ37" s="12" t="str">
        <f t="shared" si="247"/>
        <v>-</v>
      </c>
      <c r="AK37" s="12" t="str">
        <f t="shared" ca="1" si="248"/>
        <v>0x100A</v>
      </c>
      <c r="AL37" s="12" t="str">
        <f t="shared" ca="1" si="249"/>
        <v>CUST</v>
      </c>
      <c r="AM37" s="22">
        <f t="shared" si="14"/>
        <v>0</v>
      </c>
      <c r="AN37" s="12" t="str">
        <f t="shared" ca="1" si="250"/>
        <v>0x100A</v>
      </c>
      <c r="AO37" s="22" t="str">
        <f ca="1">IF(AF37="-",VLOOKUP(AD37,MemoryView!$A$3:$F$108,6,0),MID(VLOOKUP(AF37,MemoryView!$BD$3:$BE$108,2,0),15-AI37+1,AH37))</f>
        <v>2000</v>
      </c>
      <c r="AP37" s="22">
        <f t="shared" ca="1" si="251"/>
        <v>8192</v>
      </c>
      <c r="AQ37" s="53" t="str">
        <f t="shared" si="252"/>
        <v>-</v>
      </c>
      <c r="AR37" s="54" t="str">
        <f t="shared" ca="1" si="253"/>
        <v>EE_MEM #(`PARAM(16'h100A, 0, 16, 0)) EE_WOC_BURST_CONT_CONF(); bit unsigned [16-1:0] EE_WOC_BURST_CONT_CONF_V; assign EE_WOC_BURST_CONT_CONF_V = EE_WOC_BURST_CONT_CONF.GET;</v>
      </c>
      <c r="AS37" s="12" t="str">
        <f t="shared" ca="1" si="254"/>
        <v>EE_WOC_BURST_CONT_CONF</v>
      </c>
    </row>
    <row r="38" spans="2:45" ht="229.5">
      <c r="B38" s="55" t="str">
        <f t="shared" ca="1" si="20"/>
        <v>CUST</v>
      </c>
      <c r="C38" s="55" t="s">
        <v>58</v>
      </c>
      <c r="D38" s="56" t="s">
        <v>500</v>
      </c>
      <c r="E38" s="57" t="str">
        <f t="shared" ca="1" si="21"/>
        <v>0x100A</v>
      </c>
      <c r="F38" s="57">
        <v>4</v>
      </c>
      <c r="G38" s="57">
        <v>12</v>
      </c>
      <c r="H38" s="57">
        <v>0</v>
      </c>
      <c r="I38" s="57" t="s">
        <v>68</v>
      </c>
      <c r="J38" s="50" t="str">
        <f>IF(D38&lt;&gt;"-","["&amp;AI38&amp;":"&amp;AJ38&amp;"]","-")</f>
        <v>[15:12]</v>
      </c>
      <c r="K38" s="50">
        <f t="shared" ref="K38" si="276">IF(H38,-L38-1,0)</f>
        <v>0</v>
      </c>
      <c r="L38" s="50">
        <f t="shared" ref="L38" si="277">IF(H38,FLOOR((2^F38-1)/2,1),2^F38-1)</f>
        <v>15</v>
      </c>
      <c r="M38" s="61" t="s">
        <v>654</v>
      </c>
      <c r="N38" s="28"/>
      <c r="O38" s="57">
        <v>2</v>
      </c>
      <c r="P38" s="57">
        <f t="shared" ref="P38:P40" si="278">O38</f>
        <v>2</v>
      </c>
      <c r="Q38" s="57">
        <f t="shared" ref="Q38:Q40" si="279">O38</f>
        <v>2</v>
      </c>
      <c r="R38" s="57">
        <f t="shared" ref="R38:S40" si="280">O38</f>
        <v>2</v>
      </c>
      <c r="S38" s="163">
        <f t="shared" si="280"/>
        <v>2</v>
      </c>
      <c r="T38" s="163">
        <v>2</v>
      </c>
      <c r="U38" s="163">
        <v>0</v>
      </c>
      <c r="V38" s="163">
        <v>0</v>
      </c>
      <c r="W38" s="59"/>
      <c r="X38" s="57">
        <f t="shared" ref="X38" ca="1" si="281">IF(H38=0,AP38,    IF(AP38&lt;=2^(F38-1)-1,AP38,AP38-2^F38)  )</f>
        <v>2</v>
      </c>
      <c r="Y38" s="32"/>
      <c r="AC38" s="12" t="b">
        <f t="shared" si="4"/>
        <v>1</v>
      </c>
      <c r="AD38" s="12" t="str">
        <f t="shared" ref="AD38" si="282">IF(AND(D38="-",C38&lt;&gt;"-"),E38,"-")</f>
        <v>-</v>
      </c>
      <c r="AE38" s="12" t="str">
        <f t="shared" ref="AE38" si="283">IF(D38="-",C38,"-")</f>
        <v>-</v>
      </c>
      <c r="AF38" s="12" t="str">
        <f t="shared" ref="AF38" ca="1" si="284">IF(AND(D38&lt;&gt;"-",ISTEXT(D38)),E38,"-")</f>
        <v>0x100A</v>
      </c>
      <c r="AG38" s="12" t="str">
        <f t="shared" ref="AG38" si="285">IF(AND(D38&lt;&gt;"-",ISTEXT(D38)),D38,"-")</f>
        <v>CONT_MODE_N_MEAS</v>
      </c>
      <c r="AH38" s="12">
        <f t="shared" ref="AH38" si="286">IF(D38&lt;&gt;"-",F38,"-")</f>
        <v>4</v>
      </c>
      <c r="AI38" s="12">
        <f t="shared" ref="AI38" si="287">IF(D38&lt;&gt;"-",G38+F38-1,"-")</f>
        <v>15</v>
      </c>
      <c r="AJ38" s="12">
        <f t="shared" ref="AJ38" si="288">IF(D38&lt;&gt;"-",G38,"-")</f>
        <v>12</v>
      </c>
      <c r="AK38" s="12">
        <f t="shared" ref="AK38" si="289">IF(OR(AH38="-",AJ38="-"),AD38,(2^AH38-1)*2^AJ38)</f>
        <v>61440</v>
      </c>
      <c r="AL38" s="12" t="str">
        <f t="shared" ref="AL38" si="290">IF(D38="-",B38,"-")</f>
        <v>-</v>
      </c>
      <c r="AM38" s="22">
        <f t="shared" si="14"/>
        <v>2</v>
      </c>
      <c r="AN38" s="12">
        <f t="shared" ref="AN38" si="291">IF(OR(AH38="-",AJ38="-"),AD38,IF(AM38&lt;0,AM38+2^AH38,AM38)*2^AJ38)</f>
        <v>8192</v>
      </c>
      <c r="AO38" s="22" t="str">
        <f ca="1">IF(AF38="-",VLOOKUP(AD38,MemoryView!$A$3:$F$108,6,0),MID(VLOOKUP(AF38,MemoryView!$BD$3:$BE$108,2,0),15-AI38+1,AH38))</f>
        <v>0010</v>
      </c>
      <c r="AP38" s="22">
        <f t="shared" ref="AP38" ca="1" si="292">IF(AF38="-",HEX2DEC(AO38),IF(LEN(AO38)&gt;8,BIN2DEC(LEFT(AO38,LEN(AO38)-8))*2^8+BIN2DEC(RIGHT(AO38,8)),BIN2DEC(AO38)))</f>
        <v>2</v>
      </c>
      <c r="AQ38" s="53" t="str">
        <f t="shared" ref="AQ38" si="293">IF(AG38&lt;&gt;"-",CONCATENATE("`EE_MNG.",AG38,".SET(",AM38,");        // [",K38,"..",L38,"]"),"-")</f>
        <v>`EE_MNG.CONT_MODE_N_MEAS.SET(2);        // [0..15]</v>
      </c>
      <c r="AR38" s="54" t="str">
        <f t="shared" ref="AR38" ca="1" si="294">IF(AND(AD38="-",AE38="-",AF38="-",AG38="-"),"-",IF(AG38&lt;&gt;"-",CONCATENATE("EE_MEM #(`PARAM(16'h",RIGHT(AF38,4),", ",G38,", ",F38,", ",H38,")) ",AG38,"(); bit ",IF(H38=0,"unsigned [","signed ["),F38,"-1:0] ", AG38,"_V; assign ",AG38,"_V = ",AG38,".GET;"), CONCATENATE("EE_MEM #(`PARAM(16'h",RIGHT(AD38,4),", ",G38,", ",F38,", ",H38,")) ",AE38,"(); bit ",IF(H38=0,"unsigned [","signed ["),F38,"-1:0] ", AE38,"_V; assign ",AE38,"_V = ",AE38,".GET;")))</f>
        <v>EE_MEM #(`PARAM(16'h100A, 12, 4, 0)) CONT_MODE_N_MEAS(); bit unsigned [4-1:0] CONT_MODE_N_MEAS_V; assign CONT_MODE_N_MEAS_V = CONT_MODE_N_MEAS.GET;</v>
      </c>
      <c r="AS38" s="12" t="str">
        <f t="shared" ref="AS38" ca="1" si="295">IF(AG38="-",AE38,INDIRECT(ADDRESS(ROW()-1,COLUMN())))</f>
        <v>EE_WOC_BURST_CONT_CONF</v>
      </c>
    </row>
    <row r="39" spans="2:45" ht="51">
      <c r="B39" s="55" t="str">
        <f t="shared" ca="1" si="20"/>
        <v>CUST</v>
      </c>
      <c r="C39" s="55" t="s">
        <v>58</v>
      </c>
      <c r="D39" s="56" t="s">
        <v>457</v>
      </c>
      <c r="E39" s="57" t="str">
        <f t="shared" ca="1" si="21"/>
        <v>0x100A</v>
      </c>
      <c r="F39" s="57">
        <v>5</v>
      </c>
      <c r="G39" s="57">
        <v>7</v>
      </c>
      <c r="H39" s="57">
        <v>0</v>
      </c>
      <c r="I39" s="57" t="s">
        <v>68</v>
      </c>
      <c r="J39" s="50" t="str">
        <f t="shared" si="237"/>
        <v>[11:7]</v>
      </c>
      <c r="K39" s="50">
        <f t="shared" si="238"/>
        <v>0</v>
      </c>
      <c r="L39" s="50">
        <f t="shared" si="239"/>
        <v>31</v>
      </c>
      <c r="M39" s="61" t="s">
        <v>633</v>
      </c>
      <c r="N39" s="28"/>
      <c r="O39" s="57">
        <v>0</v>
      </c>
      <c r="P39" s="57">
        <f t="shared" si="278"/>
        <v>0</v>
      </c>
      <c r="Q39" s="57">
        <f t="shared" si="279"/>
        <v>0</v>
      </c>
      <c r="R39" s="57">
        <f t="shared" si="280"/>
        <v>0</v>
      </c>
      <c r="S39" s="163">
        <f t="shared" si="280"/>
        <v>0</v>
      </c>
      <c r="T39" s="163">
        <v>0</v>
      </c>
      <c r="U39" s="163">
        <f>S39</f>
        <v>0</v>
      </c>
      <c r="V39" s="163">
        <f t="shared" si="67"/>
        <v>0</v>
      </c>
      <c r="W39" s="59"/>
      <c r="X39" s="57">
        <f t="shared" ca="1" si="240"/>
        <v>0</v>
      </c>
      <c r="Y39" s="32"/>
      <c r="AC39" s="12" t="b">
        <f t="shared" si="4"/>
        <v>1</v>
      </c>
      <c r="AD39" s="12" t="str">
        <f t="shared" si="241"/>
        <v>-</v>
      </c>
      <c r="AE39" s="12" t="str">
        <f t="shared" si="242"/>
        <v>-</v>
      </c>
      <c r="AF39" s="12" t="str">
        <f t="shared" ca="1" si="243"/>
        <v>0x100A</v>
      </c>
      <c r="AG39" s="12" t="str">
        <f t="shared" si="244"/>
        <v>WUT_CONFIG</v>
      </c>
      <c r="AH39" s="12">
        <f t="shared" si="245"/>
        <v>5</v>
      </c>
      <c r="AI39" s="12">
        <f t="shared" si="246"/>
        <v>11</v>
      </c>
      <c r="AJ39" s="12">
        <f t="shared" si="247"/>
        <v>7</v>
      </c>
      <c r="AK39" s="12">
        <f t="shared" si="248"/>
        <v>3968</v>
      </c>
      <c r="AL39" s="12" t="str">
        <f t="shared" si="249"/>
        <v>-</v>
      </c>
      <c r="AM39" s="22">
        <f t="shared" si="14"/>
        <v>0</v>
      </c>
      <c r="AN39" s="12">
        <f t="shared" si="250"/>
        <v>0</v>
      </c>
      <c r="AO39" s="22" t="str">
        <f ca="1">IF(AF39="-",VLOOKUP(AD39,MemoryView!$A$3:$F$108,6,0),MID(VLOOKUP(AF39,MemoryView!$BD$3:$BE$108,2,0),15-AI39+1,AH39))</f>
        <v>00000</v>
      </c>
      <c r="AP39" s="22">
        <f t="shared" ca="1" si="251"/>
        <v>0</v>
      </c>
      <c r="AQ39" s="53" t="str">
        <f t="shared" si="252"/>
        <v>`EE_MNG.WUT_CONFIG.SET(0);        // [0..31]</v>
      </c>
      <c r="AR39" s="54" t="str">
        <f t="shared" ca="1" si="253"/>
        <v>EE_MEM #(`PARAM(16'h100A, 7, 5, 0)) WUT_CONFIG(); bit unsigned [5-1:0] WUT_CONFIG_V; assign WUT_CONFIG_V = WUT_CONFIG.GET;</v>
      </c>
      <c r="AS39" s="12" t="str">
        <f t="shared" ca="1" si="254"/>
        <v>EE_WOC_BURST_CONT_CONF</v>
      </c>
    </row>
    <row r="40" spans="2:45" ht="140.25">
      <c r="B40" s="55" t="str">
        <f t="shared" ca="1" si="20"/>
        <v>CUST</v>
      </c>
      <c r="C40" s="55" t="s">
        <v>58</v>
      </c>
      <c r="D40" s="56" t="s">
        <v>463</v>
      </c>
      <c r="E40" s="57" t="str">
        <f t="shared" ca="1" si="21"/>
        <v>0x100A</v>
      </c>
      <c r="F40" s="57">
        <v>7</v>
      </c>
      <c r="G40" s="57">
        <v>0</v>
      </c>
      <c r="H40" s="57">
        <v>0</v>
      </c>
      <c r="I40" s="57" t="s">
        <v>68</v>
      </c>
      <c r="J40" s="50" t="str">
        <f t="shared" ref="J40" si="296">IF(D40&lt;&gt;"-","["&amp;AI40&amp;":"&amp;AJ40&amp;"]","-")</f>
        <v>[6:0]</v>
      </c>
      <c r="K40" s="50">
        <f t="shared" ref="K40" si="297">IF(H40,-L40-1,0)</f>
        <v>0</v>
      </c>
      <c r="L40" s="50">
        <f t="shared" ref="L40" si="298">IF(H40,FLOOR((2^F40-1)/2,1),2^F40-1)</f>
        <v>127</v>
      </c>
      <c r="M40" s="61" t="s">
        <v>735</v>
      </c>
      <c r="N40" s="28"/>
      <c r="O40" s="57">
        <v>0</v>
      </c>
      <c r="P40" s="57">
        <f t="shared" si="278"/>
        <v>0</v>
      </c>
      <c r="Q40" s="57">
        <f t="shared" si="279"/>
        <v>0</v>
      </c>
      <c r="R40" s="57">
        <f t="shared" si="280"/>
        <v>0</v>
      </c>
      <c r="S40" s="163">
        <f t="shared" si="280"/>
        <v>0</v>
      </c>
      <c r="T40" s="163">
        <v>0</v>
      </c>
      <c r="U40" s="163">
        <f>S40</f>
        <v>0</v>
      </c>
      <c r="V40" s="163">
        <f t="shared" si="67"/>
        <v>0</v>
      </c>
      <c r="W40" s="59"/>
      <c r="X40" s="57">
        <f t="shared" ref="X40" ca="1" si="299">IF(H40=0,AP40,    IF(AP40&lt;=2^(F40-1)-1,AP40,AP40-2^F40)  )</f>
        <v>0</v>
      </c>
      <c r="Y40" s="32"/>
      <c r="AC40" s="12" t="b">
        <f t="shared" si="4"/>
        <v>1</v>
      </c>
      <c r="AD40" s="12" t="str">
        <f t="shared" ref="AD40" si="300">IF(AND(D40="-",C40&lt;&gt;"-"),E40,"-")</f>
        <v>-</v>
      </c>
      <c r="AE40" s="12" t="str">
        <f t="shared" ref="AE40" si="301">IF(D40="-",C40,"-")</f>
        <v>-</v>
      </c>
      <c r="AF40" s="12" t="str">
        <f t="shared" ref="AF40" ca="1" si="302">IF(AND(D40&lt;&gt;"-",ISTEXT(D40)),E40,"-")</f>
        <v>0x100A</v>
      </c>
      <c r="AG40" s="12" t="str">
        <f t="shared" ref="AG40" si="303">IF(AND(D40&lt;&gt;"-",ISTEXT(D40)),D40,"-")</f>
        <v>WOC_THRESHOLD</v>
      </c>
      <c r="AH40" s="12">
        <f t="shared" ref="AH40" si="304">IF(D40&lt;&gt;"-",F40,"-")</f>
        <v>7</v>
      </c>
      <c r="AI40" s="12">
        <f t="shared" ref="AI40" si="305">IF(D40&lt;&gt;"-",G40+F40-1,"-")</f>
        <v>6</v>
      </c>
      <c r="AJ40" s="12">
        <f t="shared" ref="AJ40" si="306">IF(D40&lt;&gt;"-",G40,"-")</f>
        <v>0</v>
      </c>
      <c r="AK40" s="12">
        <f t="shared" ref="AK40" si="307">IF(OR(AH40="-",AJ40="-"),AD40,(2^AH40-1)*2^AJ40)</f>
        <v>127</v>
      </c>
      <c r="AL40" s="12" t="str">
        <f t="shared" ref="AL40" si="308">IF(D40="-",B40,"-")</f>
        <v>-</v>
      </c>
      <c r="AM40" s="22">
        <f t="shared" si="14"/>
        <v>0</v>
      </c>
      <c r="AN40" s="12">
        <f t="shared" ref="AN40" si="309">IF(OR(AH40="-",AJ40="-"),AD40,IF(AM40&lt;0,AM40+2^AH40,AM40)*2^AJ40)</f>
        <v>0</v>
      </c>
      <c r="AO40" s="22" t="str">
        <f ca="1">IF(AF40="-",VLOOKUP(AD40,MemoryView!$A$3:$F$108,6,0),MID(VLOOKUP(AF40,MemoryView!$BD$3:$BE$108,2,0),15-AI40+1,AH40))</f>
        <v>0000000</v>
      </c>
      <c r="AP40" s="22">
        <f t="shared" ref="AP40" ca="1" si="310">IF(AF40="-",HEX2DEC(AO40),IF(LEN(AO40)&gt;8,BIN2DEC(LEFT(AO40,LEN(AO40)-8))*2^8+BIN2DEC(RIGHT(AO40,8)),BIN2DEC(AO40)))</f>
        <v>0</v>
      </c>
      <c r="AQ40" s="53" t="str">
        <f t="shared" ref="AQ40" si="311">IF(AG40&lt;&gt;"-",CONCATENATE("`EE_MNG.",AG40,".SET(",AM40,");        // [",K40,"..",L40,"]"),"-")</f>
        <v>`EE_MNG.WOC_THRESHOLD.SET(0);        // [0..127]</v>
      </c>
      <c r="AR40" s="54" t="str">
        <f t="shared" ref="AR40" ca="1" si="312">IF(AND(AD40="-",AE40="-",AF40="-",AG40="-"),"-",IF(AG40&lt;&gt;"-",CONCATENATE("EE_MEM #(`PARAM(16'h",RIGHT(AF40,4),", ",G40,", ",F40,", ",H40,")) ",AG40,"(); bit ",IF(H40=0,"unsigned [","signed ["),F40,"-1:0] ", AG40,"_V; assign ",AG40,"_V = ",AG40,".GET;"), CONCATENATE("EE_MEM #(`PARAM(16'h",RIGHT(AD40,4),", ",G40,", ",F40,", ",H40,")) ",AE40,"(); bit ",IF(H40=0,"unsigned [","signed ["),F40,"-1:0] ", AE40,"_V; assign ",AE40,"_V = ",AE40,".GET;")))</f>
        <v>EE_MEM #(`PARAM(16'h100A, 0, 7, 0)) WOC_THRESHOLD(); bit unsigned [7-1:0] WOC_THRESHOLD_V; assign WOC_THRESHOLD_V = WOC_THRESHOLD.GET;</v>
      </c>
      <c r="AS40" s="12" t="str">
        <f t="shared" ref="AS40" ca="1" si="313">IF(AG40="-",AE40,INDIRECT(ADDRESS(ROW()-1,COLUMN())))</f>
        <v>EE_WOC_BURST_CONT_CONF</v>
      </c>
    </row>
    <row r="41" spans="2:45">
      <c r="B41" s="47" t="str">
        <f t="shared" ca="1" si="20"/>
        <v>CUST</v>
      </c>
      <c r="C41" s="47" t="s">
        <v>465</v>
      </c>
      <c r="D41" s="48" t="s">
        <v>58</v>
      </c>
      <c r="E41" s="60" t="str">
        <f ca="1">"0x"&amp;DEC2HEX(HEX2DEC(RIGHT(INDIRECT(ADDRESS(ROW()-1,COLUMN())),4))+2,4)</f>
        <v>0x100C</v>
      </c>
      <c r="F41" s="49">
        <v>16</v>
      </c>
      <c r="G41" s="49">
        <v>0</v>
      </c>
      <c r="H41" s="49">
        <v>0</v>
      </c>
      <c r="I41" s="49" t="s">
        <v>58</v>
      </c>
      <c r="J41" s="50" t="str">
        <f t="shared" ref="J41:J47" si="314">IF(D41&lt;&gt;"-","["&amp;AI41&amp;":"&amp;AJ41&amp;"]","-")</f>
        <v>-</v>
      </c>
      <c r="K41" s="50">
        <f t="shared" si="238"/>
        <v>0</v>
      </c>
      <c r="L41" s="50">
        <f t="shared" si="239"/>
        <v>65535</v>
      </c>
      <c r="M41" s="51" t="s">
        <v>466</v>
      </c>
      <c r="N41" s="28"/>
      <c r="O41" s="52"/>
      <c r="P41" s="52"/>
      <c r="Q41" s="52"/>
      <c r="R41" s="52"/>
      <c r="S41" s="140"/>
      <c r="T41" s="165"/>
      <c r="U41" s="165"/>
      <c r="V41" s="165"/>
      <c r="W41" s="28"/>
      <c r="X41" s="52">
        <f t="shared" ca="1" si="240"/>
        <v>10390</v>
      </c>
      <c r="Y41" s="32"/>
      <c r="AC41" s="12">
        <f t="shared" si="4"/>
        <v>1</v>
      </c>
      <c r="AD41" s="12" t="str">
        <f t="shared" ref="AD41:AD47" ca="1" si="315">IF(AND(D41="-",C41&lt;&gt;"-"),E41,"-")</f>
        <v>0x100C</v>
      </c>
      <c r="AE41" s="12" t="str">
        <f t="shared" ref="AE41:AE47" si="316">IF(D41="-",C41,"-")</f>
        <v>EE_PRESS_LSM</v>
      </c>
      <c r="AF41" s="12" t="str">
        <f t="shared" ref="AF41:AF47" si="317">IF(AND(D41&lt;&gt;"-",ISTEXT(D41)),E41,"-")</f>
        <v>-</v>
      </c>
      <c r="AG41" s="12" t="str">
        <f t="shared" ref="AG41:AG47" si="318">IF(AND(D41&lt;&gt;"-",ISTEXT(D41)),D41,"-")</f>
        <v>-</v>
      </c>
      <c r="AH41" s="12" t="str">
        <f t="shared" ref="AH41:AH47" si="319">IF(D41&lt;&gt;"-",F41,"-")</f>
        <v>-</v>
      </c>
      <c r="AI41" s="12" t="str">
        <f t="shared" ref="AI41:AI47" si="320">IF(D41&lt;&gt;"-",G41+F41-1,"-")</f>
        <v>-</v>
      </c>
      <c r="AJ41" s="12" t="str">
        <f t="shared" ref="AJ41:AJ47" si="321">IF(D41&lt;&gt;"-",G41,"-")</f>
        <v>-</v>
      </c>
      <c r="AK41" s="12" t="str">
        <f t="shared" ca="1" si="248"/>
        <v>0x100C</v>
      </c>
      <c r="AL41" s="12" t="str">
        <f t="shared" ref="AL41:AL47" ca="1" si="322">IF(D41="-",B41,"-")</f>
        <v>CUST</v>
      </c>
      <c r="AM41" s="22">
        <f t="shared" si="14"/>
        <v>0</v>
      </c>
      <c r="AN41" s="12" t="str">
        <f t="shared" ca="1" si="250"/>
        <v>0x100C</v>
      </c>
      <c r="AO41" s="22" t="str">
        <f ca="1">IF(AF41="-",VLOOKUP(AD41,MemoryView!$A$3:$F$108,6,0),MID(VLOOKUP(AF41,MemoryView!$BD$3:$BE$108,2,0),15-AI41+1,AH41))</f>
        <v>2896</v>
      </c>
      <c r="AP41" s="22">
        <f t="shared" ca="1" si="251"/>
        <v>10390</v>
      </c>
      <c r="AQ41" s="53" t="str">
        <f t="shared" si="252"/>
        <v>-</v>
      </c>
      <c r="AR41" s="54" t="str">
        <f t="shared" ca="1" si="253"/>
        <v>EE_MEM #(`PARAM(16'h100C, 0, 16, 0)) EE_PRESS_LSM(); bit unsigned [16-1:0] EE_PRESS_LSM_V; assign EE_PRESS_LSM_V = EE_PRESS_LSM.GET;</v>
      </c>
      <c r="AS41" s="12" t="str">
        <f t="shared" ca="1" si="254"/>
        <v>EE_PRESS_LSM</v>
      </c>
    </row>
    <row r="42" spans="2:45" ht="114.75">
      <c r="B42" s="55" t="str">
        <f t="shared" ca="1" si="20"/>
        <v>CUST</v>
      </c>
      <c r="C42" s="55" t="s">
        <v>58</v>
      </c>
      <c r="D42" s="56" t="s">
        <v>467</v>
      </c>
      <c r="E42" s="57" t="str">
        <f t="shared" ref="E42:E44" ca="1" si="323">INDIRECT(ADDRESS(ROW()-1,COLUMN()))</f>
        <v>0x100C</v>
      </c>
      <c r="F42" s="57">
        <v>6</v>
      </c>
      <c r="G42" s="57">
        <v>10</v>
      </c>
      <c r="H42" s="57">
        <v>0</v>
      </c>
      <c r="I42" s="57" t="s">
        <v>68</v>
      </c>
      <c r="J42" s="50" t="str">
        <f t="shared" si="314"/>
        <v>[15:10]</v>
      </c>
      <c r="K42" s="50">
        <f t="shared" si="238"/>
        <v>0</v>
      </c>
      <c r="L42" s="50">
        <f t="shared" si="239"/>
        <v>63</v>
      </c>
      <c r="M42" s="58" t="s">
        <v>559</v>
      </c>
      <c r="N42" s="28"/>
      <c r="O42" s="57">
        <v>10</v>
      </c>
      <c r="P42" s="57">
        <f t="shared" ref="P42:P45" si="324">O42</f>
        <v>10</v>
      </c>
      <c r="Q42" s="57">
        <f t="shared" ref="Q42:Q45" si="325">O42</f>
        <v>10</v>
      </c>
      <c r="R42" s="57">
        <f t="shared" ref="R42:S45" si="326">O42</f>
        <v>10</v>
      </c>
      <c r="S42" s="163">
        <f t="shared" si="326"/>
        <v>10</v>
      </c>
      <c r="T42" s="163">
        <v>10</v>
      </c>
      <c r="U42" s="163">
        <f>S42</f>
        <v>10</v>
      </c>
      <c r="V42" s="163">
        <f>U42</f>
        <v>10</v>
      </c>
      <c r="W42" s="59"/>
      <c r="X42" s="57">
        <f t="shared" ca="1" si="240"/>
        <v>10</v>
      </c>
      <c r="Y42" s="32"/>
      <c r="AC42" s="12" t="b">
        <f t="shared" si="4"/>
        <v>1</v>
      </c>
      <c r="AD42" s="12" t="str">
        <f t="shared" si="315"/>
        <v>-</v>
      </c>
      <c r="AE42" s="12" t="str">
        <f t="shared" si="316"/>
        <v>-</v>
      </c>
      <c r="AF42" s="12" t="str">
        <f t="shared" ca="1" si="317"/>
        <v>0x100C</v>
      </c>
      <c r="AG42" s="12" t="str">
        <f t="shared" si="318"/>
        <v>P_THRD_LOCK_HIGH</v>
      </c>
      <c r="AH42" s="12">
        <f t="shared" si="319"/>
        <v>6</v>
      </c>
      <c r="AI42" s="12">
        <f t="shared" si="320"/>
        <v>15</v>
      </c>
      <c r="AJ42" s="12">
        <f t="shared" si="321"/>
        <v>10</v>
      </c>
      <c r="AK42" s="12">
        <f t="shared" si="248"/>
        <v>64512</v>
      </c>
      <c r="AL42" s="12" t="str">
        <f t="shared" si="322"/>
        <v>-</v>
      </c>
      <c r="AM42" s="22">
        <f t="shared" si="14"/>
        <v>10</v>
      </c>
      <c r="AN42" s="12">
        <f t="shared" si="250"/>
        <v>10240</v>
      </c>
      <c r="AO42" s="22" t="str">
        <f ca="1">IF(AF42="-",VLOOKUP(AD42,MemoryView!$A$3:$F$108,6,0),MID(VLOOKUP(AF42,MemoryView!$BD$3:$BE$108,2,0),15-AI42+1,AH42))</f>
        <v>001010</v>
      </c>
      <c r="AP42" s="22">
        <f t="shared" ca="1" si="251"/>
        <v>10</v>
      </c>
      <c r="AQ42" s="53" t="str">
        <f t="shared" si="252"/>
        <v>`EE_MNG.P_THRD_LOCK_HIGH.SET(10);        // [0..63]</v>
      </c>
      <c r="AR42" s="54" t="str">
        <f t="shared" ca="1" si="253"/>
        <v>EE_MEM #(`PARAM(16'h100C, 10, 6, 0)) P_THRD_LOCK_HIGH(); bit unsigned [6-1:0] P_THRD_LOCK_HIGH_V; assign P_THRD_LOCK_HIGH_V = P_THRD_LOCK_HIGH.GET;</v>
      </c>
      <c r="AS42" s="12" t="str">
        <f t="shared" ca="1" si="254"/>
        <v>EE_PRESS_LSM</v>
      </c>
    </row>
    <row r="43" spans="2:45" ht="63.75">
      <c r="B43" s="55" t="str">
        <f t="shared" ca="1" si="20"/>
        <v>CUST</v>
      </c>
      <c r="C43" s="55" t="s">
        <v>58</v>
      </c>
      <c r="D43" s="56" t="s">
        <v>468</v>
      </c>
      <c r="E43" s="57" t="str">
        <f t="shared" ca="1" si="323"/>
        <v>0x100C</v>
      </c>
      <c r="F43" s="57">
        <v>5</v>
      </c>
      <c r="G43" s="57">
        <v>5</v>
      </c>
      <c r="H43" s="57">
        <v>0</v>
      </c>
      <c r="I43" s="57" t="s">
        <v>68</v>
      </c>
      <c r="J43" s="50" t="str">
        <f t="shared" si="314"/>
        <v>[9:5]</v>
      </c>
      <c r="K43" s="50">
        <f t="shared" si="238"/>
        <v>0</v>
      </c>
      <c r="L43" s="50">
        <f t="shared" si="239"/>
        <v>31</v>
      </c>
      <c r="M43" s="58" t="s">
        <v>560</v>
      </c>
      <c r="N43" s="28"/>
      <c r="O43" s="57">
        <v>4</v>
      </c>
      <c r="P43" s="57">
        <f t="shared" si="324"/>
        <v>4</v>
      </c>
      <c r="Q43" s="57">
        <f t="shared" si="325"/>
        <v>4</v>
      </c>
      <c r="R43" s="57">
        <f t="shared" si="326"/>
        <v>4</v>
      </c>
      <c r="S43" s="163">
        <f t="shared" si="326"/>
        <v>4</v>
      </c>
      <c r="T43" s="163">
        <v>4</v>
      </c>
      <c r="U43" s="163">
        <f>S43</f>
        <v>4</v>
      </c>
      <c r="V43" s="163">
        <f t="shared" ref="V43:V147" si="327">U43</f>
        <v>4</v>
      </c>
      <c r="W43" s="59"/>
      <c r="X43" s="57">
        <f t="shared" ca="1" si="240"/>
        <v>4</v>
      </c>
      <c r="Y43" s="32"/>
      <c r="AC43" s="12" t="b">
        <f t="shared" si="4"/>
        <v>1</v>
      </c>
      <c r="AD43" s="12" t="str">
        <f t="shared" si="315"/>
        <v>-</v>
      </c>
      <c r="AE43" s="12" t="str">
        <f t="shared" si="316"/>
        <v>-</v>
      </c>
      <c r="AF43" s="12" t="str">
        <f t="shared" ca="1" si="317"/>
        <v>0x100C</v>
      </c>
      <c r="AG43" s="12" t="str">
        <f t="shared" si="318"/>
        <v>P_THRD_LOCK_LOW</v>
      </c>
      <c r="AH43" s="12">
        <f t="shared" si="319"/>
        <v>5</v>
      </c>
      <c r="AI43" s="12">
        <f t="shared" si="320"/>
        <v>9</v>
      </c>
      <c r="AJ43" s="12">
        <f t="shared" si="321"/>
        <v>5</v>
      </c>
      <c r="AK43" s="12">
        <f t="shared" si="248"/>
        <v>992</v>
      </c>
      <c r="AL43" s="12" t="str">
        <f t="shared" si="322"/>
        <v>-</v>
      </c>
      <c r="AM43" s="22">
        <f t="shared" si="14"/>
        <v>4</v>
      </c>
      <c r="AN43" s="12">
        <f t="shared" si="250"/>
        <v>128</v>
      </c>
      <c r="AO43" s="22" t="str">
        <f ca="1">IF(AF43="-",VLOOKUP(AD43,MemoryView!$A$3:$F$108,6,0),MID(VLOOKUP(AF43,MemoryView!$BD$3:$BE$108,2,0),15-AI43+1,AH43))</f>
        <v>00100</v>
      </c>
      <c r="AP43" s="22">
        <f t="shared" ca="1" si="251"/>
        <v>4</v>
      </c>
      <c r="AQ43" s="53" t="str">
        <f t="shared" si="252"/>
        <v>`EE_MNG.P_THRD_LOCK_LOW.SET(4);        // [0..31]</v>
      </c>
      <c r="AR43" s="54" t="str">
        <f t="shared" ca="1" si="253"/>
        <v>EE_MEM #(`PARAM(16'h100C, 5, 5, 0)) P_THRD_LOCK_LOW(); bit unsigned [5-1:0] P_THRD_LOCK_LOW_V; assign P_THRD_LOCK_LOW_V = P_THRD_LOCK_LOW.GET;</v>
      </c>
      <c r="AS43" s="12" t="str">
        <f t="shared" ca="1" si="254"/>
        <v>EE_PRESS_LSM</v>
      </c>
    </row>
    <row r="44" spans="2:45" ht="38.25">
      <c r="B44" s="55" t="str">
        <f t="shared" ca="1" si="20"/>
        <v>CUST</v>
      </c>
      <c r="C44" s="55" t="s">
        <v>58</v>
      </c>
      <c r="D44" s="56" t="s">
        <v>469</v>
      </c>
      <c r="E44" s="57" t="str">
        <f t="shared" ca="1" si="323"/>
        <v>0x100C</v>
      </c>
      <c r="F44" s="57">
        <v>3</v>
      </c>
      <c r="G44" s="57">
        <v>2</v>
      </c>
      <c r="H44" s="57">
        <v>0</v>
      </c>
      <c r="I44" s="57" t="s">
        <v>68</v>
      </c>
      <c r="J44" s="50" t="str">
        <f t="shared" si="314"/>
        <v>[4:2]</v>
      </c>
      <c r="K44" s="50">
        <f t="shared" si="238"/>
        <v>0</v>
      </c>
      <c r="L44" s="50">
        <f t="shared" si="239"/>
        <v>7</v>
      </c>
      <c r="M44" s="58" t="s">
        <v>561</v>
      </c>
      <c r="N44" s="28"/>
      <c r="O44" s="57">
        <v>5</v>
      </c>
      <c r="P44" s="57">
        <f t="shared" si="324"/>
        <v>5</v>
      </c>
      <c r="Q44" s="57">
        <f t="shared" si="325"/>
        <v>5</v>
      </c>
      <c r="R44" s="57">
        <f t="shared" si="326"/>
        <v>5</v>
      </c>
      <c r="S44" s="163">
        <f t="shared" si="326"/>
        <v>5</v>
      </c>
      <c r="T44" s="163">
        <v>5</v>
      </c>
      <c r="U44" s="163">
        <f>S44</f>
        <v>5</v>
      </c>
      <c r="V44" s="163">
        <f t="shared" si="327"/>
        <v>5</v>
      </c>
      <c r="W44" s="59"/>
      <c r="X44" s="57">
        <f t="shared" ca="1" si="240"/>
        <v>5</v>
      </c>
      <c r="Y44" s="32"/>
      <c r="AC44" s="12" t="b">
        <f t="shared" si="4"/>
        <v>1</v>
      </c>
      <c r="AD44" s="12" t="str">
        <f t="shared" si="315"/>
        <v>-</v>
      </c>
      <c r="AE44" s="12" t="str">
        <f t="shared" si="316"/>
        <v>-</v>
      </c>
      <c r="AF44" s="12" t="str">
        <f t="shared" ca="1" si="317"/>
        <v>0x100C</v>
      </c>
      <c r="AG44" s="12" t="str">
        <f t="shared" si="318"/>
        <v>P_CNT_LOCK_STATE</v>
      </c>
      <c r="AH44" s="12">
        <f t="shared" si="319"/>
        <v>3</v>
      </c>
      <c r="AI44" s="12">
        <f t="shared" si="320"/>
        <v>4</v>
      </c>
      <c r="AJ44" s="12">
        <f t="shared" si="321"/>
        <v>2</v>
      </c>
      <c r="AK44" s="12">
        <f t="shared" si="248"/>
        <v>28</v>
      </c>
      <c r="AL44" s="12" t="str">
        <f t="shared" si="322"/>
        <v>-</v>
      </c>
      <c r="AM44" s="22">
        <f t="shared" si="14"/>
        <v>5</v>
      </c>
      <c r="AN44" s="12">
        <f t="shared" si="250"/>
        <v>20</v>
      </c>
      <c r="AO44" s="22" t="str">
        <f ca="1">IF(AF44="-",VLOOKUP(AD44,MemoryView!$A$3:$F$108,6,0),MID(VLOOKUP(AF44,MemoryView!$BD$3:$BE$108,2,0),15-AI44+1,AH44))</f>
        <v>101</v>
      </c>
      <c r="AP44" s="22">
        <f t="shared" ca="1" si="251"/>
        <v>5</v>
      </c>
      <c r="AQ44" s="53" t="str">
        <f t="shared" si="252"/>
        <v>`EE_MNG.P_CNT_LOCK_STATE.SET(5);        // [0..7]</v>
      </c>
      <c r="AR44" s="54" t="str">
        <f t="shared" ca="1" si="253"/>
        <v>EE_MEM #(`PARAM(16'h100C, 2, 3, 0)) P_CNT_LOCK_STATE(); bit unsigned [3-1:0] P_CNT_LOCK_STATE_V; assign P_CNT_LOCK_STATE_V = P_CNT_LOCK_STATE.GET;</v>
      </c>
      <c r="AS44" s="12" t="str">
        <f t="shared" ca="1" si="254"/>
        <v>EE_PRESS_LSM</v>
      </c>
    </row>
    <row r="45" spans="2:45" ht="114.75">
      <c r="B45" s="55" t="str">
        <f t="shared" ca="1" si="20"/>
        <v>CUST</v>
      </c>
      <c r="C45" s="55" t="s">
        <v>58</v>
      </c>
      <c r="D45" s="56" t="s">
        <v>470</v>
      </c>
      <c r="E45" s="57" t="str">
        <f t="shared" ref="E45:E82" ca="1" si="328">INDIRECT(ADDRESS(ROW()-1,COLUMN()))</f>
        <v>0x100C</v>
      </c>
      <c r="F45" s="57">
        <v>2</v>
      </c>
      <c r="G45" s="57">
        <v>0</v>
      </c>
      <c r="H45" s="57">
        <v>0</v>
      </c>
      <c r="I45" s="57" t="s">
        <v>68</v>
      </c>
      <c r="J45" s="50" t="str">
        <f t="shared" si="314"/>
        <v>[1:0]</v>
      </c>
      <c r="K45" s="50">
        <f t="shared" si="238"/>
        <v>0</v>
      </c>
      <c r="L45" s="50">
        <f t="shared" si="239"/>
        <v>3</v>
      </c>
      <c r="M45" s="58" t="s">
        <v>562</v>
      </c>
      <c r="N45" s="28"/>
      <c r="O45" s="57">
        <v>2</v>
      </c>
      <c r="P45" s="57">
        <f t="shared" si="324"/>
        <v>2</v>
      </c>
      <c r="Q45" s="57">
        <f t="shared" si="325"/>
        <v>2</v>
      </c>
      <c r="R45" s="57">
        <f t="shared" si="326"/>
        <v>2</v>
      </c>
      <c r="S45" s="163">
        <f t="shared" si="326"/>
        <v>2</v>
      </c>
      <c r="T45" s="163">
        <v>2</v>
      </c>
      <c r="U45" s="163">
        <f>S45</f>
        <v>2</v>
      </c>
      <c r="V45" s="163">
        <f t="shared" si="327"/>
        <v>2</v>
      </c>
      <c r="W45" s="59"/>
      <c r="X45" s="57">
        <f t="shared" ca="1" si="240"/>
        <v>2</v>
      </c>
      <c r="Y45" s="32"/>
      <c r="AC45" s="12" t="b">
        <f t="shared" si="4"/>
        <v>1</v>
      </c>
      <c r="AD45" s="12" t="str">
        <f t="shared" si="315"/>
        <v>-</v>
      </c>
      <c r="AE45" s="12" t="str">
        <f t="shared" si="316"/>
        <v>-</v>
      </c>
      <c r="AF45" s="12" t="str">
        <f t="shared" ca="1" si="317"/>
        <v>0x100C</v>
      </c>
      <c r="AG45" s="12" t="str">
        <f t="shared" si="318"/>
        <v>P_LPF_DEPTH</v>
      </c>
      <c r="AH45" s="12">
        <f t="shared" si="319"/>
        <v>2</v>
      </c>
      <c r="AI45" s="12">
        <f t="shared" si="320"/>
        <v>1</v>
      </c>
      <c r="AJ45" s="12">
        <f t="shared" si="321"/>
        <v>0</v>
      </c>
      <c r="AK45" s="12">
        <f t="shared" si="248"/>
        <v>3</v>
      </c>
      <c r="AL45" s="12" t="str">
        <f t="shared" si="322"/>
        <v>-</v>
      </c>
      <c r="AM45" s="22">
        <f t="shared" si="14"/>
        <v>2</v>
      </c>
      <c r="AN45" s="12">
        <f t="shared" si="250"/>
        <v>2</v>
      </c>
      <c r="AO45" s="22" t="str">
        <f ca="1">IF(AF45="-",VLOOKUP(AD45,MemoryView!$A$3:$F$108,6,0),MID(VLOOKUP(AF45,MemoryView!$BD$3:$BE$108,2,0),15-AI45+1,AH45))</f>
        <v>10</v>
      </c>
      <c r="AP45" s="22">
        <f t="shared" ca="1" si="251"/>
        <v>2</v>
      </c>
      <c r="AQ45" s="53" t="str">
        <f t="shared" si="252"/>
        <v>`EE_MNG.P_LPF_DEPTH.SET(2);        // [0..3]</v>
      </c>
      <c r="AR45" s="54" t="str">
        <f t="shared" ca="1" si="253"/>
        <v>EE_MEM #(`PARAM(16'h100C, 0, 2, 0)) P_LPF_DEPTH(); bit unsigned [2-1:0] P_LPF_DEPTH_V; assign P_LPF_DEPTH_V = P_LPF_DEPTH.GET;</v>
      </c>
      <c r="AS45" s="12" t="str">
        <f t="shared" ca="1" si="254"/>
        <v>EE_PRESS_LSM</v>
      </c>
    </row>
    <row r="46" spans="2:45">
      <c r="B46" s="47" t="str">
        <f t="shared" ca="1" si="20"/>
        <v>CUST</v>
      </c>
      <c r="C46" s="47" t="s">
        <v>490</v>
      </c>
      <c r="D46" s="48" t="s">
        <v>58</v>
      </c>
      <c r="E46" s="60" t="str">
        <f ca="1">"0x"&amp;DEC2HEX(HEX2DEC(RIGHT(INDIRECT(ADDRESS(ROW()-1,COLUMN())),4))+2,4)</f>
        <v>0x100E</v>
      </c>
      <c r="F46" s="49">
        <v>16</v>
      </c>
      <c r="G46" s="49">
        <v>0</v>
      </c>
      <c r="H46" s="49">
        <v>0</v>
      </c>
      <c r="I46" s="49" t="s">
        <v>58</v>
      </c>
      <c r="J46" s="50" t="str">
        <f t="shared" si="314"/>
        <v>-</v>
      </c>
      <c r="K46" s="50">
        <f t="shared" si="238"/>
        <v>0</v>
      </c>
      <c r="L46" s="50">
        <f t="shared" si="239"/>
        <v>65535</v>
      </c>
      <c r="M46" s="51" t="s">
        <v>491</v>
      </c>
      <c r="N46" s="28"/>
      <c r="O46" s="52"/>
      <c r="P46" s="52"/>
      <c r="Q46" s="52"/>
      <c r="R46" s="52"/>
      <c r="S46" s="140"/>
      <c r="T46" s="165"/>
      <c r="U46" s="165"/>
      <c r="V46" s="165"/>
      <c r="W46" s="28"/>
      <c r="X46" s="52">
        <f t="shared" ca="1" si="240"/>
        <v>17792</v>
      </c>
      <c r="Y46" s="32"/>
      <c r="AC46" s="12">
        <f t="shared" si="4"/>
        <v>1</v>
      </c>
      <c r="AD46" s="12" t="str">
        <f t="shared" ca="1" si="315"/>
        <v>0x100E</v>
      </c>
      <c r="AE46" s="12" t="str">
        <f t="shared" si="316"/>
        <v>EE_NTC_ALPF</v>
      </c>
      <c r="AF46" s="12" t="str">
        <f t="shared" si="317"/>
        <v>-</v>
      </c>
      <c r="AG46" s="12" t="str">
        <f t="shared" si="318"/>
        <v>-</v>
      </c>
      <c r="AH46" s="12" t="str">
        <f t="shared" si="319"/>
        <v>-</v>
      </c>
      <c r="AI46" s="12" t="str">
        <f t="shared" si="320"/>
        <v>-</v>
      </c>
      <c r="AJ46" s="12" t="str">
        <f t="shared" si="321"/>
        <v>-</v>
      </c>
      <c r="AK46" s="12" t="str">
        <f t="shared" ca="1" si="248"/>
        <v>0x100E</v>
      </c>
      <c r="AL46" s="12" t="str">
        <f t="shared" ca="1" si="322"/>
        <v>CUST</v>
      </c>
      <c r="AM46" s="22">
        <f t="shared" si="14"/>
        <v>0</v>
      </c>
      <c r="AN46" s="12" t="str">
        <f t="shared" ca="1" si="250"/>
        <v>0x100E</v>
      </c>
      <c r="AO46" s="22" t="str">
        <f ca="1">IF(AF46="-",VLOOKUP(AD46,MemoryView!$A$3:$F$108,6,0),MID(VLOOKUP(AF46,MemoryView!$BD$3:$BE$108,2,0),15-AI46+1,AH46))</f>
        <v>4580</v>
      </c>
      <c r="AP46" s="22">
        <f t="shared" ca="1" si="251"/>
        <v>17792</v>
      </c>
      <c r="AQ46" s="53" t="str">
        <f t="shared" si="252"/>
        <v>-</v>
      </c>
      <c r="AR46" s="54" t="str">
        <f t="shared" ca="1" si="253"/>
        <v>EE_MEM #(`PARAM(16'h100E, 0, 16, 0)) EE_NTC_ALPF(); bit unsigned [16-1:0] EE_NTC_ALPF_V; assign EE_NTC_ALPF_V = EE_NTC_ALPF.GET;</v>
      </c>
      <c r="AS46" s="12" t="str">
        <f t="shared" ca="1" si="254"/>
        <v>EE_NTC_ALPF</v>
      </c>
    </row>
    <row r="47" spans="2:45" ht="38.25">
      <c r="B47" s="55" t="str">
        <f t="shared" ca="1" si="20"/>
        <v>CUST</v>
      </c>
      <c r="C47" s="55" t="s">
        <v>58</v>
      </c>
      <c r="D47" s="56" t="s">
        <v>492</v>
      </c>
      <c r="E47" s="57" t="str">
        <f t="shared" ca="1" si="328"/>
        <v>0x100E</v>
      </c>
      <c r="F47" s="57">
        <v>2</v>
      </c>
      <c r="G47" s="57">
        <v>14</v>
      </c>
      <c r="H47" s="57">
        <v>0</v>
      </c>
      <c r="I47" s="57" t="s">
        <v>68</v>
      </c>
      <c r="J47" s="50" t="str">
        <f t="shared" si="314"/>
        <v>[15:14]</v>
      </c>
      <c r="K47" s="50">
        <f t="shared" si="238"/>
        <v>0</v>
      </c>
      <c r="L47" s="50">
        <f t="shared" si="239"/>
        <v>3</v>
      </c>
      <c r="M47" s="58" t="s">
        <v>563</v>
      </c>
      <c r="N47" s="28"/>
      <c r="O47" s="57">
        <v>1</v>
      </c>
      <c r="P47" s="57">
        <f t="shared" ref="P47:P50" si="329">O47</f>
        <v>1</v>
      </c>
      <c r="Q47" s="57">
        <f t="shared" ref="Q47:Q50" si="330">O47</f>
        <v>1</v>
      </c>
      <c r="R47" s="57">
        <f t="shared" ref="R47:S50" si="331">O47</f>
        <v>1</v>
      </c>
      <c r="S47" s="163">
        <f t="shared" si="331"/>
        <v>1</v>
      </c>
      <c r="T47" s="163">
        <v>1</v>
      </c>
      <c r="U47" s="163">
        <f>S47</f>
        <v>1</v>
      </c>
      <c r="V47" s="163">
        <f t="shared" si="327"/>
        <v>1</v>
      </c>
      <c r="W47" s="59"/>
      <c r="X47" s="57">
        <f t="shared" ca="1" si="240"/>
        <v>1</v>
      </c>
      <c r="Y47" s="32"/>
      <c r="AC47" s="12" t="b">
        <f t="shared" si="4"/>
        <v>1</v>
      </c>
      <c r="AD47" s="12" t="str">
        <f t="shared" si="315"/>
        <v>-</v>
      </c>
      <c r="AE47" s="12" t="str">
        <f t="shared" si="316"/>
        <v>-</v>
      </c>
      <c r="AF47" s="12" t="str">
        <f t="shared" ca="1" si="317"/>
        <v>0x100E</v>
      </c>
      <c r="AG47" s="12" t="str">
        <f t="shared" si="318"/>
        <v>NTC_ALPF_DEPTH_DEC</v>
      </c>
      <c r="AH47" s="12">
        <f t="shared" si="319"/>
        <v>2</v>
      </c>
      <c r="AI47" s="12">
        <f t="shared" si="320"/>
        <v>15</v>
      </c>
      <c r="AJ47" s="12">
        <f t="shared" si="321"/>
        <v>14</v>
      </c>
      <c r="AK47" s="12">
        <f t="shared" si="248"/>
        <v>49152</v>
      </c>
      <c r="AL47" s="12" t="str">
        <f t="shared" si="322"/>
        <v>-</v>
      </c>
      <c r="AM47" s="22">
        <f t="shared" si="14"/>
        <v>1</v>
      </c>
      <c r="AN47" s="12">
        <f t="shared" si="250"/>
        <v>16384</v>
      </c>
      <c r="AO47" s="22" t="str">
        <f ca="1">IF(AF47="-",VLOOKUP(AD47,MemoryView!$A$3:$F$108,6,0),MID(VLOOKUP(AF47,MemoryView!$BD$3:$BE$108,2,0),15-AI47+1,AH47))</f>
        <v>01</v>
      </c>
      <c r="AP47" s="22">
        <f t="shared" ca="1" si="251"/>
        <v>1</v>
      </c>
      <c r="AQ47" s="53" t="str">
        <f t="shared" si="252"/>
        <v>`EE_MNG.NTC_ALPF_DEPTH_DEC.SET(1);        // [0..3]</v>
      </c>
      <c r="AR47" s="54" t="str">
        <f t="shared" ca="1" si="253"/>
        <v>EE_MEM #(`PARAM(16'h100E, 14, 2, 0)) NTC_ALPF_DEPTH_DEC(); bit unsigned [2-1:0] NTC_ALPF_DEPTH_DEC_V; assign NTC_ALPF_DEPTH_DEC_V = NTC_ALPF_DEPTH_DEC.GET;</v>
      </c>
      <c r="AS47" s="12" t="str">
        <f t="shared" ca="1" si="254"/>
        <v>EE_NTC_ALPF</v>
      </c>
    </row>
    <row r="48" spans="2:45" ht="38.25">
      <c r="B48" s="55" t="str">
        <f t="shared" ca="1" si="20"/>
        <v>CUST</v>
      </c>
      <c r="C48" s="55" t="s">
        <v>58</v>
      </c>
      <c r="D48" s="56" t="s">
        <v>493</v>
      </c>
      <c r="E48" s="57" t="str">
        <f t="shared" ca="1" si="328"/>
        <v>0x100E</v>
      </c>
      <c r="F48" s="57">
        <v>3</v>
      </c>
      <c r="G48" s="57">
        <v>11</v>
      </c>
      <c r="H48" s="57">
        <v>0</v>
      </c>
      <c r="I48" s="57" t="s">
        <v>68</v>
      </c>
      <c r="J48" s="50" t="str">
        <f t="shared" ref="J48" si="332">IF(D48&lt;&gt;"-","["&amp;AI48&amp;":"&amp;AJ48&amp;"]","-")</f>
        <v>[13:11]</v>
      </c>
      <c r="K48" s="50">
        <f t="shared" ref="K48" si="333">IF(H48,-L48-1,0)</f>
        <v>0</v>
      </c>
      <c r="L48" s="50">
        <f t="shared" ref="L48" si="334">IF(H48,FLOOR((2^F48-1)/2,1),2^F48-1)</f>
        <v>7</v>
      </c>
      <c r="M48" s="58" t="s">
        <v>564</v>
      </c>
      <c r="N48" s="28"/>
      <c r="O48" s="57">
        <v>0</v>
      </c>
      <c r="P48" s="57">
        <f t="shared" si="329"/>
        <v>0</v>
      </c>
      <c r="Q48" s="57">
        <f t="shared" si="330"/>
        <v>0</v>
      </c>
      <c r="R48" s="57">
        <f t="shared" si="331"/>
        <v>0</v>
      </c>
      <c r="S48" s="163">
        <f t="shared" si="331"/>
        <v>0</v>
      </c>
      <c r="T48" s="163">
        <v>0</v>
      </c>
      <c r="U48" s="163">
        <f>S48</f>
        <v>0</v>
      </c>
      <c r="V48" s="163">
        <f t="shared" si="327"/>
        <v>0</v>
      </c>
      <c r="W48" s="59"/>
      <c r="X48" s="57">
        <f t="shared" ref="X48" ca="1" si="335">IF(H48=0,AP48,    IF(AP48&lt;=2^(F48-1)-1,AP48,AP48-2^F48)  )</f>
        <v>0</v>
      </c>
      <c r="Y48" s="32"/>
      <c r="AC48" s="12" t="b">
        <f t="shared" si="4"/>
        <v>1</v>
      </c>
      <c r="AD48" s="12" t="str">
        <f t="shared" ref="AD48" si="336">IF(AND(D48="-",C48&lt;&gt;"-"),E48,"-")</f>
        <v>-</v>
      </c>
      <c r="AE48" s="12" t="str">
        <f t="shared" ref="AE48" si="337">IF(D48="-",C48,"-")</f>
        <v>-</v>
      </c>
      <c r="AF48" s="12" t="str">
        <f t="shared" ref="AF48" ca="1" si="338">IF(AND(D48&lt;&gt;"-",ISTEXT(D48)),E48,"-")</f>
        <v>0x100E</v>
      </c>
      <c r="AG48" s="12" t="str">
        <f t="shared" ref="AG48" si="339">IF(AND(D48&lt;&gt;"-",ISTEXT(D48)),D48,"-")</f>
        <v>NTC_ALPF_DEPTH_MIN</v>
      </c>
      <c r="AH48" s="12">
        <f t="shared" ref="AH48" si="340">IF(D48&lt;&gt;"-",F48,"-")</f>
        <v>3</v>
      </c>
      <c r="AI48" s="12">
        <f t="shared" ref="AI48" si="341">IF(D48&lt;&gt;"-",G48+F48-1,"-")</f>
        <v>13</v>
      </c>
      <c r="AJ48" s="12">
        <f t="shared" ref="AJ48" si="342">IF(D48&lt;&gt;"-",G48,"-")</f>
        <v>11</v>
      </c>
      <c r="AK48" s="12">
        <f t="shared" ref="AK48" si="343">IF(OR(AH48="-",AJ48="-"),AD48,(2^AH48-1)*2^AJ48)</f>
        <v>14336</v>
      </c>
      <c r="AL48" s="12" t="str">
        <f t="shared" ref="AL48" si="344">IF(D48="-",B48,"-")</f>
        <v>-</v>
      </c>
      <c r="AM48" s="22">
        <f t="shared" si="14"/>
        <v>0</v>
      </c>
      <c r="AN48" s="12">
        <f t="shared" ref="AN48" si="345">IF(OR(AH48="-",AJ48="-"),AD48,IF(AM48&lt;0,AM48+2^AH48,AM48)*2^AJ48)</f>
        <v>0</v>
      </c>
      <c r="AO48" s="22" t="str">
        <f ca="1">IF(AF48="-",VLOOKUP(AD48,MemoryView!$A$3:$F$108,6,0),MID(VLOOKUP(AF48,MemoryView!$BD$3:$BE$108,2,0),15-AI48+1,AH48))</f>
        <v>000</v>
      </c>
      <c r="AP48" s="22">
        <f t="shared" ref="AP48" ca="1" si="346">IF(AF48="-",HEX2DEC(AO48),IF(LEN(AO48)&gt;8,BIN2DEC(LEFT(AO48,LEN(AO48)-8))*2^8+BIN2DEC(RIGHT(AO48,8)),BIN2DEC(AO48)))</f>
        <v>0</v>
      </c>
      <c r="AQ48" s="53" t="str">
        <f t="shared" ref="AQ48" si="347">IF(AG48&lt;&gt;"-",CONCATENATE("`EE_MNG.",AG48,".SET(",AM48,");        // [",K48,"..",L48,"]"),"-")</f>
        <v>`EE_MNG.NTC_ALPF_DEPTH_MIN.SET(0);        // [0..7]</v>
      </c>
      <c r="AR48" s="54" t="str">
        <f t="shared" ref="AR48" ca="1" si="348">IF(AND(AD48="-",AE48="-",AF48="-",AG48="-"),"-",IF(AG48&lt;&gt;"-",CONCATENATE("EE_MEM #(`PARAM(16'h",RIGHT(AF48,4),", ",G48,", ",F48,", ",H48,")) ",AG48,"(); bit ",IF(H48=0,"unsigned [","signed ["),F48,"-1:0] ", AG48,"_V; assign ",AG48,"_V = ",AG48,".GET;"), CONCATENATE("EE_MEM #(`PARAM(16'h",RIGHT(AD48,4),", ",G48,", ",F48,", ",H48,")) ",AE48,"(); bit ",IF(H48=0,"unsigned [","signed ["),F48,"-1:0] ", AE48,"_V; assign ",AE48,"_V = ",AE48,".GET;")))</f>
        <v>EE_MEM #(`PARAM(16'h100E, 11, 3, 0)) NTC_ALPF_DEPTH_MIN(); bit unsigned [3-1:0] NTC_ALPF_DEPTH_MIN_V; assign NTC_ALPF_DEPTH_MIN_V = NTC_ALPF_DEPTH_MIN.GET;</v>
      </c>
      <c r="AS48" s="12" t="str">
        <f t="shared" ref="AS48" ca="1" si="349">IF(AG48="-",AE48,INDIRECT(ADDRESS(ROW()-1,COLUMN())))</f>
        <v>EE_NTC_ALPF</v>
      </c>
    </row>
    <row r="49" spans="2:45" ht="38.25">
      <c r="B49" s="55" t="str">
        <f t="shared" ca="1" si="20"/>
        <v>CUST</v>
      </c>
      <c r="C49" s="55" t="s">
        <v>58</v>
      </c>
      <c r="D49" s="56" t="s">
        <v>494</v>
      </c>
      <c r="E49" s="57" t="str">
        <f t="shared" ca="1" si="328"/>
        <v>0x100E</v>
      </c>
      <c r="F49" s="57">
        <v>3</v>
      </c>
      <c r="G49" s="57">
        <v>8</v>
      </c>
      <c r="H49" s="57">
        <v>0</v>
      </c>
      <c r="I49" s="57" t="s">
        <v>68</v>
      </c>
      <c r="J49" s="50" t="str">
        <f t="shared" ref="J49" si="350">IF(D49&lt;&gt;"-","["&amp;AI49&amp;":"&amp;AJ49&amp;"]","-")</f>
        <v>[10:8]</v>
      </c>
      <c r="K49" s="50">
        <f t="shared" ref="K49" si="351">IF(H49,-L49-1,0)</f>
        <v>0</v>
      </c>
      <c r="L49" s="50">
        <f t="shared" ref="L49" si="352">IF(H49,FLOOR((2^F49-1)/2,1),2^F49-1)</f>
        <v>7</v>
      </c>
      <c r="M49" s="58" t="s">
        <v>565</v>
      </c>
      <c r="N49" s="28"/>
      <c r="O49" s="57">
        <v>5</v>
      </c>
      <c r="P49" s="57">
        <f t="shared" si="329"/>
        <v>5</v>
      </c>
      <c r="Q49" s="57">
        <f t="shared" si="330"/>
        <v>5</v>
      </c>
      <c r="R49" s="57">
        <f t="shared" si="331"/>
        <v>5</v>
      </c>
      <c r="S49" s="163">
        <f t="shared" si="331"/>
        <v>5</v>
      </c>
      <c r="T49" s="163">
        <v>5</v>
      </c>
      <c r="U49" s="163">
        <f>S49</f>
        <v>5</v>
      </c>
      <c r="V49" s="163">
        <f t="shared" si="327"/>
        <v>5</v>
      </c>
      <c r="W49" s="59"/>
      <c r="X49" s="57">
        <f t="shared" ref="X49" ca="1" si="353">IF(H49=0,AP49,    IF(AP49&lt;=2^(F49-1)-1,AP49,AP49-2^F49)  )</f>
        <v>5</v>
      </c>
      <c r="Y49" s="32"/>
      <c r="AC49" s="12" t="b">
        <f t="shared" si="4"/>
        <v>1</v>
      </c>
      <c r="AD49" s="12" t="str">
        <f t="shared" ref="AD49" si="354">IF(AND(D49="-",C49&lt;&gt;"-"),E49,"-")</f>
        <v>-</v>
      </c>
      <c r="AE49" s="12" t="str">
        <f t="shared" ref="AE49" si="355">IF(D49="-",C49,"-")</f>
        <v>-</v>
      </c>
      <c r="AF49" s="12" t="str">
        <f t="shared" ref="AF49" ca="1" si="356">IF(AND(D49&lt;&gt;"-",ISTEXT(D49)),E49,"-")</f>
        <v>0x100E</v>
      </c>
      <c r="AG49" s="12" t="str">
        <f t="shared" ref="AG49" si="357">IF(AND(D49&lt;&gt;"-",ISTEXT(D49)),D49,"-")</f>
        <v>NTC_ALPF_DEPTH_MAX</v>
      </c>
      <c r="AH49" s="12">
        <f t="shared" ref="AH49" si="358">IF(D49&lt;&gt;"-",F49,"-")</f>
        <v>3</v>
      </c>
      <c r="AI49" s="12">
        <f t="shared" ref="AI49" si="359">IF(D49&lt;&gt;"-",G49+F49-1,"-")</f>
        <v>10</v>
      </c>
      <c r="AJ49" s="12">
        <f t="shared" ref="AJ49" si="360">IF(D49&lt;&gt;"-",G49,"-")</f>
        <v>8</v>
      </c>
      <c r="AK49" s="12">
        <f t="shared" ref="AK49" si="361">IF(OR(AH49="-",AJ49="-"),AD49,(2^AH49-1)*2^AJ49)</f>
        <v>1792</v>
      </c>
      <c r="AL49" s="12" t="str">
        <f t="shared" ref="AL49" si="362">IF(D49="-",B49,"-")</f>
        <v>-</v>
      </c>
      <c r="AM49" s="22">
        <f t="shared" si="14"/>
        <v>5</v>
      </c>
      <c r="AN49" s="12">
        <f t="shared" ref="AN49" si="363">IF(OR(AH49="-",AJ49="-"),AD49,IF(AM49&lt;0,AM49+2^AH49,AM49)*2^AJ49)</f>
        <v>1280</v>
      </c>
      <c r="AO49" s="22" t="str">
        <f ca="1">IF(AF49="-",VLOOKUP(AD49,MemoryView!$A$3:$F$108,6,0),MID(VLOOKUP(AF49,MemoryView!$BD$3:$BE$108,2,0),15-AI49+1,AH49))</f>
        <v>101</v>
      </c>
      <c r="AP49" s="22">
        <f t="shared" ref="AP49" ca="1" si="364">IF(AF49="-",HEX2DEC(AO49),IF(LEN(AO49)&gt;8,BIN2DEC(LEFT(AO49,LEN(AO49)-8))*2^8+BIN2DEC(RIGHT(AO49,8)),BIN2DEC(AO49)))</f>
        <v>5</v>
      </c>
      <c r="AQ49" s="53" t="str">
        <f t="shared" ref="AQ49" si="365">IF(AG49&lt;&gt;"-",CONCATENATE("`EE_MNG.",AG49,".SET(",AM49,");        // [",K49,"..",L49,"]"),"-")</f>
        <v>`EE_MNG.NTC_ALPF_DEPTH_MAX.SET(5);        // [0..7]</v>
      </c>
      <c r="AR49" s="54" t="str">
        <f t="shared" ref="AR49" ca="1" si="366">IF(AND(AD49="-",AE49="-",AF49="-",AG49="-"),"-",IF(AG49&lt;&gt;"-",CONCATENATE("EE_MEM #(`PARAM(16'h",RIGHT(AF49,4),", ",G49,", ",F49,", ",H49,")) ",AG49,"(); bit ",IF(H49=0,"unsigned [","signed ["),F49,"-1:0] ", AG49,"_V; assign ",AG49,"_V = ",AG49,".GET;"), CONCATENATE("EE_MEM #(`PARAM(16'h",RIGHT(AD49,4),", ",G49,", ",F49,", ",H49,")) ",AE49,"(); bit ",IF(H49=0,"unsigned [","signed ["),F49,"-1:0] ", AE49,"_V; assign ",AE49,"_V = ",AE49,".GET;")))</f>
        <v>EE_MEM #(`PARAM(16'h100E, 8, 3, 0)) NTC_ALPF_DEPTH_MAX(); bit unsigned [3-1:0] NTC_ALPF_DEPTH_MAX_V; assign NTC_ALPF_DEPTH_MAX_V = NTC_ALPF_DEPTH_MAX.GET;</v>
      </c>
      <c r="AS49" s="12" t="str">
        <f t="shared" ref="AS49" ca="1" si="367">IF(AG49="-",AE49,INDIRECT(ADDRESS(ROW()-1,COLUMN())))</f>
        <v>EE_NTC_ALPF</v>
      </c>
    </row>
    <row r="50" spans="2:45" ht="51">
      <c r="B50" s="55" t="str">
        <f t="shared" ca="1" si="20"/>
        <v>CUST</v>
      </c>
      <c r="C50" s="55" t="s">
        <v>58</v>
      </c>
      <c r="D50" s="56" t="s">
        <v>495</v>
      </c>
      <c r="E50" s="57" t="str">
        <f t="shared" ca="1" si="328"/>
        <v>0x100E</v>
      </c>
      <c r="F50" s="57">
        <v>8</v>
      </c>
      <c r="G50" s="57">
        <v>0</v>
      </c>
      <c r="H50" s="57">
        <v>0</v>
      </c>
      <c r="I50" s="57" t="s">
        <v>68</v>
      </c>
      <c r="J50" s="50" t="str">
        <f t="shared" ref="J50:J51" si="368">IF(D50&lt;&gt;"-","["&amp;AI50&amp;":"&amp;AJ50&amp;"]","-")</f>
        <v>[7:0]</v>
      </c>
      <c r="K50" s="50">
        <f t="shared" ref="K50:K56" si="369">IF(H50,-L50-1,0)</f>
        <v>0</v>
      </c>
      <c r="L50" s="50">
        <f t="shared" ref="L50:L56" si="370">IF(H50,FLOOR((2^F50-1)/2,1),2^F50-1)</f>
        <v>255</v>
      </c>
      <c r="M50" s="58" t="s">
        <v>566</v>
      </c>
      <c r="N50" s="28"/>
      <c r="O50" s="57">
        <v>128</v>
      </c>
      <c r="P50" s="57">
        <f t="shared" si="329"/>
        <v>128</v>
      </c>
      <c r="Q50" s="57">
        <f t="shared" si="330"/>
        <v>128</v>
      </c>
      <c r="R50" s="57">
        <f t="shared" si="331"/>
        <v>128</v>
      </c>
      <c r="S50" s="163">
        <f t="shared" si="331"/>
        <v>128</v>
      </c>
      <c r="T50" s="163">
        <v>128</v>
      </c>
      <c r="U50" s="163">
        <f>S50</f>
        <v>128</v>
      </c>
      <c r="V50" s="163">
        <f t="shared" si="327"/>
        <v>128</v>
      </c>
      <c r="W50" s="59"/>
      <c r="X50" s="57">
        <f t="shared" ref="X50:X56" ca="1" si="371">IF(H50=0,AP50,    IF(AP50&lt;=2^(F50-1)-1,AP50,AP50-2^F50)  )</f>
        <v>128</v>
      </c>
      <c r="Y50" s="32"/>
      <c r="AC50" s="12" t="b">
        <f t="shared" si="4"/>
        <v>1</v>
      </c>
      <c r="AD50" s="12" t="str">
        <f t="shared" ref="AD50:AD52" si="372">IF(AND(D50="-",C50&lt;&gt;"-"),E50,"-")</f>
        <v>-</v>
      </c>
      <c r="AE50" s="12" t="str">
        <f t="shared" ref="AE50:AE52" si="373">IF(D50="-",C50,"-")</f>
        <v>-</v>
      </c>
      <c r="AF50" s="12" t="str">
        <f t="shared" ref="AF50:AF52" ca="1" si="374">IF(AND(D50&lt;&gt;"-",ISTEXT(D50)),E50,"-")</f>
        <v>0x100E</v>
      </c>
      <c r="AG50" s="12" t="str">
        <f t="shared" ref="AG50:AG52" si="375">IF(AND(D50&lt;&gt;"-",ISTEXT(D50)),D50,"-")</f>
        <v>NTC_ALPF_THRESHOLD_MAX</v>
      </c>
      <c r="AH50" s="12">
        <f t="shared" ref="AH50:AH52" si="376">IF(D50&lt;&gt;"-",F50,"-")</f>
        <v>8</v>
      </c>
      <c r="AI50" s="12">
        <f t="shared" ref="AI50:AI52" si="377">IF(D50&lt;&gt;"-",G50+F50-1,"-")</f>
        <v>7</v>
      </c>
      <c r="AJ50" s="12">
        <f t="shared" ref="AJ50:AJ52" si="378">IF(D50&lt;&gt;"-",G50,"-")</f>
        <v>0</v>
      </c>
      <c r="AK50" s="12">
        <f t="shared" ref="AK50:AK56" si="379">IF(OR(AH50="-",AJ50="-"),AD50,(2^AH50-1)*2^AJ50)</f>
        <v>255</v>
      </c>
      <c r="AL50" s="12" t="str">
        <f t="shared" ref="AL50:AL52" si="380">IF(D50="-",B50,"-")</f>
        <v>-</v>
      </c>
      <c r="AM50" s="22">
        <f t="shared" si="14"/>
        <v>128</v>
      </c>
      <c r="AN50" s="12">
        <f t="shared" ref="AN50:AN56" si="381">IF(OR(AH50="-",AJ50="-"),AD50,IF(AM50&lt;0,AM50+2^AH50,AM50)*2^AJ50)</f>
        <v>128</v>
      </c>
      <c r="AO50" s="22" t="str">
        <f ca="1">IF(AF50="-",VLOOKUP(AD50,MemoryView!$A$3:$F$108,6,0),MID(VLOOKUP(AF50,MemoryView!$BD$3:$BE$108,2,0),15-AI50+1,AH50))</f>
        <v>10000000</v>
      </c>
      <c r="AP50" s="22">
        <f t="shared" ref="AP50:AP56" ca="1" si="382">IF(AF50="-",HEX2DEC(AO50),IF(LEN(AO50)&gt;8,BIN2DEC(LEFT(AO50,LEN(AO50)-8))*2^8+BIN2DEC(RIGHT(AO50,8)),BIN2DEC(AO50)))</f>
        <v>128</v>
      </c>
      <c r="AQ50" s="53" t="str">
        <f t="shared" ref="AQ50:AQ56" si="383">IF(AG50&lt;&gt;"-",CONCATENATE("`EE_MNG.",AG50,".SET(",AM50,");        // [",K50,"..",L50,"]"),"-")</f>
        <v>`EE_MNG.NTC_ALPF_THRESHOLD_MAX.SET(128);        // [0..255]</v>
      </c>
      <c r="AR50" s="54" t="str">
        <f t="shared" ref="AR50:AR56" ca="1" si="384">IF(AND(AD50="-",AE50="-",AF50="-",AG50="-"),"-",IF(AG50&lt;&gt;"-",CONCATENATE("EE_MEM #(`PARAM(16'h",RIGHT(AF50,4),", ",G50,", ",F50,", ",H50,")) ",AG50,"(); bit ",IF(H50=0,"unsigned [","signed ["),F50,"-1:0] ", AG50,"_V; assign ",AG50,"_V = ",AG50,".GET;"), CONCATENATE("EE_MEM #(`PARAM(16'h",RIGHT(AD50,4),", ",G50,", ",F50,", ",H50,")) ",AE50,"(); bit ",IF(H50=0,"unsigned [","signed ["),F50,"-1:0] ", AE50,"_V; assign ",AE50,"_V = ",AE50,".GET;")))</f>
        <v>EE_MEM #(`PARAM(16'h100E, 0, 8, 0)) NTC_ALPF_THRESHOLD_MAX(); bit unsigned [8-1:0] NTC_ALPF_THRESHOLD_MAX_V; assign NTC_ALPF_THRESHOLD_MAX_V = NTC_ALPF_THRESHOLD_MAX.GET;</v>
      </c>
      <c r="AS50" s="12" t="str">
        <f t="shared" ref="AS50:AS56" ca="1" si="385">IF(AG50="-",AE50,INDIRECT(ADDRESS(ROW()-1,COLUMN())))</f>
        <v>EE_NTC_ALPF</v>
      </c>
    </row>
    <row r="51" spans="2:45">
      <c r="B51" s="47" t="str">
        <f t="shared" ca="1" si="20"/>
        <v>CUST</v>
      </c>
      <c r="C51" s="47" t="s">
        <v>451</v>
      </c>
      <c r="D51" s="48" t="s">
        <v>58</v>
      </c>
      <c r="E51" s="60" t="str">
        <f ca="1">"0x"&amp;DEC2HEX(HEX2DEC(RIGHT(INDIRECT(ADDRESS(ROW()-1,COLUMN())),4))+2,4)</f>
        <v>0x1010</v>
      </c>
      <c r="F51" s="49">
        <v>16</v>
      </c>
      <c r="G51" s="49">
        <v>0</v>
      </c>
      <c r="H51" s="49">
        <v>0</v>
      </c>
      <c r="I51" s="49" t="s">
        <v>58</v>
      </c>
      <c r="J51" s="50" t="str">
        <f t="shared" si="368"/>
        <v>-</v>
      </c>
      <c r="K51" s="50">
        <f t="shared" si="369"/>
        <v>0</v>
      </c>
      <c r="L51" s="50">
        <f t="shared" si="370"/>
        <v>65535</v>
      </c>
      <c r="M51" s="51" t="s">
        <v>452</v>
      </c>
      <c r="N51" s="28"/>
      <c r="O51" s="125"/>
      <c r="P51" s="52"/>
      <c r="Q51" s="52"/>
      <c r="R51" s="52"/>
      <c r="S51" s="140"/>
      <c r="T51" s="165"/>
      <c r="U51" s="165"/>
      <c r="V51" s="165"/>
      <c r="W51" s="28"/>
      <c r="X51" s="52">
        <f t="shared" ca="1" si="371"/>
        <v>0</v>
      </c>
      <c r="Y51" s="32"/>
      <c r="AC51" s="12">
        <f t="shared" si="4"/>
        <v>1</v>
      </c>
      <c r="AD51" s="12" t="str">
        <f t="shared" ca="1" si="372"/>
        <v>0x1010</v>
      </c>
      <c r="AE51" s="12" t="str">
        <f t="shared" si="373"/>
        <v>EE_I2C_SPI_CONF</v>
      </c>
      <c r="AF51" s="12" t="str">
        <f t="shared" si="374"/>
        <v>-</v>
      </c>
      <c r="AG51" s="12" t="str">
        <f t="shared" si="375"/>
        <v>-</v>
      </c>
      <c r="AH51" s="12" t="str">
        <f t="shared" si="376"/>
        <v>-</v>
      </c>
      <c r="AI51" s="12" t="str">
        <f t="shared" si="377"/>
        <v>-</v>
      </c>
      <c r="AJ51" s="12" t="str">
        <f t="shared" si="378"/>
        <v>-</v>
      </c>
      <c r="AK51" s="12" t="str">
        <f t="shared" ca="1" si="379"/>
        <v>0x1010</v>
      </c>
      <c r="AL51" s="12" t="str">
        <f t="shared" ca="1" si="380"/>
        <v>CUST</v>
      </c>
      <c r="AM51" s="22">
        <f t="shared" si="14"/>
        <v>0</v>
      </c>
      <c r="AN51" s="12" t="str">
        <f t="shared" ca="1" si="381"/>
        <v>0x1010</v>
      </c>
      <c r="AO51" s="22" t="str">
        <f ca="1">IF(AF51="-",VLOOKUP(AD51,MemoryView!$A$3:$F$108,6,0),MID(VLOOKUP(AF51,MemoryView!$BD$3:$BE$108,2,0),15-AI51+1,AH51))</f>
        <v>0000</v>
      </c>
      <c r="AP51" s="22">
        <f t="shared" ca="1" si="382"/>
        <v>0</v>
      </c>
      <c r="AQ51" s="53" t="str">
        <f t="shared" si="383"/>
        <v>-</v>
      </c>
      <c r="AR51" s="54" t="str">
        <f t="shared" ca="1" si="384"/>
        <v>EE_MEM #(`PARAM(16'h1010, 0, 16, 0)) EE_I2C_SPI_CONF(); bit unsigned [16-1:0] EE_I2C_SPI_CONF_V; assign EE_I2C_SPI_CONF_V = EE_I2C_SPI_CONF.GET;</v>
      </c>
      <c r="AS51" s="12" t="str">
        <f t="shared" ca="1" si="385"/>
        <v>EE_I2C_SPI_CONF</v>
      </c>
    </row>
    <row r="52" spans="2:45">
      <c r="B52" s="55" t="str">
        <f t="shared" ca="1" si="20"/>
        <v>CUST</v>
      </c>
      <c r="C52" s="55" t="s">
        <v>58</v>
      </c>
      <c r="D52" s="56" t="s">
        <v>585</v>
      </c>
      <c r="E52" s="57" t="str">
        <f t="shared" ref="E52" ca="1" si="386">INDIRECT(ADDRESS(ROW()-1,COLUMN()))</f>
        <v>0x1010</v>
      </c>
      <c r="F52" s="57">
        <v>5</v>
      </c>
      <c r="G52" s="57">
        <v>11</v>
      </c>
      <c r="H52" s="57">
        <v>0</v>
      </c>
      <c r="I52" s="57" t="s">
        <v>68</v>
      </c>
      <c r="J52" s="50" t="str">
        <f>IF(D52&lt;&gt;"-","["&amp;AI52&amp;":"&amp;AJ52&amp;"]","-")</f>
        <v>[15:11]</v>
      </c>
      <c r="K52" s="50">
        <f t="shared" si="369"/>
        <v>0</v>
      </c>
      <c r="L52" s="50">
        <f t="shared" si="370"/>
        <v>31</v>
      </c>
      <c r="M52" s="58" t="s">
        <v>583</v>
      </c>
      <c r="N52" s="28"/>
      <c r="O52" s="57">
        <v>0</v>
      </c>
      <c r="P52" s="57">
        <f t="shared" ref="P52:P56" si="387">O52</f>
        <v>0</v>
      </c>
      <c r="Q52" s="57">
        <f t="shared" ref="Q52:Q56" si="388">O52</f>
        <v>0</v>
      </c>
      <c r="R52" s="57">
        <f t="shared" ref="R52:S56" si="389">O52</f>
        <v>0</v>
      </c>
      <c r="S52" s="163">
        <f t="shared" si="389"/>
        <v>0</v>
      </c>
      <c r="T52" s="163">
        <v>0</v>
      </c>
      <c r="U52" s="163">
        <f>S52</f>
        <v>0</v>
      </c>
      <c r="V52" s="163">
        <f t="shared" si="327"/>
        <v>0</v>
      </c>
      <c r="W52" s="59"/>
      <c r="X52" s="57">
        <f t="shared" ca="1" si="371"/>
        <v>0</v>
      </c>
      <c r="Y52" s="32"/>
      <c r="AC52" s="12" t="b">
        <f t="shared" si="4"/>
        <v>1</v>
      </c>
      <c r="AD52" s="12" t="str">
        <f t="shared" si="372"/>
        <v>-</v>
      </c>
      <c r="AE52" s="12" t="str">
        <f t="shared" si="373"/>
        <v>-</v>
      </c>
      <c r="AF52" s="12" t="str">
        <f t="shared" ca="1" si="374"/>
        <v>0x1010</v>
      </c>
      <c r="AG52" s="12" t="str">
        <f t="shared" si="375"/>
        <v>I2C_SPI_CONF_RESERVED</v>
      </c>
      <c r="AH52" s="12">
        <f t="shared" si="376"/>
        <v>5</v>
      </c>
      <c r="AI52" s="12">
        <f t="shared" si="377"/>
        <v>15</v>
      </c>
      <c r="AJ52" s="12">
        <f t="shared" si="378"/>
        <v>11</v>
      </c>
      <c r="AK52" s="12">
        <f t="shared" si="379"/>
        <v>63488</v>
      </c>
      <c r="AL52" s="12" t="str">
        <f t="shared" si="380"/>
        <v>-</v>
      </c>
      <c r="AM52" s="22">
        <f t="shared" si="14"/>
        <v>0</v>
      </c>
      <c r="AN52" s="12">
        <f t="shared" si="381"/>
        <v>0</v>
      </c>
      <c r="AO52" s="22" t="str">
        <f ca="1">IF(AF52="-",VLOOKUP(AD52,MemoryView!$A$3:$F$108,6,0),MID(VLOOKUP(AF52,MemoryView!$BD$3:$BE$108,2,0),15-AI52+1,AH52))</f>
        <v>00000</v>
      </c>
      <c r="AP52" s="22">
        <f t="shared" ca="1" si="382"/>
        <v>0</v>
      </c>
      <c r="AQ52" s="53" t="str">
        <f t="shared" si="383"/>
        <v>`EE_MNG.I2C_SPI_CONF_RESERVED.SET(0);        // [0..31]</v>
      </c>
      <c r="AR52" s="54" t="str">
        <f t="shared" ca="1" si="384"/>
        <v>EE_MEM #(`PARAM(16'h1010, 11, 5, 0)) I2C_SPI_CONF_RESERVED(); bit unsigned [5-1:0] I2C_SPI_CONF_RESERVED_V; assign I2C_SPI_CONF_RESERVED_V = I2C_SPI_CONF_RESERVED.GET;</v>
      </c>
      <c r="AS52" s="12" t="str">
        <f t="shared" ca="1" si="385"/>
        <v>EE_I2C_SPI_CONF</v>
      </c>
    </row>
    <row r="53" spans="2:45" ht="25.5">
      <c r="B53" s="55" t="str">
        <f t="shared" ca="1" si="20"/>
        <v>CUST</v>
      </c>
      <c r="C53" s="55" t="s">
        <v>58</v>
      </c>
      <c r="D53" s="56" t="s">
        <v>448</v>
      </c>
      <c r="E53" s="57" t="str">
        <f t="shared" ref="E53:E56" ca="1" si="390">INDIRECT(ADDRESS(ROW()-1,COLUMN()))</f>
        <v>0x1010</v>
      </c>
      <c r="F53" s="57">
        <v>7</v>
      </c>
      <c r="G53" s="57">
        <v>4</v>
      </c>
      <c r="H53" s="57">
        <v>0</v>
      </c>
      <c r="I53" s="57" t="s">
        <v>68</v>
      </c>
      <c r="J53" s="50" t="str">
        <f>IF(D53&lt;&gt;"-","["&amp;AI53&amp;":"&amp;AJ53&amp;"]","-")</f>
        <v>[10:4]</v>
      </c>
      <c r="K53" s="50">
        <f t="shared" si="369"/>
        <v>0</v>
      </c>
      <c r="L53" s="50">
        <f t="shared" si="370"/>
        <v>127</v>
      </c>
      <c r="M53" s="61" t="s">
        <v>736</v>
      </c>
      <c r="N53" s="28"/>
      <c r="O53" s="57">
        <v>0</v>
      </c>
      <c r="P53" s="57">
        <f t="shared" si="387"/>
        <v>0</v>
      </c>
      <c r="Q53" s="57">
        <f t="shared" si="388"/>
        <v>0</v>
      </c>
      <c r="R53" s="57">
        <f t="shared" si="389"/>
        <v>0</v>
      </c>
      <c r="S53" s="163">
        <f t="shared" si="389"/>
        <v>0</v>
      </c>
      <c r="T53" s="163">
        <v>0</v>
      </c>
      <c r="U53" s="163">
        <f>S53</f>
        <v>0</v>
      </c>
      <c r="V53" s="163">
        <f t="shared" si="327"/>
        <v>0</v>
      </c>
      <c r="W53" s="59"/>
      <c r="X53" s="57">
        <f t="shared" ca="1" si="371"/>
        <v>0</v>
      </c>
      <c r="Y53" s="32"/>
      <c r="AC53" s="12" t="b">
        <f t="shared" si="4"/>
        <v>1</v>
      </c>
      <c r="AD53" s="12" t="str">
        <f>IF(AND(D53="-",C53&lt;&gt;"-"),E53,"-")</f>
        <v>-</v>
      </c>
      <c r="AE53" s="12" t="str">
        <f>IF(D53="-",C53,"-")</f>
        <v>-</v>
      </c>
      <c r="AF53" s="12" t="str">
        <f ca="1">IF(AND(D53&lt;&gt;"-",ISTEXT(D53)),E53,"-")</f>
        <v>0x1010</v>
      </c>
      <c r="AG53" s="12" t="str">
        <f>IF(AND(D53&lt;&gt;"-",ISTEXT(D53)),D53,"-")</f>
        <v>I2C_ADDRESS</v>
      </c>
      <c r="AH53" s="12">
        <f>IF(D53&lt;&gt;"-",F53,"-")</f>
        <v>7</v>
      </c>
      <c r="AI53" s="12">
        <f>IF(D53&lt;&gt;"-",G53+F53-1,"-")</f>
        <v>10</v>
      </c>
      <c r="AJ53" s="12">
        <f>IF(D53&lt;&gt;"-",G53,"-")</f>
        <v>4</v>
      </c>
      <c r="AK53" s="12">
        <f t="shared" si="379"/>
        <v>2032</v>
      </c>
      <c r="AL53" s="12" t="str">
        <f>IF(D53="-",B53,"-")</f>
        <v>-</v>
      </c>
      <c r="AM53" s="22">
        <f t="shared" si="14"/>
        <v>0</v>
      </c>
      <c r="AN53" s="12">
        <f t="shared" si="381"/>
        <v>0</v>
      </c>
      <c r="AO53" s="22" t="str">
        <f ca="1">IF(AF53="-",VLOOKUP(AD53,MemoryView!$A$3:$F$108,6,0),MID(VLOOKUP(AF53,MemoryView!$BD$3:$BE$108,2,0),15-AI53+1,AH53))</f>
        <v>0000000</v>
      </c>
      <c r="AP53" s="22">
        <f t="shared" ca="1" si="382"/>
        <v>0</v>
      </c>
      <c r="AQ53" s="53" t="str">
        <f t="shared" si="383"/>
        <v>`EE_MNG.I2C_ADDRESS.SET(0);        // [0..127]</v>
      </c>
      <c r="AR53" s="54" t="str">
        <f t="shared" ca="1" si="384"/>
        <v>EE_MEM #(`PARAM(16'h1010, 4, 7, 0)) I2C_ADDRESS(); bit unsigned [7-1:0] I2C_ADDRESS_V; assign I2C_ADDRESS_V = I2C_ADDRESS.GET;</v>
      </c>
      <c r="AS53" s="12" t="str">
        <f t="shared" ca="1" si="385"/>
        <v>EE_I2C_SPI_CONF</v>
      </c>
    </row>
    <row r="54" spans="2:45" ht="38.25">
      <c r="B54" s="55" t="str">
        <f t="shared" ca="1" si="20"/>
        <v>CUST</v>
      </c>
      <c r="C54" s="55" t="s">
        <v>58</v>
      </c>
      <c r="D54" s="56" t="s">
        <v>443</v>
      </c>
      <c r="E54" s="57" t="str">
        <f t="shared" ca="1" si="390"/>
        <v>0x1010</v>
      </c>
      <c r="F54" s="57">
        <v>1</v>
      </c>
      <c r="G54" s="57">
        <v>3</v>
      </c>
      <c r="H54" s="57">
        <v>0</v>
      </c>
      <c r="I54" s="57" t="s">
        <v>68</v>
      </c>
      <c r="J54" s="50" t="str">
        <f t="shared" ref="J54:J55" si="391">IF(D54&lt;&gt;"-","["&amp;AI54&amp;":"&amp;AJ54&amp;"]","-")</f>
        <v>[3:3]</v>
      </c>
      <c r="K54" s="50">
        <f t="shared" si="369"/>
        <v>0</v>
      </c>
      <c r="L54" s="50">
        <f t="shared" si="370"/>
        <v>1</v>
      </c>
      <c r="M54" s="61" t="s">
        <v>446</v>
      </c>
      <c r="N54" s="28"/>
      <c r="O54" s="57">
        <v>0</v>
      </c>
      <c r="P54" s="57">
        <f t="shared" si="387"/>
        <v>0</v>
      </c>
      <c r="Q54" s="57">
        <f t="shared" si="388"/>
        <v>0</v>
      </c>
      <c r="R54" s="57">
        <f t="shared" si="389"/>
        <v>0</v>
      </c>
      <c r="S54" s="163">
        <f t="shared" si="389"/>
        <v>0</v>
      </c>
      <c r="T54" s="163">
        <v>0</v>
      </c>
      <c r="U54" s="163">
        <f>S54</f>
        <v>0</v>
      </c>
      <c r="V54" s="163">
        <f t="shared" si="327"/>
        <v>0</v>
      </c>
      <c r="W54" s="59"/>
      <c r="X54" s="57">
        <f t="shared" ca="1" si="371"/>
        <v>0</v>
      </c>
      <c r="Y54" s="32"/>
      <c r="AC54" s="12" t="b">
        <f t="shared" si="4"/>
        <v>1</v>
      </c>
      <c r="AD54" s="12" t="str">
        <f t="shared" ref="AD54:AD55" si="392">IF(AND(D54="-",C54&lt;&gt;"-"),E54,"-")</f>
        <v>-</v>
      </c>
      <c r="AE54" s="12" t="str">
        <f t="shared" ref="AE54:AE55" si="393">IF(D54="-",C54,"-")</f>
        <v>-</v>
      </c>
      <c r="AF54" s="12" t="str">
        <f t="shared" ref="AF54:AF55" ca="1" si="394">IF(AND(D54&lt;&gt;"-",ISTEXT(D54)),E54,"-")</f>
        <v>0x1010</v>
      </c>
      <c r="AG54" s="12" t="str">
        <f t="shared" ref="AG54:AG55" si="395">IF(AND(D54&lt;&gt;"-",ISTEXT(D54)),D54,"-")</f>
        <v>SPI_CPOL</v>
      </c>
      <c r="AH54" s="12">
        <f t="shared" ref="AH54:AH55" si="396">IF(D54&lt;&gt;"-",F54,"-")</f>
        <v>1</v>
      </c>
      <c r="AI54" s="12">
        <f t="shared" ref="AI54:AI55" si="397">IF(D54&lt;&gt;"-",G54+F54-1,"-")</f>
        <v>3</v>
      </c>
      <c r="AJ54" s="12">
        <f t="shared" ref="AJ54:AJ55" si="398">IF(D54&lt;&gt;"-",G54,"-")</f>
        <v>3</v>
      </c>
      <c r="AK54" s="12">
        <f t="shared" si="379"/>
        <v>8</v>
      </c>
      <c r="AL54" s="12" t="str">
        <f t="shared" ref="AL54:AL55" si="399">IF(D54="-",B54,"-")</f>
        <v>-</v>
      </c>
      <c r="AM54" s="22">
        <f t="shared" si="14"/>
        <v>0</v>
      </c>
      <c r="AN54" s="12">
        <f t="shared" si="381"/>
        <v>0</v>
      </c>
      <c r="AO54" s="22" t="str">
        <f ca="1">IF(AF54="-",VLOOKUP(AD54,MemoryView!$A$3:$F$108,6,0),MID(VLOOKUP(AF54,MemoryView!$BD$3:$BE$108,2,0),15-AI54+1,AH54))</f>
        <v>0</v>
      </c>
      <c r="AP54" s="22">
        <f t="shared" ca="1" si="382"/>
        <v>0</v>
      </c>
      <c r="AQ54" s="53" t="str">
        <f t="shared" si="383"/>
        <v>`EE_MNG.SPI_CPOL.SET(0);        // [0..1]</v>
      </c>
      <c r="AR54" s="54" t="str">
        <f t="shared" ca="1" si="384"/>
        <v>EE_MEM #(`PARAM(16'h1010, 3, 1, 0)) SPI_CPOL(); bit unsigned [1-1:0] SPI_CPOL_V; assign SPI_CPOL_V = SPI_CPOL.GET;</v>
      </c>
      <c r="AS54" s="12" t="str">
        <f t="shared" ca="1" si="385"/>
        <v>EE_I2C_SPI_CONF</v>
      </c>
    </row>
    <row r="55" spans="2:45" ht="38.25">
      <c r="B55" s="55" t="str">
        <f t="shared" ca="1" si="20"/>
        <v>CUST</v>
      </c>
      <c r="C55" s="55" t="s">
        <v>58</v>
      </c>
      <c r="D55" s="56" t="s">
        <v>444</v>
      </c>
      <c r="E55" s="57" t="str">
        <f t="shared" ca="1" si="390"/>
        <v>0x1010</v>
      </c>
      <c r="F55" s="57">
        <v>1</v>
      </c>
      <c r="G55" s="57">
        <v>2</v>
      </c>
      <c r="H55" s="57">
        <v>0</v>
      </c>
      <c r="I55" s="57" t="s">
        <v>68</v>
      </c>
      <c r="J55" s="50" t="str">
        <f t="shared" si="391"/>
        <v>[2:2]</v>
      </c>
      <c r="K55" s="50">
        <f t="shared" si="369"/>
        <v>0</v>
      </c>
      <c r="L55" s="50">
        <f t="shared" si="370"/>
        <v>1</v>
      </c>
      <c r="M55" s="61" t="s">
        <v>445</v>
      </c>
      <c r="N55" s="28"/>
      <c r="O55" s="57">
        <v>0</v>
      </c>
      <c r="P55" s="57">
        <f t="shared" si="387"/>
        <v>0</v>
      </c>
      <c r="Q55" s="57">
        <f t="shared" si="388"/>
        <v>0</v>
      </c>
      <c r="R55" s="57">
        <f t="shared" si="389"/>
        <v>0</v>
      </c>
      <c r="S55" s="163">
        <f t="shared" si="389"/>
        <v>0</v>
      </c>
      <c r="T55" s="163">
        <v>0</v>
      </c>
      <c r="U55" s="163">
        <f>S55</f>
        <v>0</v>
      </c>
      <c r="V55" s="163">
        <f t="shared" si="327"/>
        <v>0</v>
      </c>
      <c r="W55" s="59"/>
      <c r="X55" s="57">
        <f t="shared" ca="1" si="371"/>
        <v>0</v>
      </c>
      <c r="Y55" s="32"/>
      <c r="AC55" s="12" t="b">
        <f t="shared" si="4"/>
        <v>1</v>
      </c>
      <c r="AD55" s="12" t="str">
        <f t="shared" si="392"/>
        <v>-</v>
      </c>
      <c r="AE55" s="12" t="str">
        <f t="shared" si="393"/>
        <v>-</v>
      </c>
      <c r="AF55" s="12" t="str">
        <f t="shared" ca="1" si="394"/>
        <v>0x1010</v>
      </c>
      <c r="AG55" s="12" t="str">
        <f t="shared" si="395"/>
        <v>SPI_CPHA</v>
      </c>
      <c r="AH55" s="12">
        <f t="shared" si="396"/>
        <v>1</v>
      </c>
      <c r="AI55" s="12">
        <f t="shared" si="397"/>
        <v>2</v>
      </c>
      <c r="AJ55" s="12">
        <f t="shared" si="398"/>
        <v>2</v>
      </c>
      <c r="AK55" s="12">
        <f t="shared" si="379"/>
        <v>4</v>
      </c>
      <c r="AL55" s="12" t="str">
        <f t="shared" si="399"/>
        <v>-</v>
      </c>
      <c r="AM55" s="22">
        <f t="shared" si="14"/>
        <v>0</v>
      </c>
      <c r="AN55" s="12">
        <f t="shared" si="381"/>
        <v>0</v>
      </c>
      <c r="AO55" s="22" t="str">
        <f ca="1">IF(AF55="-",VLOOKUP(AD55,MemoryView!$A$3:$F$108,6,0),MID(VLOOKUP(AF55,MemoryView!$BD$3:$BE$108,2,0),15-AI55+1,AH55))</f>
        <v>0</v>
      </c>
      <c r="AP55" s="22">
        <f t="shared" ca="1" si="382"/>
        <v>0</v>
      </c>
      <c r="AQ55" s="53" t="str">
        <f t="shared" si="383"/>
        <v>`EE_MNG.SPI_CPHA.SET(0);        // [0..1]</v>
      </c>
      <c r="AR55" s="54" t="str">
        <f t="shared" ca="1" si="384"/>
        <v>EE_MEM #(`PARAM(16'h1010, 2, 1, 0)) SPI_CPHA(); bit unsigned [1-1:0] SPI_CPHA_V; assign SPI_CPHA_V = SPI_CPHA.GET;</v>
      </c>
      <c r="AS55" s="12" t="str">
        <f t="shared" ca="1" si="385"/>
        <v>EE_I2C_SPI_CONF</v>
      </c>
    </row>
    <row r="56" spans="2:45" ht="63.75">
      <c r="B56" s="55" t="str">
        <f t="shared" ca="1" si="20"/>
        <v>CUST</v>
      </c>
      <c r="C56" s="55" t="s">
        <v>58</v>
      </c>
      <c r="D56" s="56" t="s">
        <v>449</v>
      </c>
      <c r="E56" s="57" t="str">
        <f t="shared" ca="1" si="390"/>
        <v>0x1010</v>
      </c>
      <c r="F56" s="57">
        <v>2</v>
      </c>
      <c r="G56" s="57">
        <v>0</v>
      </c>
      <c r="H56" s="57">
        <v>0</v>
      </c>
      <c r="I56" s="57" t="s">
        <v>68</v>
      </c>
      <c r="J56" s="50" t="str">
        <f>IF(D56&lt;&gt;"-","["&amp;AI56&amp;":"&amp;AJ56&amp;"]","-")</f>
        <v>[1:0]</v>
      </c>
      <c r="K56" s="50">
        <f t="shared" si="369"/>
        <v>0</v>
      </c>
      <c r="L56" s="50">
        <f t="shared" si="370"/>
        <v>3</v>
      </c>
      <c r="M56" s="61" t="s">
        <v>450</v>
      </c>
      <c r="N56" s="28"/>
      <c r="O56" s="57">
        <v>0</v>
      </c>
      <c r="P56" s="57">
        <f t="shared" si="387"/>
        <v>0</v>
      </c>
      <c r="Q56" s="57">
        <f t="shared" si="388"/>
        <v>0</v>
      </c>
      <c r="R56" s="57">
        <f t="shared" si="389"/>
        <v>0</v>
      </c>
      <c r="S56" s="163">
        <f t="shared" si="389"/>
        <v>0</v>
      </c>
      <c r="T56" s="163">
        <v>0</v>
      </c>
      <c r="U56" s="163">
        <f>S56</f>
        <v>0</v>
      </c>
      <c r="V56" s="163">
        <f t="shared" si="327"/>
        <v>0</v>
      </c>
      <c r="W56" s="59"/>
      <c r="X56" s="57">
        <f t="shared" ca="1" si="371"/>
        <v>0</v>
      </c>
      <c r="Y56" s="32"/>
      <c r="AC56" s="12" t="b">
        <f t="shared" si="4"/>
        <v>1</v>
      </c>
      <c r="AD56" s="12" t="str">
        <f>IF(AND(D56="-",C56&lt;&gt;"-"),E56,"-")</f>
        <v>-</v>
      </c>
      <c r="AE56" s="12" t="str">
        <f>IF(D56="-",C56,"-")</f>
        <v>-</v>
      </c>
      <c r="AF56" s="12" t="str">
        <f ca="1">IF(AND(D56&lt;&gt;"-",ISTEXT(D56)),E56,"-")</f>
        <v>0x1010</v>
      </c>
      <c r="AG56" s="12" t="str">
        <f>IF(AND(D56&lt;&gt;"-",ISTEXT(D56)),D56,"-")</f>
        <v>ENABLE</v>
      </c>
      <c r="AH56" s="12">
        <f>IF(D56&lt;&gt;"-",F56,"-")</f>
        <v>2</v>
      </c>
      <c r="AI56" s="12">
        <f>IF(D56&lt;&gt;"-",G56+F56-1,"-")</f>
        <v>1</v>
      </c>
      <c r="AJ56" s="12">
        <f>IF(D56&lt;&gt;"-",G56,"-")</f>
        <v>0</v>
      </c>
      <c r="AK56" s="12">
        <f t="shared" si="379"/>
        <v>3</v>
      </c>
      <c r="AL56" s="12" t="str">
        <f>IF(D56="-",B56,"-")</f>
        <v>-</v>
      </c>
      <c r="AM56" s="22">
        <f t="shared" si="14"/>
        <v>0</v>
      </c>
      <c r="AN56" s="12">
        <f t="shared" si="381"/>
        <v>0</v>
      </c>
      <c r="AO56" s="22" t="str">
        <f ca="1">IF(AF56="-",VLOOKUP(AD56,MemoryView!$A$3:$F$108,6,0),MID(VLOOKUP(AF56,MemoryView!$BD$3:$BE$108,2,0),15-AI56+1,AH56))</f>
        <v>00</v>
      </c>
      <c r="AP56" s="22">
        <f t="shared" ca="1" si="382"/>
        <v>0</v>
      </c>
      <c r="AQ56" s="53" t="str">
        <f t="shared" si="383"/>
        <v>`EE_MNG.ENABLE.SET(0);        // [0..3]</v>
      </c>
      <c r="AR56" s="54" t="str">
        <f t="shared" ca="1" si="384"/>
        <v>EE_MEM #(`PARAM(16'h1010, 0, 2, 0)) ENABLE(); bit unsigned [2-1:0] ENABLE_V; assign ENABLE_V = ENABLE.GET;</v>
      </c>
      <c r="AS56" s="12" t="str">
        <f t="shared" ca="1" si="385"/>
        <v>EE_I2C_SPI_CONF</v>
      </c>
    </row>
    <row r="57" spans="2:45">
      <c r="B57" s="47" t="str">
        <f t="shared" ca="1" si="20"/>
        <v>CUST</v>
      </c>
      <c r="C57" s="47" t="s">
        <v>643</v>
      </c>
      <c r="D57" s="48" t="s">
        <v>58</v>
      </c>
      <c r="E57" s="60" t="str">
        <f ca="1">"0x"&amp;DEC2HEX(HEX2DEC(RIGHT(INDIRECT(ADDRESS(ROW()-1,COLUMN())),4))+2,4)</f>
        <v>0x1012</v>
      </c>
      <c r="F57" s="49">
        <v>16</v>
      </c>
      <c r="G57" s="49">
        <v>0</v>
      </c>
      <c r="H57" s="49">
        <v>0</v>
      </c>
      <c r="I57" s="49" t="s">
        <v>58</v>
      </c>
      <c r="J57" s="50" t="str">
        <f t="shared" si="0"/>
        <v>-</v>
      </c>
      <c r="K57" s="50">
        <f t="shared" si="1"/>
        <v>0</v>
      </c>
      <c r="L57" s="50">
        <f t="shared" si="2"/>
        <v>65535</v>
      </c>
      <c r="M57" s="51" t="s">
        <v>75</v>
      </c>
      <c r="N57" s="28"/>
      <c r="O57" s="52"/>
      <c r="P57" s="52"/>
      <c r="Q57" s="52"/>
      <c r="R57" s="52"/>
      <c r="S57" s="140"/>
      <c r="T57" s="165"/>
      <c r="U57" s="165"/>
      <c r="V57" s="165"/>
      <c r="W57" s="28"/>
      <c r="X57" s="52">
        <f t="shared" ca="1" si="3"/>
        <v>834</v>
      </c>
      <c r="Y57" s="32"/>
      <c r="AC57" s="12">
        <f t="shared" si="4"/>
        <v>1</v>
      </c>
      <c r="AD57" s="12" t="str">
        <f t="shared" ca="1" si="5"/>
        <v>0x1012</v>
      </c>
      <c r="AE57" s="12" t="str">
        <f t="shared" si="6"/>
        <v>EE_TRIM4_PADC_RANGE1</v>
      </c>
      <c r="AF57" s="12" t="str">
        <f t="shared" si="7"/>
        <v>-</v>
      </c>
      <c r="AG57" s="12" t="str">
        <f t="shared" si="8"/>
        <v>-</v>
      </c>
      <c r="AH57" s="12" t="str">
        <f t="shared" si="9"/>
        <v>-</v>
      </c>
      <c r="AI57" s="12" t="str">
        <f t="shared" si="10"/>
        <v>-</v>
      </c>
      <c r="AJ57" s="12" t="str">
        <f t="shared" si="11"/>
        <v>-</v>
      </c>
      <c r="AK57" s="12" t="str">
        <f t="shared" ca="1" si="12"/>
        <v>0x1012</v>
      </c>
      <c r="AL57" s="12" t="str">
        <f t="shared" ca="1" si="13"/>
        <v>CUST</v>
      </c>
      <c r="AM57" s="22">
        <f t="shared" si="14"/>
        <v>0</v>
      </c>
      <c r="AN57" s="12" t="str">
        <f t="shared" ca="1" si="15"/>
        <v>0x1012</v>
      </c>
      <c r="AO57" s="22" t="str">
        <f ca="1">IF(AF57="-",VLOOKUP(AD57,MemoryView!$A$3:$F$108,6,0),MID(VLOOKUP(AF57,MemoryView!$BD$3:$BE$108,2,0),15-AI57+1,AH57))</f>
        <v>0342</v>
      </c>
      <c r="AP57" s="22">
        <f t="shared" ca="1" si="16"/>
        <v>834</v>
      </c>
      <c r="AQ57" s="53" t="str">
        <f t="shared" si="17"/>
        <v>-</v>
      </c>
      <c r="AR57" s="54" t="str">
        <f t="shared" ca="1" si="18"/>
        <v>EE_MEM #(`PARAM(16'h1012, 0, 16, 0)) EE_TRIM4_PADC_RANGE1(); bit unsigned [16-1:0] EE_TRIM4_PADC_RANGE1_V; assign EE_TRIM4_PADC_RANGE1_V = EE_TRIM4_PADC_RANGE1.GET;</v>
      </c>
      <c r="AS57" s="12" t="str">
        <f t="shared" ca="1" si="19"/>
        <v>EE_TRIM4_PADC_RANGE1</v>
      </c>
    </row>
    <row r="58" spans="2:45" ht="51">
      <c r="B58" s="55" t="str">
        <f t="shared" ca="1" si="20"/>
        <v>CUST</v>
      </c>
      <c r="C58" s="55" t="s">
        <v>58</v>
      </c>
      <c r="D58" s="56" t="s">
        <v>540</v>
      </c>
      <c r="E58" s="57" t="str">
        <f t="shared" ca="1" si="328"/>
        <v>0x1012</v>
      </c>
      <c r="F58" s="57">
        <v>3</v>
      </c>
      <c r="G58" s="57">
        <v>13</v>
      </c>
      <c r="H58" s="57">
        <v>0</v>
      </c>
      <c r="I58" s="57" t="s">
        <v>76</v>
      </c>
      <c r="J58" s="50" t="str">
        <f>IF(D58&lt;&gt;"-","["&amp;AI58&amp;":"&amp;AJ58&amp;"]","-")</f>
        <v>[15:13]</v>
      </c>
      <c r="K58" s="50">
        <f t="shared" ref="K58" si="400">IF(H58,-L58-1,0)</f>
        <v>0</v>
      </c>
      <c r="L58" s="50">
        <f t="shared" ref="L58" si="401">IF(H58,FLOOR((2^F58-1)/2,1),2^F58-1)</f>
        <v>7</v>
      </c>
      <c r="M58" s="58" t="s">
        <v>757</v>
      </c>
      <c r="N58" s="28"/>
      <c r="O58" s="57">
        <v>0</v>
      </c>
      <c r="P58" s="57">
        <f t="shared" ref="P58:P63" si="402">O58</f>
        <v>0</v>
      </c>
      <c r="Q58" s="57">
        <f t="shared" ref="Q58:Q63" si="403">O58</f>
        <v>0</v>
      </c>
      <c r="R58" s="57">
        <f t="shared" ref="R58:S63" si="404">O58</f>
        <v>0</v>
      </c>
      <c r="S58" s="163">
        <f t="shared" si="404"/>
        <v>0</v>
      </c>
      <c r="T58" s="163">
        <v>0</v>
      </c>
      <c r="U58" s="163">
        <f t="shared" ref="U58:U63" si="405">S58</f>
        <v>0</v>
      </c>
      <c r="V58" s="163">
        <f t="shared" si="327"/>
        <v>0</v>
      </c>
      <c r="W58" s="59"/>
      <c r="X58" s="57">
        <f t="shared" ref="X58" ca="1" si="406">IF(H58=0,AP58,    IF(AP58&lt;=2^(F58-1)-1,AP58,AP58-2^F58)  )</f>
        <v>0</v>
      </c>
      <c r="Y58" s="32"/>
      <c r="AC58" s="12" t="b">
        <f t="shared" si="4"/>
        <v>1</v>
      </c>
      <c r="AD58" s="12" t="str">
        <f t="shared" ref="AD58" si="407">IF(AND(D58="-",C58&lt;&gt;"-"),E58,"-")</f>
        <v>-</v>
      </c>
      <c r="AE58" s="12" t="str">
        <f t="shared" ref="AE58" si="408">IF(D58="-",C58,"-")</f>
        <v>-</v>
      </c>
      <c r="AF58" s="12" t="str">
        <f t="shared" ref="AF58" ca="1" si="409">IF(AND(D58&lt;&gt;"-",ISTEXT(D58)),E58,"-")</f>
        <v>0x1012</v>
      </c>
      <c r="AG58" s="12" t="str">
        <f t="shared" ref="AG58" si="410">IF(AND(D58&lt;&gt;"-",ISTEXT(D58)),D58,"-")</f>
        <v>INTER_TRIM_PUSHPULL</v>
      </c>
      <c r="AH58" s="12">
        <f t="shared" ref="AH58" si="411">IF(D58&lt;&gt;"-",F58,"-")</f>
        <v>3</v>
      </c>
      <c r="AI58" s="12">
        <f t="shared" ref="AI58" si="412">IF(D58&lt;&gt;"-",G58+F58-1,"-")</f>
        <v>15</v>
      </c>
      <c r="AJ58" s="12">
        <f t="shared" ref="AJ58" si="413">IF(D58&lt;&gt;"-",G58,"-")</f>
        <v>13</v>
      </c>
      <c r="AK58" s="12">
        <f t="shared" ref="AK58" si="414">IF(OR(AH58="-",AJ58="-"),AD58,(2^AH58-1)*2^AJ58)</f>
        <v>57344</v>
      </c>
      <c r="AL58" s="12" t="str">
        <f t="shared" ref="AL58" si="415">IF(D58="-",B58,"-")</f>
        <v>-</v>
      </c>
      <c r="AM58" s="22">
        <f t="shared" si="14"/>
        <v>0</v>
      </c>
      <c r="AN58" s="12">
        <f t="shared" ref="AN58" si="416">IF(OR(AH58="-",AJ58="-"),AD58,IF(AM58&lt;0,AM58+2^AH58,AM58)*2^AJ58)</f>
        <v>0</v>
      </c>
      <c r="AO58" s="22" t="str">
        <f ca="1">IF(AF58="-",VLOOKUP(AD58,MemoryView!$A$3:$F$108,6,0),MID(VLOOKUP(AF58,MemoryView!$BD$3:$BE$108,2,0),15-AI58+1,AH58))</f>
        <v>000</v>
      </c>
      <c r="AP58" s="22">
        <f t="shared" ref="AP58" ca="1" si="417">IF(AF58="-",HEX2DEC(AO58),IF(LEN(AO58)&gt;8,BIN2DEC(LEFT(AO58,LEN(AO58)-8))*2^8+BIN2DEC(RIGHT(AO58,8)),BIN2DEC(AO58)))</f>
        <v>0</v>
      </c>
      <c r="AQ58" s="53" t="str">
        <f t="shared" ref="AQ58" si="418">IF(AG58&lt;&gt;"-",CONCATENATE("`EE_MNG.",AG58,".SET(",AM58,");        // [",K58,"..",L58,"]"),"-")</f>
        <v>`EE_MNG.INTER_TRIM_PUSHPULL.SET(0);        // [0..7]</v>
      </c>
      <c r="AR58" s="54" t="str">
        <f t="shared" ref="AR58" ca="1" si="419">IF(AND(AD58="-",AE58="-",AF58="-",AG58="-"),"-",IF(AG58&lt;&gt;"-",CONCATENATE("EE_MEM #(`PARAM(16'h",RIGHT(AF58,4),", ",G58,", ",F58,", ",H58,")) ",AG58,"(); bit ",IF(H58=0,"unsigned [","signed ["),F58,"-1:0] ", AG58,"_V; assign ",AG58,"_V = ",AG58,".GET;"), CONCATENATE("EE_MEM #(`PARAM(16'h",RIGHT(AD58,4),", ",G58,", ",F58,", ",H58,")) ",AE58,"(); bit ",IF(H58=0,"unsigned [","signed ["),F58,"-1:0] ", AE58,"_V; assign ",AE58,"_V = ",AE58,".GET;")))</f>
        <v>EE_MEM #(`PARAM(16'h1012, 13, 3, 0)) INTER_TRIM_PUSHPULL(); bit unsigned [3-1:0] INTER_TRIM_PUSHPULL_V; assign INTER_TRIM_PUSHPULL_V = INTER_TRIM_PUSHPULL.GET;</v>
      </c>
      <c r="AS58" s="12" t="str">
        <f t="shared" ref="AS58" ca="1" si="420">IF(AG58="-",AE58,INDIRECT(ADDRESS(ROW()-1,COLUMN())))</f>
        <v>EE_TRIM4_PADC_RANGE1</v>
      </c>
    </row>
    <row r="59" spans="2:45" ht="38.25">
      <c r="B59" s="55" t="str">
        <f t="shared" ca="1" si="20"/>
        <v>CUST</v>
      </c>
      <c r="C59" s="55" t="s">
        <v>58</v>
      </c>
      <c r="D59" s="56" t="s">
        <v>542</v>
      </c>
      <c r="E59" s="57" t="str">
        <f t="shared" ca="1" si="328"/>
        <v>0x1012</v>
      </c>
      <c r="F59" s="57">
        <v>3</v>
      </c>
      <c r="G59" s="57">
        <v>10</v>
      </c>
      <c r="H59" s="57">
        <v>0</v>
      </c>
      <c r="I59" s="57" t="s">
        <v>76</v>
      </c>
      <c r="J59" s="50" t="str">
        <f t="shared" ref="J59" si="421">IF(D59&lt;&gt;"-","["&amp;AI59&amp;":"&amp;AJ59&amp;"]","-")</f>
        <v>[12:10]</v>
      </c>
      <c r="K59" s="50">
        <f t="shared" ref="K59" si="422">IF(H59,-L59-1,0)</f>
        <v>0</v>
      </c>
      <c r="L59" s="50">
        <f t="shared" ref="L59" si="423">IF(H59,FLOOR((2^F59-1)/2,1),2^F59-1)</f>
        <v>7</v>
      </c>
      <c r="M59" s="58" t="s">
        <v>758</v>
      </c>
      <c r="N59" s="28"/>
      <c r="O59" s="57">
        <v>0</v>
      </c>
      <c r="P59" s="57">
        <f t="shared" si="402"/>
        <v>0</v>
      </c>
      <c r="Q59" s="57">
        <f t="shared" si="403"/>
        <v>0</v>
      </c>
      <c r="R59" s="57">
        <f t="shared" si="404"/>
        <v>0</v>
      </c>
      <c r="S59" s="163">
        <f t="shared" si="404"/>
        <v>0</v>
      </c>
      <c r="T59" s="163">
        <v>0</v>
      </c>
      <c r="U59" s="163">
        <f t="shared" si="405"/>
        <v>0</v>
      </c>
      <c r="V59" s="163">
        <f t="shared" si="327"/>
        <v>0</v>
      </c>
      <c r="W59" s="59"/>
      <c r="X59" s="57">
        <f t="shared" ref="X59" ca="1" si="424">IF(H59=0,AP59,    IF(AP59&lt;=2^(F59-1)-1,AP59,AP59-2^F59)  )</f>
        <v>0</v>
      </c>
      <c r="Y59" s="32"/>
      <c r="AC59" s="12" t="b">
        <f t="shared" si="4"/>
        <v>1</v>
      </c>
      <c r="AD59" s="12" t="str">
        <f t="shared" ref="AD59" si="425">IF(AND(D59="-",C59&lt;&gt;"-"),E59,"-")</f>
        <v>-</v>
      </c>
      <c r="AE59" s="12" t="str">
        <f t="shared" ref="AE59" si="426">IF(D59="-",C59,"-")</f>
        <v>-</v>
      </c>
      <c r="AF59" s="12" t="str">
        <f t="shared" ref="AF59" ca="1" si="427">IF(AND(D59&lt;&gt;"-",ISTEXT(D59)),E59,"-")</f>
        <v>0x1012</v>
      </c>
      <c r="AG59" s="12" t="str">
        <f t="shared" ref="AG59" si="428">IF(AND(D59&lt;&gt;"-",ISTEXT(D59)),D59,"-")</f>
        <v>INTER_TRIM_SLOPE_OD</v>
      </c>
      <c r="AH59" s="12">
        <f t="shared" ref="AH59" si="429">IF(D59&lt;&gt;"-",F59,"-")</f>
        <v>3</v>
      </c>
      <c r="AI59" s="12">
        <f t="shared" ref="AI59" si="430">IF(D59&lt;&gt;"-",G59+F59-1,"-")</f>
        <v>12</v>
      </c>
      <c r="AJ59" s="12">
        <f t="shared" ref="AJ59" si="431">IF(D59&lt;&gt;"-",G59,"-")</f>
        <v>10</v>
      </c>
      <c r="AK59" s="12">
        <f t="shared" ref="AK59" si="432">IF(OR(AH59="-",AJ59="-"),AD59,(2^AH59-1)*2^AJ59)</f>
        <v>7168</v>
      </c>
      <c r="AL59" s="12" t="str">
        <f t="shared" ref="AL59" si="433">IF(D59="-",B59,"-")</f>
        <v>-</v>
      </c>
      <c r="AM59" s="22">
        <f t="shared" si="14"/>
        <v>0</v>
      </c>
      <c r="AN59" s="12">
        <f t="shared" ref="AN59" si="434">IF(OR(AH59="-",AJ59="-"),AD59,IF(AM59&lt;0,AM59+2^AH59,AM59)*2^AJ59)</f>
        <v>0</v>
      </c>
      <c r="AO59" s="22" t="str">
        <f ca="1">IF(AF59="-",VLOOKUP(AD59,MemoryView!$A$3:$F$108,6,0),MID(VLOOKUP(AF59,MemoryView!$BD$3:$BE$108,2,0),15-AI59+1,AH59))</f>
        <v>000</v>
      </c>
      <c r="AP59" s="22">
        <f t="shared" ref="AP59" ca="1" si="435">IF(AF59="-",HEX2DEC(AO59),IF(LEN(AO59)&gt;8,BIN2DEC(LEFT(AO59,LEN(AO59)-8))*2^8+BIN2DEC(RIGHT(AO59,8)),BIN2DEC(AO59)))</f>
        <v>0</v>
      </c>
      <c r="AQ59" s="53" t="str">
        <f t="shared" ref="AQ59" si="436">IF(AG59&lt;&gt;"-",CONCATENATE("`EE_MNG.",AG59,".SET(",AM59,");        // [",K59,"..",L59,"]"),"-")</f>
        <v>`EE_MNG.INTER_TRIM_SLOPE_OD.SET(0);        // [0..7]</v>
      </c>
      <c r="AR59" s="54" t="str">
        <f t="shared" ref="AR59" ca="1" si="437">IF(AND(AD59="-",AE59="-",AF59="-",AG59="-"),"-",IF(AG59&lt;&gt;"-",CONCATENATE("EE_MEM #(`PARAM(16'h",RIGHT(AF59,4),", ",G59,", ",F59,", ",H59,")) ",AG59,"(); bit ",IF(H59=0,"unsigned [","signed ["),F59,"-1:0] ", AG59,"_V; assign ",AG59,"_V = ",AG59,".GET;"), CONCATENATE("EE_MEM #(`PARAM(16'h",RIGHT(AD59,4),", ",G59,", ",F59,", ",H59,")) ",AE59,"(); bit ",IF(H59=0,"unsigned [","signed ["),F59,"-1:0] ", AE59,"_V; assign ",AE59,"_V = ",AE59,".GET;")))</f>
        <v>EE_MEM #(`PARAM(16'h1012, 10, 3, 0)) INTER_TRIM_SLOPE_OD(); bit unsigned [3-1:0] INTER_TRIM_SLOPE_OD_V; assign INTER_TRIM_SLOPE_OD_V = INTER_TRIM_SLOPE_OD.GET;</v>
      </c>
      <c r="AS59" s="12" t="str">
        <f t="shared" ref="AS59" ca="1" si="438">IF(AG59="-",AE59,INDIRECT(ADDRESS(ROW()-1,COLUMN())))</f>
        <v>EE_TRIM4_PADC_RANGE1</v>
      </c>
    </row>
    <row r="60" spans="2:45" ht="242.25">
      <c r="B60" s="55" t="str">
        <f t="shared" ca="1" si="20"/>
        <v>CUST</v>
      </c>
      <c r="C60" s="55" t="s">
        <v>58</v>
      </c>
      <c r="D60" s="56" t="s">
        <v>640</v>
      </c>
      <c r="E60" s="57" t="str">
        <f t="shared" ca="1" si="328"/>
        <v>0x1012</v>
      </c>
      <c r="F60" s="57">
        <v>3</v>
      </c>
      <c r="G60" s="57">
        <v>7</v>
      </c>
      <c r="H60" s="57">
        <v>0</v>
      </c>
      <c r="I60" s="57" t="s">
        <v>76</v>
      </c>
      <c r="J60" s="50" t="str">
        <f t="shared" si="0"/>
        <v>[9:7]</v>
      </c>
      <c r="K60" s="50">
        <f t="shared" si="1"/>
        <v>0</v>
      </c>
      <c r="L60" s="50">
        <f t="shared" si="2"/>
        <v>7</v>
      </c>
      <c r="M60" s="58" t="s">
        <v>644</v>
      </c>
      <c r="N60" s="28"/>
      <c r="O60" s="57">
        <v>6</v>
      </c>
      <c r="P60" s="57">
        <f t="shared" si="402"/>
        <v>6</v>
      </c>
      <c r="Q60" s="57">
        <f t="shared" si="403"/>
        <v>6</v>
      </c>
      <c r="R60" s="57">
        <f t="shared" si="404"/>
        <v>6</v>
      </c>
      <c r="S60" s="163">
        <f t="shared" si="404"/>
        <v>6</v>
      </c>
      <c r="T60" s="163">
        <v>6</v>
      </c>
      <c r="U60" s="163">
        <f t="shared" si="405"/>
        <v>6</v>
      </c>
      <c r="V60" s="163">
        <f t="shared" si="327"/>
        <v>6</v>
      </c>
      <c r="W60" s="59"/>
      <c r="X60" s="57">
        <f t="shared" ca="1" si="3"/>
        <v>6</v>
      </c>
      <c r="Y60" s="32"/>
      <c r="AC60" s="12" t="b">
        <f t="shared" si="4"/>
        <v>1</v>
      </c>
      <c r="AD60" s="12" t="str">
        <f t="shared" si="5"/>
        <v>-</v>
      </c>
      <c r="AE60" s="12" t="str">
        <f t="shared" si="6"/>
        <v>-</v>
      </c>
      <c r="AF60" s="12" t="str">
        <f t="shared" ca="1" si="7"/>
        <v>0x1012</v>
      </c>
      <c r="AG60" s="12" t="str">
        <f t="shared" si="8"/>
        <v>TEST_BRIDGE_RANGE1</v>
      </c>
      <c r="AH60" s="12">
        <f t="shared" si="9"/>
        <v>3</v>
      </c>
      <c r="AI60" s="12">
        <f t="shared" si="10"/>
        <v>9</v>
      </c>
      <c r="AJ60" s="12">
        <f t="shared" si="11"/>
        <v>7</v>
      </c>
      <c r="AK60" s="12">
        <f t="shared" si="12"/>
        <v>896</v>
      </c>
      <c r="AL60" s="12" t="str">
        <f t="shared" si="13"/>
        <v>-</v>
      </c>
      <c r="AM60" s="22">
        <f t="shared" si="14"/>
        <v>6</v>
      </c>
      <c r="AN60" s="12">
        <f t="shared" si="15"/>
        <v>768</v>
      </c>
      <c r="AO60" s="22" t="str">
        <f ca="1">IF(AF60="-",VLOOKUP(AD60,MemoryView!$A$3:$F$108,6,0),MID(VLOOKUP(AF60,MemoryView!$BD$3:$BE$108,2,0),15-AI60+1,AH60))</f>
        <v>110</v>
      </c>
      <c r="AP60" s="22">
        <f t="shared" ca="1" si="16"/>
        <v>6</v>
      </c>
      <c r="AQ60" s="53" t="str">
        <f t="shared" si="17"/>
        <v>`EE_MNG.TEST_BRIDGE_RANGE1.SET(6);        // [0..7]</v>
      </c>
      <c r="AR60" s="54" t="str">
        <f t="shared" ca="1" si="18"/>
        <v>EE_MEM #(`PARAM(16'h1012, 7, 3, 0)) TEST_BRIDGE_RANGE1(); bit unsigned [3-1:0] TEST_BRIDGE_RANGE1_V; assign TEST_BRIDGE_RANGE1_V = TEST_BRIDGE_RANGE1.GET;</v>
      </c>
      <c r="AS60" s="12" t="str">
        <f t="shared" ca="1" si="19"/>
        <v>EE_TRIM4_PADC_RANGE1</v>
      </c>
    </row>
    <row r="61" spans="2:45" ht="76.5">
      <c r="B61" s="55" t="str">
        <f t="shared" ca="1" si="20"/>
        <v>CUST</v>
      </c>
      <c r="C61" s="55" t="s">
        <v>58</v>
      </c>
      <c r="D61" s="56" t="s">
        <v>639</v>
      </c>
      <c r="E61" s="57" t="str">
        <f t="shared" ca="1" si="328"/>
        <v>0x1012</v>
      </c>
      <c r="F61" s="57">
        <v>3</v>
      </c>
      <c r="G61" s="57">
        <v>4</v>
      </c>
      <c r="H61" s="57">
        <v>0</v>
      </c>
      <c r="I61" s="57" t="s">
        <v>76</v>
      </c>
      <c r="J61" s="50" t="str">
        <f t="shared" si="0"/>
        <v>[6:4]</v>
      </c>
      <c r="K61" s="50">
        <f t="shared" si="1"/>
        <v>0</v>
      </c>
      <c r="L61" s="50">
        <f t="shared" si="2"/>
        <v>7</v>
      </c>
      <c r="M61" s="58" t="s">
        <v>646</v>
      </c>
      <c r="N61" s="28"/>
      <c r="O61" s="57">
        <v>4</v>
      </c>
      <c r="P61" s="57">
        <f t="shared" si="402"/>
        <v>4</v>
      </c>
      <c r="Q61" s="57">
        <f t="shared" si="403"/>
        <v>4</v>
      </c>
      <c r="R61" s="57">
        <f t="shared" si="404"/>
        <v>4</v>
      </c>
      <c r="S61" s="163">
        <f t="shared" si="404"/>
        <v>4</v>
      </c>
      <c r="T61" s="163">
        <v>4</v>
      </c>
      <c r="U61" s="163">
        <f t="shared" si="405"/>
        <v>4</v>
      </c>
      <c r="V61" s="163">
        <f t="shared" si="327"/>
        <v>4</v>
      </c>
      <c r="W61" s="59"/>
      <c r="X61" s="57">
        <f t="shared" ca="1" si="3"/>
        <v>4</v>
      </c>
      <c r="Y61" s="32"/>
      <c r="AC61" s="12" t="b">
        <f t="shared" si="4"/>
        <v>1</v>
      </c>
      <c r="AD61" s="12" t="str">
        <f t="shared" si="5"/>
        <v>-</v>
      </c>
      <c r="AE61" s="12" t="str">
        <f t="shared" si="6"/>
        <v>-</v>
      </c>
      <c r="AF61" s="12" t="str">
        <f t="shared" ca="1" si="7"/>
        <v>0x1012</v>
      </c>
      <c r="AG61" s="12" t="str">
        <f t="shared" si="8"/>
        <v>PADC_RANGE1_CAP_SEL</v>
      </c>
      <c r="AH61" s="12">
        <f t="shared" si="9"/>
        <v>3</v>
      </c>
      <c r="AI61" s="12">
        <f t="shared" si="10"/>
        <v>6</v>
      </c>
      <c r="AJ61" s="12">
        <f t="shared" si="11"/>
        <v>4</v>
      </c>
      <c r="AK61" s="12">
        <f t="shared" si="12"/>
        <v>112</v>
      </c>
      <c r="AL61" s="12" t="str">
        <f t="shared" si="13"/>
        <v>-</v>
      </c>
      <c r="AM61" s="22">
        <f t="shared" si="14"/>
        <v>4</v>
      </c>
      <c r="AN61" s="12">
        <f t="shared" si="15"/>
        <v>64</v>
      </c>
      <c r="AO61" s="22" t="str">
        <f ca="1">IF(AF61="-",VLOOKUP(AD61,MemoryView!$A$3:$F$108,6,0),MID(VLOOKUP(AF61,MemoryView!$BD$3:$BE$108,2,0),15-AI61+1,AH61))</f>
        <v>100</v>
      </c>
      <c r="AP61" s="22">
        <f t="shared" ca="1" si="16"/>
        <v>4</v>
      </c>
      <c r="AQ61" s="53" t="str">
        <f t="shared" si="17"/>
        <v>`EE_MNG.PADC_RANGE1_CAP_SEL.SET(4);        // [0..7]</v>
      </c>
      <c r="AR61" s="54" t="str">
        <f t="shared" ca="1" si="18"/>
        <v>EE_MEM #(`PARAM(16'h1012, 4, 3, 0)) PADC_RANGE1_CAP_SEL(); bit unsigned [3-1:0] PADC_RANGE1_CAP_SEL_V; assign PADC_RANGE1_CAP_SEL_V = PADC_RANGE1_CAP_SEL.GET;</v>
      </c>
      <c r="AS61" s="12" t="str">
        <f t="shared" ca="1" si="19"/>
        <v>EE_TRIM4_PADC_RANGE1</v>
      </c>
    </row>
    <row r="62" spans="2:45" ht="89.25">
      <c r="B62" s="55" t="str">
        <f t="shared" ca="1" si="20"/>
        <v>CUST</v>
      </c>
      <c r="C62" s="55" t="s">
        <v>58</v>
      </c>
      <c r="D62" s="56" t="s">
        <v>638</v>
      </c>
      <c r="E62" s="57" t="str">
        <f t="shared" ca="1" si="328"/>
        <v>0x1012</v>
      </c>
      <c r="F62" s="57">
        <v>2</v>
      </c>
      <c r="G62" s="57">
        <v>2</v>
      </c>
      <c r="H62" s="57">
        <v>0</v>
      </c>
      <c r="I62" s="57" t="s">
        <v>76</v>
      </c>
      <c r="J62" s="50" t="str">
        <f>IF(D62&lt;&gt;"-","["&amp;AI62&amp;":"&amp;AJ62&amp;"]","-")</f>
        <v>[3:2]</v>
      </c>
      <c r="K62" s="50">
        <f>IF(H62,-L62-1,0)</f>
        <v>0</v>
      </c>
      <c r="L62" s="50">
        <f>IF(H62,FLOOR((2^F62-1)/2,1),2^F62-1)</f>
        <v>3</v>
      </c>
      <c r="M62" s="58" t="s">
        <v>645</v>
      </c>
      <c r="N62" s="28"/>
      <c r="O62" s="57">
        <v>0</v>
      </c>
      <c r="P62" s="57">
        <f t="shared" si="402"/>
        <v>0</v>
      </c>
      <c r="Q62" s="57">
        <f t="shared" si="403"/>
        <v>0</v>
      </c>
      <c r="R62" s="57">
        <f t="shared" si="404"/>
        <v>0</v>
      </c>
      <c r="S62" s="163">
        <f t="shared" si="404"/>
        <v>0</v>
      </c>
      <c r="T62" s="163">
        <v>0</v>
      </c>
      <c r="U62" s="163">
        <f t="shared" si="405"/>
        <v>0</v>
      </c>
      <c r="V62" s="163">
        <f t="shared" si="327"/>
        <v>0</v>
      </c>
      <c r="W62" s="59"/>
      <c r="X62" s="57">
        <f ca="1">IF(H62=0,AP62,    IF(AP62&lt;=2^(F62-1)-1,AP62,AP62-2^F62)  )</f>
        <v>0</v>
      </c>
      <c r="Y62" s="32"/>
      <c r="AC62" s="12" t="b">
        <f t="shared" si="4"/>
        <v>1</v>
      </c>
      <c r="AD62" s="12" t="str">
        <f>IF(AND(D62="-",C62&lt;&gt;"-"),E62,"-")</f>
        <v>-</v>
      </c>
      <c r="AE62" s="12" t="str">
        <f>IF(D62="-",C62,"-")</f>
        <v>-</v>
      </c>
      <c r="AF62" s="12" t="str">
        <f ca="1">IF(AND(D62&lt;&gt;"-",ISTEXT(D62)),E62,"-")</f>
        <v>0x1012</v>
      </c>
      <c r="AG62" s="12" t="str">
        <f>IF(AND(D62&lt;&gt;"-",ISTEXT(D62)),D62,"-")</f>
        <v>PADC_RANGE1_SEL2</v>
      </c>
      <c r="AH62" s="12">
        <f>IF(D62&lt;&gt;"-",F62,"-")</f>
        <v>2</v>
      </c>
      <c r="AI62" s="12">
        <f>IF(D62&lt;&gt;"-",G62+F62-1,"-")</f>
        <v>3</v>
      </c>
      <c r="AJ62" s="12">
        <f>IF(D62&lt;&gt;"-",G62,"-")</f>
        <v>2</v>
      </c>
      <c r="AK62" s="12">
        <f>IF(OR(AH62="-",AJ62="-"),AD62,(2^AH62-1)*2^AJ62)</f>
        <v>12</v>
      </c>
      <c r="AL62" s="12" t="str">
        <f>IF(D62="-",B62,"-")</f>
        <v>-</v>
      </c>
      <c r="AM62" s="22">
        <f t="shared" si="14"/>
        <v>0</v>
      </c>
      <c r="AN62" s="12">
        <f>IF(OR(AH62="-",AJ62="-"),AD62,IF(AM62&lt;0,AM62+2^AH62,AM62)*2^AJ62)</f>
        <v>0</v>
      </c>
      <c r="AO62" s="22" t="str">
        <f ca="1">IF(AF62="-",VLOOKUP(AD62,MemoryView!$A$3:$F$108,6,0),MID(VLOOKUP(AF62,MemoryView!$BD$3:$BE$108,2,0),15-AI62+1,AH62))</f>
        <v>00</v>
      </c>
      <c r="AP62" s="22">
        <f ca="1">IF(AF62="-",HEX2DEC(AO62),IF(LEN(AO62)&gt;8,BIN2DEC(LEFT(AO62,LEN(AO62)-8))*2^8+BIN2DEC(RIGHT(AO62,8)),BIN2DEC(AO62)))</f>
        <v>0</v>
      </c>
      <c r="AQ62" s="53" t="str">
        <f>IF(AG62&lt;&gt;"-",CONCATENATE("`EE_MNG.",AG62,".SET(",AM62,");        // [",K62,"..",L62,"]"),"-")</f>
        <v>`EE_MNG.PADC_RANGE1_SEL2.SET(0);        // [0..3]</v>
      </c>
      <c r="AR62" s="54" t="str">
        <f ca="1">IF(AND(AD62="-",AE62="-",AF62="-",AG62="-"),"-",IF(AG62&lt;&gt;"-",CONCATENATE("EE_MEM #(`PARAM(16'h",RIGHT(AF62,4),", ",G62,", ",F62,", ",H62,")) ",AG62,"(); bit ",IF(H62=0,"unsigned [","signed ["),F62,"-1:0] ", AG62,"_V; assign ",AG62,"_V = ",AG62,".GET;"), CONCATENATE("EE_MEM #(`PARAM(16'h",RIGHT(AD62,4),", ",G62,", ",F62,", ",H62,")) ",AE62,"(); bit ",IF(H62=0,"unsigned [","signed ["),F62,"-1:0] ", AE62,"_V; assign ",AE62,"_V = ",AE62,".GET;")))</f>
        <v>EE_MEM #(`PARAM(16'h1012, 2, 2, 0)) PADC_RANGE1_SEL2(); bit unsigned [2-1:0] PADC_RANGE1_SEL2_V; assign PADC_RANGE1_SEL2_V = PADC_RANGE1_SEL2.GET;</v>
      </c>
      <c r="AS62" s="12" t="str">
        <f ca="1">IF(AG62="-",AE62,INDIRECT(ADDRESS(ROW()-1,COLUMN())))</f>
        <v>EE_TRIM4_PADC_RANGE1</v>
      </c>
    </row>
    <row r="63" spans="2:45" ht="89.25">
      <c r="B63" s="55" t="str">
        <f t="shared" ca="1" si="20"/>
        <v>CUST</v>
      </c>
      <c r="C63" s="55" t="s">
        <v>58</v>
      </c>
      <c r="D63" s="56" t="s">
        <v>637</v>
      </c>
      <c r="E63" s="57" t="str">
        <f t="shared" ca="1" si="328"/>
        <v>0x1012</v>
      </c>
      <c r="F63" s="57">
        <v>2</v>
      </c>
      <c r="G63" s="57">
        <v>0</v>
      </c>
      <c r="H63" s="57">
        <v>0</v>
      </c>
      <c r="I63" s="57" t="s">
        <v>76</v>
      </c>
      <c r="J63" s="50" t="str">
        <f t="shared" si="0"/>
        <v>[1:0]</v>
      </c>
      <c r="K63" s="50">
        <f t="shared" si="1"/>
        <v>0</v>
      </c>
      <c r="L63" s="50">
        <f t="shared" si="2"/>
        <v>3</v>
      </c>
      <c r="M63" s="58" t="s">
        <v>647</v>
      </c>
      <c r="N63" s="28"/>
      <c r="O63" s="57">
        <v>2</v>
      </c>
      <c r="P63" s="57">
        <f t="shared" si="402"/>
        <v>2</v>
      </c>
      <c r="Q63" s="57">
        <f t="shared" si="403"/>
        <v>2</v>
      </c>
      <c r="R63" s="57">
        <f t="shared" si="404"/>
        <v>2</v>
      </c>
      <c r="S63" s="163">
        <f t="shared" si="404"/>
        <v>2</v>
      </c>
      <c r="T63" s="163">
        <v>2</v>
      </c>
      <c r="U63" s="163">
        <f t="shared" si="405"/>
        <v>2</v>
      </c>
      <c r="V63" s="163">
        <f t="shared" si="327"/>
        <v>2</v>
      </c>
      <c r="W63" s="59"/>
      <c r="X63" s="57">
        <f t="shared" ca="1" si="3"/>
        <v>2</v>
      </c>
      <c r="Y63" s="32"/>
      <c r="AC63" s="12" t="b">
        <f t="shared" si="4"/>
        <v>1</v>
      </c>
      <c r="AD63" s="12" t="str">
        <f t="shared" si="5"/>
        <v>-</v>
      </c>
      <c r="AE63" s="12" t="str">
        <f t="shared" si="6"/>
        <v>-</v>
      </c>
      <c r="AF63" s="12" t="str">
        <f t="shared" ca="1" si="7"/>
        <v>0x1012</v>
      </c>
      <c r="AG63" s="12" t="str">
        <f t="shared" si="8"/>
        <v>PADC_RANGE1_SEL1</v>
      </c>
      <c r="AH63" s="12">
        <f t="shared" si="9"/>
        <v>2</v>
      </c>
      <c r="AI63" s="12">
        <f t="shared" si="10"/>
        <v>1</v>
      </c>
      <c r="AJ63" s="12">
        <f t="shared" si="11"/>
        <v>0</v>
      </c>
      <c r="AK63" s="12">
        <f t="shared" si="12"/>
        <v>3</v>
      </c>
      <c r="AL63" s="12" t="str">
        <f t="shared" si="13"/>
        <v>-</v>
      </c>
      <c r="AM63" s="22">
        <f t="shared" si="14"/>
        <v>2</v>
      </c>
      <c r="AN63" s="12">
        <f t="shared" si="15"/>
        <v>2</v>
      </c>
      <c r="AO63" s="22" t="str">
        <f ca="1">IF(AF63="-",VLOOKUP(AD63,MemoryView!$A$3:$F$108,6,0),MID(VLOOKUP(AF63,MemoryView!$BD$3:$BE$108,2,0),15-AI63+1,AH63))</f>
        <v>10</v>
      </c>
      <c r="AP63" s="22">
        <f t="shared" ca="1" si="16"/>
        <v>2</v>
      </c>
      <c r="AQ63" s="53" t="str">
        <f t="shared" si="17"/>
        <v>`EE_MNG.PADC_RANGE1_SEL1.SET(2);        // [0..3]</v>
      </c>
      <c r="AR63" s="54" t="str">
        <f t="shared" ca="1" si="18"/>
        <v>EE_MEM #(`PARAM(16'h1012, 0, 2, 0)) PADC_RANGE1_SEL1(); bit unsigned [2-1:0] PADC_RANGE1_SEL1_V; assign PADC_RANGE1_SEL1_V = PADC_RANGE1_SEL1.GET;</v>
      </c>
      <c r="AS63" s="12" t="str">
        <f t="shared" ca="1" si="19"/>
        <v>EE_TRIM4_PADC_RANGE1</v>
      </c>
    </row>
    <row r="64" spans="2:45">
      <c r="B64" s="47" t="str">
        <f t="shared" ca="1" si="20"/>
        <v>CUST</v>
      </c>
      <c r="C64" s="47" t="s">
        <v>642</v>
      </c>
      <c r="D64" s="48" t="s">
        <v>58</v>
      </c>
      <c r="E64" s="60" t="str">
        <f ca="1">"0x"&amp;DEC2HEX(HEX2DEC(RIGHT(INDIRECT(ADDRESS(ROW()-1,COLUMN())),4))+2,4)</f>
        <v>0x1014</v>
      </c>
      <c r="F64" s="49">
        <v>16</v>
      </c>
      <c r="G64" s="49">
        <v>0</v>
      </c>
      <c r="H64" s="49">
        <v>0</v>
      </c>
      <c r="I64" s="49" t="s">
        <v>58</v>
      </c>
      <c r="J64" s="50" t="str">
        <f t="shared" ref="J64:J67" si="439">IF(D64&lt;&gt;"-","["&amp;AI64&amp;":"&amp;AJ64&amp;"]","-")</f>
        <v>-</v>
      </c>
      <c r="K64" s="50">
        <f t="shared" ref="K64:K67" si="440">IF(H64,-L64-1,0)</f>
        <v>0</v>
      </c>
      <c r="L64" s="50">
        <f t="shared" ref="L64:L67" si="441">IF(H64,FLOOR((2^F64-1)/2,1),2^F64-1)</f>
        <v>65535</v>
      </c>
      <c r="M64" s="51" t="s">
        <v>75</v>
      </c>
      <c r="N64" s="28"/>
      <c r="O64" s="52"/>
      <c r="P64" s="52"/>
      <c r="Q64" s="52"/>
      <c r="R64" s="52"/>
      <c r="S64" s="140"/>
      <c r="T64" s="165"/>
      <c r="U64" s="165"/>
      <c r="V64" s="165"/>
      <c r="W64" s="28"/>
      <c r="X64" s="52">
        <f t="shared" ref="X64:X67" ca="1" si="442">IF(H64=0,AP64,    IF(AP64&lt;=2^(F64-1)-1,AP64,AP64-2^F64)  )</f>
        <v>834</v>
      </c>
      <c r="Y64" s="32"/>
      <c r="AC64" s="12">
        <f t="shared" si="4"/>
        <v>1</v>
      </c>
      <c r="AD64" s="12" t="str">
        <f t="shared" ref="AD64:AD67" ca="1" si="443">IF(AND(D64="-",C64&lt;&gt;"-"),E64,"-")</f>
        <v>0x1014</v>
      </c>
      <c r="AE64" s="12" t="str">
        <f t="shared" ref="AE64:AE67" si="444">IF(D64="-",C64,"-")</f>
        <v>EE_TRIM4_PADC_RANGE2</v>
      </c>
      <c r="AF64" s="12" t="str">
        <f t="shared" ref="AF64:AF67" si="445">IF(AND(D64&lt;&gt;"-",ISTEXT(D64)),E64,"-")</f>
        <v>-</v>
      </c>
      <c r="AG64" s="12" t="str">
        <f t="shared" ref="AG64:AG67" si="446">IF(AND(D64&lt;&gt;"-",ISTEXT(D64)),D64,"-")</f>
        <v>-</v>
      </c>
      <c r="AH64" s="12" t="str">
        <f t="shared" ref="AH64:AH67" si="447">IF(D64&lt;&gt;"-",F64,"-")</f>
        <v>-</v>
      </c>
      <c r="AI64" s="12" t="str">
        <f t="shared" ref="AI64:AI67" si="448">IF(D64&lt;&gt;"-",G64+F64-1,"-")</f>
        <v>-</v>
      </c>
      <c r="AJ64" s="12" t="str">
        <f t="shared" ref="AJ64:AJ67" si="449">IF(D64&lt;&gt;"-",G64,"-")</f>
        <v>-</v>
      </c>
      <c r="AK64" s="12" t="str">
        <f t="shared" ref="AK64:AK67" ca="1" si="450">IF(OR(AH64="-",AJ64="-"),AD64,(2^AH64-1)*2^AJ64)</f>
        <v>0x1014</v>
      </c>
      <c r="AL64" s="12" t="str">
        <f t="shared" ref="AL64:AL67" ca="1" si="451">IF(D64="-",B64,"-")</f>
        <v>CUST</v>
      </c>
      <c r="AM64" s="22">
        <f t="shared" si="14"/>
        <v>0</v>
      </c>
      <c r="AN64" s="12" t="str">
        <f t="shared" ref="AN64:AN67" ca="1" si="452">IF(OR(AH64="-",AJ64="-"),AD64,IF(AM64&lt;0,AM64+2^AH64,AM64)*2^AJ64)</f>
        <v>0x1014</v>
      </c>
      <c r="AO64" s="22" t="str">
        <f ca="1">IF(AF64="-",VLOOKUP(AD64,MemoryView!$A$3:$F$108,6,0),MID(VLOOKUP(AF64,MemoryView!$BD$3:$BE$108,2,0),15-AI64+1,AH64))</f>
        <v>0342</v>
      </c>
      <c r="AP64" s="22">
        <f t="shared" ref="AP64:AP67" ca="1" si="453">IF(AF64="-",HEX2DEC(AO64),IF(LEN(AO64)&gt;8,BIN2DEC(LEFT(AO64,LEN(AO64)-8))*2^8+BIN2DEC(RIGHT(AO64,8)),BIN2DEC(AO64)))</f>
        <v>834</v>
      </c>
      <c r="AQ64" s="53" t="str">
        <f t="shared" ref="AQ64:AQ67" si="454">IF(AG64&lt;&gt;"-",CONCATENATE("`EE_MNG.",AG64,".SET(",AM64,");        // [",K64,"..",L64,"]"),"-")</f>
        <v>-</v>
      </c>
      <c r="AR64" s="54" t="str">
        <f t="shared" ref="AR64:AR67" ca="1" si="455">IF(AND(AD64="-",AE64="-",AF64="-",AG64="-"),"-",IF(AG64&lt;&gt;"-",CONCATENATE("EE_MEM #(`PARAM(16'h",RIGHT(AF64,4),", ",G64,", ",F64,", ",H64,")) ",AG64,"(); bit ",IF(H64=0,"unsigned [","signed ["),F64,"-1:0] ", AG64,"_V; assign ",AG64,"_V = ",AG64,".GET;"), CONCATENATE("EE_MEM #(`PARAM(16'h",RIGHT(AD64,4),", ",G64,", ",F64,", ",H64,")) ",AE64,"(); bit ",IF(H64=0,"unsigned [","signed ["),F64,"-1:0] ", AE64,"_V; assign ",AE64,"_V = ",AE64,".GET;")))</f>
        <v>EE_MEM #(`PARAM(16'h1014, 0, 16, 0)) EE_TRIM4_PADC_RANGE2(); bit unsigned [16-1:0] EE_TRIM4_PADC_RANGE2_V; assign EE_TRIM4_PADC_RANGE2_V = EE_TRIM4_PADC_RANGE2.GET;</v>
      </c>
      <c r="AS64" s="12" t="str">
        <f t="shared" ref="AS64:AS67" ca="1" si="456">IF(AG64="-",AE64,INDIRECT(ADDRESS(ROW()-1,COLUMN())))</f>
        <v>EE_TRIM4_PADC_RANGE2</v>
      </c>
    </row>
    <row r="65" spans="2:45">
      <c r="B65" s="55" t="str">
        <f t="shared" ca="1" si="20"/>
        <v>CUST</v>
      </c>
      <c r="C65" s="55" t="s">
        <v>58</v>
      </c>
      <c r="D65" s="56" t="s">
        <v>652</v>
      </c>
      <c r="E65" s="57" t="str">
        <f t="shared" ca="1" si="328"/>
        <v>0x1014</v>
      </c>
      <c r="F65" s="57">
        <v>6</v>
      </c>
      <c r="G65" s="57">
        <v>10</v>
      </c>
      <c r="H65" s="57">
        <v>0</v>
      </c>
      <c r="I65" s="57" t="s">
        <v>76</v>
      </c>
      <c r="J65" s="50" t="str">
        <f t="shared" si="439"/>
        <v>[15:10]</v>
      </c>
      <c r="K65" s="50">
        <f t="shared" si="440"/>
        <v>0</v>
      </c>
      <c r="L65" s="50">
        <f t="shared" si="441"/>
        <v>63</v>
      </c>
      <c r="M65" s="58" t="s">
        <v>583</v>
      </c>
      <c r="N65" s="28"/>
      <c r="O65" s="57">
        <v>0</v>
      </c>
      <c r="P65" s="57">
        <f t="shared" ref="P65:P69" si="457">O65</f>
        <v>0</v>
      </c>
      <c r="Q65" s="57">
        <f t="shared" ref="Q65:Q69" si="458">O65</f>
        <v>0</v>
      </c>
      <c r="R65" s="57">
        <f t="shared" ref="R65:S69" si="459">O65</f>
        <v>0</v>
      </c>
      <c r="S65" s="163">
        <f t="shared" si="459"/>
        <v>0</v>
      </c>
      <c r="T65" s="163">
        <v>0</v>
      </c>
      <c r="U65" s="163">
        <f>S65</f>
        <v>0</v>
      </c>
      <c r="V65" s="163">
        <f t="shared" si="327"/>
        <v>0</v>
      </c>
      <c r="W65" s="59"/>
      <c r="X65" s="57">
        <f t="shared" ca="1" si="442"/>
        <v>0</v>
      </c>
      <c r="Y65" s="32"/>
      <c r="AC65" s="12" t="b">
        <f t="shared" si="4"/>
        <v>1</v>
      </c>
      <c r="AD65" s="12" t="str">
        <f t="shared" si="443"/>
        <v>-</v>
      </c>
      <c r="AE65" s="12" t="str">
        <f t="shared" si="444"/>
        <v>-</v>
      </c>
      <c r="AF65" s="12" t="str">
        <f t="shared" ca="1" si="445"/>
        <v>0x1014</v>
      </c>
      <c r="AG65" s="12" t="str">
        <f t="shared" si="446"/>
        <v>TRIM4_PADC_RANGE2_RESERVED</v>
      </c>
      <c r="AH65" s="12">
        <f t="shared" si="447"/>
        <v>6</v>
      </c>
      <c r="AI65" s="12">
        <f t="shared" si="448"/>
        <v>15</v>
      </c>
      <c r="AJ65" s="12">
        <f t="shared" si="449"/>
        <v>10</v>
      </c>
      <c r="AK65" s="12">
        <f t="shared" si="450"/>
        <v>64512</v>
      </c>
      <c r="AL65" s="12" t="str">
        <f t="shared" si="451"/>
        <v>-</v>
      </c>
      <c r="AM65" s="22">
        <f t="shared" si="14"/>
        <v>0</v>
      </c>
      <c r="AN65" s="12">
        <f t="shared" si="452"/>
        <v>0</v>
      </c>
      <c r="AO65" s="22" t="str">
        <f ca="1">IF(AF65="-",VLOOKUP(AD65,MemoryView!$A$3:$F$108,6,0),MID(VLOOKUP(AF65,MemoryView!$BD$3:$BE$108,2,0),15-AI65+1,AH65))</f>
        <v>000000</v>
      </c>
      <c r="AP65" s="22">
        <f t="shared" ca="1" si="453"/>
        <v>0</v>
      </c>
      <c r="AQ65" s="53" t="str">
        <f t="shared" si="454"/>
        <v>`EE_MNG.TRIM4_PADC_RANGE2_RESERVED.SET(0);        // [0..63]</v>
      </c>
      <c r="AR65" s="54" t="str">
        <f t="shared" ca="1" si="455"/>
        <v>EE_MEM #(`PARAM(16'h1014, 10, 6, 0)) TRIM4_PADC_RANGE2_RESERVED(); bit unsigned [6-1:0] TRIM4_PADC_RANGE2_RESERVED_V; assign TRIM4_PADC_RANGE2_RESERVED_V = TRIM4_PADC_RANGE2_RESERVED.GET;</v>
      </c>
      <c r="AS65" s="12" t="str">
        <f t="shared" ca="1" si="456"/>
        <v>EE_TRIM4_PADC_RANGE2</v>
      </c>
    </row>
    <row r="66" spans="2:45" ht="242.25">
      <c r="B66" s="55" t="str">
        <f t="shared" ca="1" si="20"/>
        <v>CUST</v>
      </c>
      <c r="C66" s="55" t="s">
        <v>58</v>
      </c>
      <c r="D66" s="56" t="s">
        <v>634</v>
      </c>
      <c r="E66" s="57" t="str">
        <f t="shared" ref="E66:E69" ca="1" si="460">INDIRECT(ADDRESS(ROW()-1,COLUMN()))</f>
        <v>0x1014</v>
      </c>
      <c r="F66" s="57">
        <v>3</v>
      </c>
      <c r="G66" s="57">
        <v>7</v>
      </c>
      <c r="H66" s="57">
        <v>0</v>
      </c>
      <c r="I66" s="57" t="s">
        <v>76</v>
      </c>
      <c r="J66" s="50" t="str">
        <f t="shared" si="439"/>
        <v>[9:7]</v>
      </c>
      <c r="K66" s="50">
        <f t="shared" si="440"/>
        <v>0</v>
      </c>
      <c r="L66" s="50">
        <f t="shared" si="441"/>
        <v>7</v>
      </c>
      <c r="M66" s="58" t="s">
        <v>648</v>
      </c>
      <c r="N66" s="28"/>
      <c r="O66" s="57">
        <v>6</v>
      </c>
      <c r="P66" s="57">
        <f t="shared" si="457"/>
        <v>6</v>
      </c>
      <c r="Q66" s="57">
        <f t="shared" si="458"/>
        <v>6</v>
      </c>
      <c r="R66" s="57">
        <f t="shared" si="459"/>
        <v>6</v>
      </c>
      <c r="S66" s="163">
        <f t="shared" si="459"/>
        <v>6</v>
      </c>
      <c r="T66" s="163">
        <v>6</v>
      </c>
      <c r="U66" s="163">
        <f>S66</f>
        <v>6</v>
      </c>
      <c r="V66" s="163">
        <f t="shared" si="327"/>
        <v>6</v>
      </c>
      <c r="W66" s="59"/>
      <c r="X66" s="57">
        <f t="shared" ca="1" si="442"/>
        <v>6</v>
      </c>
      <c r="Y66" s="32"/>
      <c r="AC66" s="12" t="b">
        <f t="shared" si="4"/>
        <v>1</v>
      </c>
      <c r="AD66" s="12" t="str">
        <f t="shared" si="443"/>
        <v>-</v>
      </c>
      <c r="AE66" s="12" t="str">
        <f t="shared" si="444"/>
        <v>-</v>
      </c>
      <c r="AF66" s="12" t="str">
        <f t="shared" ca="1" si="445"/>
        <v>0x1014</v>
      </c>
      <c r="AG66" s="12" t="str">
        <f t="shared" si="446"/>
        <v>TEST_BRIDGE_RANGE2</v>
      </c>
      <c r="AH66" s="12">
        <f t="shared" si="447"/>
        <v>3</v>
      </c>
      <c r="AI66" s="12">
        <f t="shared" si="448"/>
        <v>9</v>
      </c>
      <c r="AJ66" s="12">
        <f t="shared" si="449"/>
        <v>7</v>
      </c>
      <c r="AK66" s="12">
        <f t="shared" si="450"/>
        <v>896</v>
      </c>
      <c r="AL66" s="12" t="str">
        <f t="shared" si="451"/>
        <v>-</v>
      </c>
      <c r="AM66" s="22">
        <f t="shared" si="14"/>
        <v>6</v>
      </c>
      <c r="AN66" s="12">
        <f t="shared" si="452"/>
        <v>768</v>
      </c>
      <c r="AO66" s="22" t="str">
        <f ca="1">IF(AF66="-",VLOOKUP(AD66,MemoryView!$A$3:$F$108,6,0),MID(VLOOKUP(AF66,MemoryView!$BD$3:$BE$108,2,0),15-AI66+1,AH66))</f>
        <v>110</v>
      </c>
      <c r="AP66" s="22">
        <f t="shared" ca="1" si="453"/>
        <v>6</v>
      </c>
      <c r="AQ66" s="53" t="str">
        <f t="shared" si="454"/>
        <v>`EE_MNG.TEST_BRIDGE_RANGE2.SET(6);        // [0..7]</v>
      </c>
      <c r="AR66" s="54" t="str">
        <f t="shared" ca="1" si="455"/>
        <v>EE_MEM #(`PARAM(16'h1014, 7, 3, 0)) TEST_BRIDGE_RANGE2(); bit unsigned [3-1:0] TEST_BRIDGE_RANGE2_V; assign TEST_BRIDGE_RANGE2_V = TEST_BRIDGE_RANGE2.GET;</v>
      </c>
      <c r="AS66" s="12" t="str">
        <f t="shared" ca="1" si="456"/>
        <v>EE_TRIM4_PADC_RANGE2</v>
      </c>
    </row>
    <row r="67" spans="2:45" ht="76.5">
      <c r="B67" s="55" t="str">
        <f t="shared" ca="1" si="20"/>
        <v>CUST</v>
      </c>
      <c r="C67" s="55" t="s">
        <v>58</v>
      </c>
      <c r="D67" s="56" t="s">
        <v>641</v>
      </c>
      <c r="E67" s="57" t="str">
        <f t="shared" ca="1" si="460"/>
        <v>0x1014</v>
      </c>
      <c r="F67" s="57">
        <v>3</v>
      </c>
      <c r="G67" s="57">
        <v>4</v>
      </c>
      <c r="H67" s="57">
        <v>0</v>
      </c>
      <c r="I67" s="57" t="s">
        <v>76</v>
      </c>
      <c r="J67" s="50" t="str">
        <f t="shared" si="439"/>
        <v>[6:4]</v>
      </c>
      <c r="K67" s="50">
        <f t="shared" si="440"/>
        <v>0</v>
      </c>
      <c r="L67" s="50">
        <f t="shared" si="441"/>
        <v>7</v>
      </c>
      <c r="M67" s="58" t="s">
        <v>649</v>
      </c>
      <c r="N67" s="28"/>
      <c r="O67" s="57">
        <v>4</v>
      </c>
      <c r="P67" s="57">
        <f t="shared" si="457"/>
        <v>4</v>
      </c>
      <c r="Q67" s="57">
        <f t="shared" si="458"/>
        <v>4</v>
      </c>
      <c r="R67" s="57">
        <f t="shared" si="459"/>
        <v>4</v>
      </c>
      <c r="S67" s="163">
        <f t="shared" si="459"/>
        <v>4</v>
      </c>
      <c r="T67" s="163">
        <v>4</v>
      </c>
      <c r="U67" s="163">
        <f>S67</f>
        <v>4</v>
      </c>
      <c r="V67" s="163">
        <f t="shared" si="327"/>
        <v>4</v>
      </c>
      <c r="W67" s="59"/>
      <c r="X67" s="57">
        <f t="shared" ca="1" si="442"/>
        <v>4</v>
      </c>
      <c r="Y67" s="32"/>
      <c r="AC67" s="12" t="b">
        <f t="shared" si="4"/>
        <v>1</v>
      </c>
      <c r="AD67" s="12" t="str">
        <f t="shared" si="443"/>
        <v>-</v>
      </c>
      <c r="AE67" s="12" t="str">
        <f t="shared" si="444"/>
        <v>-</v>
      </c>
      <c r="AF67" s="12" t="str">
        <f t="shared" ca="1" si="445"/>
        <v>0x1014</v>
      </c>
      <c r="AG67" s="12" t="str">
        <f t="shared" si="446"/>
        <v>PADC_RANGE2_CAP_SEL</v>
      </c>
      <c r="AH67" s="12">
        <f t="shared" si="447"/>
        <v>3</v>
      </c>
      <c r="AI67" s="12">
        <f t="shared" si="448"/>
        <v>6</v>
      </c>
      <c r="AJ67" s="12">
        <f t="shared" si="449"/>
        <v>4</v>
      </c>
      <c r="AK67" s="12">
        <f t="shared" si="450"/>
        <v>112</v>
      </c>
      <c r="AL67" s="12" t="str">
        <f t="shared" si="451"/>
        <v>-</v>
      </c>
      <c r="AM67" s="22">
        <f t="shared" si="14"/>
        <v>4</v>
      </c>
      <c r="AN67" s="12">
        <f t="shared" si="452"/>
        <v>64</v>
      </c>
      <c r="AO67" s="22" t="str">
        <f ca="1">IF(AF67="-",VLOOKUP(AD67,MemoryView!$A$3:$F$108,6,0),MID(VLOOKUP(AF67,MemoryView!$BD$3:$BE$108,2,0),15-AI67+1,AH67))</f>
        <v>100</v>
      </c>
      <c r="AP67" s="22">
        <f t="shared" ca="1" si="453"/>
        <v>4</v>
      </c>
      <c r="AQ67" s="53" t="str">
        <f t="shared" si="454"/>
        <v>`EE_MNG.PADC_RANGE2_CAP_SEL.SET(4);        // [0..7]</v>
      </c>
      <c r="AR67" s="54" t="str">
        <f t="shared" ca="1" si="455"/>
        <v>EE_MEM #(`PARAM(16'h1014, 4, 3, 0)) PADC_RANGE2_CAP_SEL(); bit unsigned [3-1:0] PADC_RANGE2_CAP_SEL_V; assign PADC_RANGE2_CAP_SEL_V = PADC_RANGE2_CAP_SEL.GET;</v>
      </c>
      <c r="AS67" s="12" t="str">
        <f t="shared" ca="1" si="456"/>
        <v>EE_TRIM4_PADC_RANGE2</v>
      </c>
    </row>
    <row r="68" spans="2:45" ht="89.25">
      <c r="B68" s="55" t="str">
        <f t="shared" ca="1" si="20"/>
        <v>CUST</v>
      </c>
      <c r="C68" s="55" t="s">
        <v>58</v>
      </c>
      <c r="D68" s="56" t="s">
        <v>635</v>
      </c>
      <c r="E68" s="57" t="str">
        <f t="shared" ca="1" si="460"/>
        <v>0x1014</v>
      </c>
      <c r="F68" s="57">
        <v>2</v>
      </c>
      <c r="G68" s="57">
        <v>2</v>
      </c>
      <c r="H68" s="57">
        <v>0</v>
      </c>
      <c r="I68" s="57" t="s">
        <v>76</v>
      </c>
      <c r="J68" s="50" t="str">
        <f>IF(D68&lt;&gt;"-","["&amp;AI68&amp;":"&amp;AJ68&amp;"]","-")</f>
        <v>[3:2]</v>
      </c>
      <c r="K68" s="50">
        <f>IF(H68,-L68-1,0)</f>
        <v>0</v>
      </c>
      <c r="L68" s="50">
        <f>IF(H68,FLOOR((2^F68-1)/2,1),2^F68-1)</f>
        <v>3</v>
      </c>
      <c r="M68" s="58" t="s">
        <v>650</v>
      </c>
      <c r="N68" s="28"/>
      <c r="O68" s="57">
        <v>0</v>
      </c>
      <c r="P68" s="57">
        <f t="shared" si="457"/>
        <v>0</v>
      </c>
      <c r="Q68" s="57">
        <f t="shared" si="458"/>
        <v>0</v>
      </c>
      <c r="R68" s="57">
        <f t="shared" si="459"/>
        <v>0</v>
      </c>
      <c r="S68" s="163">
        <f t="shared" si="459"/>
        <v>0</v>
      </c>
      <c r="T68" s="163">
        <v>0</v>
      </c>
      <c r="U68" s="163">
        <f>S68</f>
        <v>0</v>
      </c>
      <c r="V68" s="163">
        <f t="shared" si="327"/>
        <v>0</v>
      </c>
      <c r="W68" s="59"/>
      <c r="X68" s="57">
        <f ca="1">IF(H68=0,AP68,    IF(AP68&lt;=2^(F68-1)-1,AP68,AP68-2^F68)  )</f>
        <v>0</v>
      </c>
      <c r="Y68" s="32"/>
      <c r="AC68" s="12" t="b">
        <f t="shared" ref="AC68:AC131" si="461">IF($AG68="-",1,COUNTIF($AG$3:$AG$319,$AG68)&lt;2)</f>
        <v>1</v>
      </c>
      <c r="AD68" s="12" t="str">
        <f>IF(AND(D68="-",C68&lt;&gt;"-"),E68,"-")</f>
        <v>-</v>
      </c>
      <c r="AE68" s="12" t="str">
        <f>IF(D68="-",C68,"-")</f>
        <v>-</v>
      </c>
      <c r="AF68" s="12" t="str">
        <f ca="1">IF(AND(D68&lt;&gt;"-",ISTEXT(D68)),E68,"-")</f>
        <v>0x1014</v>
      </c>
      <c r="AG68" s="12" t="str">
        <f>IF(AND(D68&lt;&gt;"-",ISTEXT(D68)),D68,"-")</f>
        <v>PADC_RANGE2_SEL2</v>
      </c>
      <c r="AH68" s="12">
        <f>IF(D68&lt;&gt;"-",F68,"-")</f>
        <v>2</v>
      </c>
      <c r="AI68" s="12">
        <f>IF(D68&lt;&gt;"-",G68+F68-1,"-")</f>
        <v>3</v>
      </c>
      <c r="AJ68" s="12">
        <f>IF(D68&lt;&gt;"-",G68,"-")</f>
        <v>2</v>
      </c>
      <c r="AK68" s="12">
        <f>IF(OR(AH68="-",AJ68="-"),AD68,(2^AH68-1)*2^AJ68)</f>
        <v>12</v>
      </c>
      <c r="AL68" s="12" t="str">
        <f>IF(D68="-",B68,"-")</f>
        <v>-</v>
      </c>
      <c r="AM68" s="22">
        <f t="shared" ref="AM68:AM131" si="462">HLOOKUP($AM$2,$N$2:$W$319,ROW()-ROW($AM$2)+1,0)</f>
        <v>0</v>
      </c>
      <c r="AN68" s="12">
        <f>IF(OR(AH68="-",AJ68="-"),AD68,IF(AM68&lt;0,AM68+2^AH68,AM68)*2^AJ68)</f>
        <v>0</v>
      </c>
      <c r="AO68" s="22" t="str">
        <f ca="1">IF(AF68="-",VLOOKUP(AD68,MemoryView!$A$3:$F$108,6,0),MID(VLOOKUP(AF68,MemoryView!$BD$3:$BE$108,2,0),15-AI68+1,AH68))</f>
        <v>00</v>
      </c>
      <c r="AP68" s="22">
        <f ca="1">IF(AF68="-",HEX2DEC(AO68),IF(LEN(AO68)&gt;8,BIN2DEC(LEFT(AO68,LEN(AO68)-8))*2^8+BIN2DEC(RIGHT(AO68,8)),BIN2DEC(AO68)))</f>
        <v>0</v>
      </c>
      <c r="AQ68" s="53" t="str">
        <f>IF(AG68&lt;&gt;"-",CONCATENATE("`EE_MNG.",AG68,".SET(",AM68,");        // [",K68,"..",L68,"]"),"-")</f>
        <v>`EE_MNG.PADC_RANGE2_SEL2.SET(0);        // [0..3]</v>
      </c>
      <c r="AR68" s="54" t="str">
        <f ca="1">IF(AND(AD68="-",AE68="-",AF68="-",AG68="-"),"-",IF(AG68&lt;&gt;"-",CONCATENATE("EE_MEM #(`PARAM(16'h",RIGHT(AF68,4),", ",G68,", ",F68,", ",H68,")) ",AG68,"(); bit ",IF(H68=0,"unsigned [","signed ["),F68,"-1:0] ", AG68,"_V; assign ",AG68,"_V = ",AG68,".GET;"), CONCATENATE("EE_MEM #(`PARAM(16'h",RIGHT(AD68,4),", ",G68,", ",F68,", ",H68,")) ",AE68,"(); bit ",IF(H68=0,"unsigned [","signed ["),F68,"-1:0] ", AE68,"_V; assign ",AE68,"_V = ",AE68,".GET;")))</f>
        <v>EE_MEM #(`PARAM(16'h1014, 2, 2, 0)) PADC_RANGE2_SEL2(); bit unsigned [2-1:0] PADC_RANGE2_SEL2_V; assign PADC_RANGE2_SEL2_V = PADC_RANGE2_SEL2.GET;</v>
      </c>
      <c r="AS68" s="12" t="str">
        <f ca="1">IF(AG68="-",AE68,INDIRECT(ADDRESS(ROW()-1,COLUMN())))</f>
        <v>EE_TRIM4_PADC_RANGE2</v>
      </c>
    </row>
    <row r="69" spans="2:45" ht="89.25">
      <c r="B69" s="55" t="str">
        <f t="shared" ca="1" si="20"/>
        <v>CUST</v>
      </c>
      <c r="C69" s="55" t="s">
        <v>58</v>
      </c>
      <c r="D69" s="56" t="s">
        <v>636</v>
      </c>
      <c r="E69" s="57" t="str">
        <f t="shared" ca="1" si="460"/>
        <v>0x1014</v>
      </c>
      <c r="F69" s="57">
        <v>2</v>
      </c>
      <c r="G69" s="57">
        <v>0</v>
      </c>
      <c r="H69" s="57">
        <v>0</v>
      </c>
      <c r="I69" s="57" t="s">
        <v>76</v>
      </c>
      <c r="J69" s="50" t="str">
        <f t="shared" ref="J69" si="463">IF(D69&lt;&gt;"-","["&amp;AI69&amp;":"&amp;AJ69&amp;"]","-")</f>
        <v>[1:0]</v>
      </c>
      <c r="K69" s="50">
        <f t="shared" ref="K69" si="464">IF(H69,-L69-1,0)</f>
        <v>0</v>
      </c>
      <c r="L69" s="50">
        <f t="shared" ref="L69" si="465">IF(H69,FLOOR((2^F69-1)/2,1),2^F69-1)</f>
        <v>3</v>
      </c>
      <c r="M69" s="58" t="s">
        <v>651</v>
      </c>
      <c r="N69" s="28"/>
      <c r="O69" s="57">
        <v>2</v>
      </c>
      <c r="P69" s="57">
        <f t="shared" si="457"/>
        <v>2</v>
      </c>
      <c r="Q69" s="57">
        <f t="shared" si="458"/>
        <v>2</v>
      </c>
      <c r="R69" s="57">
        <f t="shared" si="459"/>
        <v>2</v>
      </c>
      <c r="S69" s="163">
        <f t="shared" si="459"/>
        <v>2</v>
      </c>
      <c r="T69" s="163">
        <v>2</v>
      </c>
      <c r="U69" s="163">
        <f>S69</f>
        <v>2</v>
      </c>
      <c r="V69" s="163">
        <f t="shared" si="327"/>
        <v>2</v>
      </c>
      <c r="W69" s="59"/>
      <c r="X69" s="57">
        <f t="shared" ref="X69" ca="1" si="466">IF(H69=0,AP69,    IF(AP69&lt;=2^(F69-1)-1,AP69,AP69-2^F69)  )</f>
        <v>2</v>
      </c>
      <c r="Y69" s="32"/>
      <c r="AC69" s="12" t="b">
        <f t="shared" si="461"/>
        <v>1</v>
      </c>
      <c r="AD69" s="12" t="str">
        <f t="shared" ref="AD69" si="467">IF(AND(D69="-",C69&lt;&gt;"-"),E69,"-")</f>
        <v>-</v>
      </c>
      <c r="AE69" s="12" t="str">
        <f t="shared" ref="AE69" si="468">IF(D69="-",C69,"-")</f>
        <v>-</v>
      </c>
      <c r="AF69" s="12" t="str">
        <f t="shared" ref="AF69" ca="1" si="469">IF(AND(D69&lt;&gt;"-",ISTEXT(D69)),E69,"-")</f>
        <v>0x1014</v>
      </c>
      <c r="AG69" s="12" t="str">
        <f t="shared" ref="AG69" si="470">IF(AND(D69&lt;&gt;"-",ISTEXT(D69)),D69,"-")</f>
        <v>PADC_RANGE2_SEL1</v>
      </c>
      <c r="AH69" s="12">
        <f t="shared" ref="AH69" si="471">IF(D69&lt;&gt;"-",F69,"-")</f>
        <v>2</v>
      </c>
      <c r="AI69" s="12">
        <f t="shared" ref="AI69" si="472">IF(D69&lt;&gt;"-",G69+F69-1,"-")</f>
        <v>1</v>
      </c>
      <c r="AJ69" s="12">
        <f t="shared" ref="AJ69" si="473">IF(D69&lt;&gt;"-",G69,"-")</f>
        <v>0</v>
      </c>
      <c r="AK69" s="12">
        <f t="shared" ref="AK69" si="474">IF(OR(AH69="-",AJ69="-"),AD69,(2^AH69-1)*2^AJ69)</f>
        <v>3</v>
      </c>
      <c r="AL69" s="12" t="str">
        <f t="shared" ref="AL69" si="475">IF(D69="-",B69,"-")</f>
        <v>-</v>
      </c>
      <c r="AM69" s="22">
        <f t="shared" si="462"/>
        <v>2</v>
      </c>
      <c r="AN69" s="12">
        <f t="shared" ref="AN69" si="476">IF(OR(AH69="-",AJ69="-"),AD69,IF(AM69&lt;0,AM69+2^AH69,AM69)*2^AJ69)</f>
        <v>2</v>
      </c>
      <c r="AO69" s="22" t="str">
        <f ca="1">IF(AF69="-",VLOOKUP(AD69,MemoryView!$A$3:$F$108,6,0),MID(VLOOKUP(AF69,MemoryView!$BD$3:$BE$108,2,0),15-AI69+1,AH69))</f>
        <v>10</v>
      </c>
      <c r="AP69" s="22">
        <f t="shared" ref="AP69" ca="1" si="477">IF(AF69="-",HEX2DEC(AO69),IF(LEN(AO69)&gt;8,BIN2DEC(LEFT(AO69,LEN(AO69)-8))*2^8+BIN2DEC(RIGHT(AO69,8)),BIN2DEC(AO69)))</f>
        <v>2</v>
      </c>
      <c r="AQ69" s="53" t="str">
        <f t="shared" ref="AQ69" si="478">IF(AG69&lt;&gt;"-",CONCATENATE("`EE_MNG.",AG69,".SET(",AM69,");        // [",K69,"..",L69,"]"),"-")</f>
        <v>`EE_MNG.PADC_RANGE2_SEL1.SET(2);        // [0..3]</v>
      </c>
      <c r="AR69" s="54" t="str">
        <f t="shared" ref="AR69" ca="1" si="479">IF(AND(AD69="-",AE69="-",AF69="-",AG69="-"),"-",IF(AG69&lt;&gt;"-",CONCATENATE("EE_MEM #(`PARAM(16'h",RIGHT(AF69,4),", ",G69,", ",F69,", ",H69,")) ",AG69,"(); bit ",IF(H69=0,"unsigned [","signed ["),F69,"-1:0] ", AG69,"_V; assign ",AG69,"_V = ",AG69,".GET;"), CONCATENATE("EE_MEM #(`PARAM(16'h",RIGHT(AD69,4),", ",G69,", ",F69,", ",H69,")) ",AE69,"(); bit ",IF(H69=0,"unsigned [","signed ["),F69,"-1:0] ", AE69,"_V; assign ",AE69,"_V = ",AE69,".GET;")))</f>
        <v>EE_MEM #(`PARAM(16'h1014, 0, 2, 0)) PADC_RANGE2_SEL1(); bit unsigned [2-1:0] PADC_RANGE2_SEL1_V; assign PADC_RANGE2_SEL1_V = PADC_RANGE2_SEL1.GET;</v>
      </c>
      <c r="AS69" s="12" t="str">
        <f t="shared" ref="AS69" ca="1" si="480">IF(AG69="-",AE69,INDIRECT(ADDRESS(ROW()-1,COLUMN())))</f>
        <v>EE_TRIM4_PADC_RANGE2</v>
      </c>
    </row>
    <row r="70" spans="2:45">
      <c r="B70" s="47" t="str">
        <f t="shared" ca="1" si="20"/>
        <v>CUST</v>
      </c>
      <c r="C70" s="47" t="s">
        <v>587</v>
      </c>
      <c r="D70" s="48" t="s">
        <v>58</v>
      </c>
      <c r="E70" s="60" t="str">
        <f ca="1">"0x"&amp;DEC2HEX(HEX2DEC(RIGHT(INDIRECT(ADDRESS(ROW()-1,COLUMN())),4))+2,4)</f>
        <v>0x1016</v>
      </c>
      <c r="F70" s="49">
        <v>16</v>
      </c>
      <c r="G70" s="49">
        <v>0</v>
      </c>
      <c r="H70" s="49">
        <v>0</v>
      </c>
      <c r="I70" s="49" t="s">
        <v>58</v>
      </c>
      <c r="J70" s="50" t="str">
        <f t="shared" ref="J70:J79" si="481">IF(D70&lt;&gt;"-","["&amp;AI70&amp;":"&amp;AJ70&amp;"]","-")</f>
        <v>-</v>
      </c>
      <c r="K70" s="50">
        <f t="shared" ref="K70:K79" si="482">IF(H70,-L70-1,0)</f>
        <v>0</v>
      </c>
      <c r="L70" s="50">
        <f t="shared" ref="L70:L79" si="483">IF(H70,FLOOR((2^F70-1)/2,1),2^F70-1)</f>
        <v>65535</v>
      </c>
      <c r="M70" s="51" t="s">
        <v>534</v>
      </c>
      <c r="N70" s="28"/>
      <c r="O70" s="52"/>
      <c r="P70" s="52"/>
      <c r="Q70" s="52"/>
      <c r="R70" s="52"/>
      <c r="S70" s="140"/>
      <c r="T70" s="165"/>
      <c r="U70" s="165"/>
      <c r="V70" s="165"/>
      <c r="W70" s="28"/>
      <c r="X70" s="52">
        <f t="shared" ref="X70:X79" ca="1" si="484">IF(H70=0,AP70,    IF(AP70&lt;=2^(F70-1)-1,AP70,AP70-2^F70)  )</f>
        <v>14</v>
      </c>
      <c r="Y70" s="32"/>
      <c r="AC70" s="12">
        <f t="shared" si="461"/>
        <v>1</v>
      </c>
      <c r="AD70" s="12" t="str">
        <f t="shared" ref="AD70:AD79" ca="1" si="485">IF(AND(D70="-",C70&lt;&gt;"-"),E70,"-")</f>
        <v>0x1016</v>
      </c>
      <c r="AE70" s="12" t="str">
        <f t="shared" ref="AE70:AE79" si="486">IF(D70="-",C70,"-")</f>
        <v>EE_TRIM5</v>
      </c>
      <c r="AF70" s="12" t="str">
        <f t="shared" ref="AF70:AF79" si="487">IF(AND(D70&lt;&gt;"-",ISTEXT(D70)),E70,"-")</f>
        <v>-</v>
      </c>
      <c r="AG70" s="12" t="str">
        <f t="shared" ref="AG70:AG79" si="488">IF(AND(D70&lt;&gt;"-",ISTEXT(D70)),D70,"-")</f>
        <v>-</v>
      </c>
      <c r="AH70" s="12" t="str">
        <f t="shared" ref="AH70:AH79" si="489">IF(D70&lt;&gt;"-",F70,"-")</f>
        <v>-</v>
      </c>
      <c r="AI70" s="12" t="str">
        <f t="shared" ref="AI70:AI79" si="490">IF(D70&lt;&gt;"-",G70+F70-1,"-")</f>
        <v>-</v>
      </c>
      <c r="AJ70" s="12" t="str">
        <f t="shared" ref="AJ70:AJ79" si="491">IF(D70&lt;&gt;"-",G70,"-")</f>
        <v>-</v>
      </c>
      <c r="AK70" s="12" t="str">
        <f t="shared" ref="AK70:AK79" ca="1" si="492">IF(OR(AH70="-",AJ70="-"),AD70,(2^AH70-1)*2^AJ70)</f>
        <v>0x1016</v>
      </c>
      <c r="AL70" s="12" t="str">
        <f t="shared" ref="AL70:AL79" ca="1" si="493">IF(D70="-",B70,"-")</f>
        <v>CUST</v>
      </c>
      <c r="AM70" s="22">
        <f t="shared" si="462"/>
        <v>0</v>
      </c>
      <c r="AN70" s="12" t="str">
        <f t="shared" ref="AN70:AN79" ca="1" si="494">IF(OR(AH70="-",AJ70="-"),AD70,IF(AM70&lt;0,AM70+2^AH70,AM70)*2^AJ70)</f>
        <v>0x1016</v>
      </c>
      <c r="AO70" s="22" t="str">
        <f ca="1">IF(AF70="-",VLOOKUP(AD70,MemoryView!$A$3:$F$108,6,0),MID(VLOOKUP(AF70,MemoryView!$BD$3:$BE$108,2,0),15-AI70+1,AH70))</f>
        <v>000E</v>
      </c>
      <c r="AP70" s="22">
        <f t="shared" ref="AP70:AP79" ca="1" si="495">IF(AF70="-",HEX2DEC(AO70),IF(LEN(AO70)&gt;8,BIN2DEC(LEFT(AO70,LEN(AO70)-8))*2^8+BIN2DEC(RIGHT(AO70,8)),BIN2DEC(AO70)))</f>
        <v>14</v>
      </c>
      <c r="AQ70" s="53" t="str">
        <f t="shared" ref="AQ70:AQ79" si="496">IF(AG70&lt;&gt;"-",CONCATENATE("`EE_MNG.",AG70,".SET(",AM70,");        // [",K70,"..",L70,"]"),"-")</f>
        <v>-</v>
      </c>
      <c r="AR70" s="54" t="str">
        <f t="shared" ref="AR70:AR79" ca="1" si="497">IF(AND(AD70="-",AE70="-",AF70="-",AG70="-"),"-",IF(AG70&lt;&gt;"-",CONCATENATE("EE_MEM #(`PARAM(16'h",RIGHT(AF70,4),", ",G70,", ",F70,", ",H70,")) ",AG70,"(); bit ",IF(H70=0,"unsigned [","signed ["),F70,"-1:0] ", AG70,"_V; assign ",AG70,"_V = ",AG70,".GET;"), CONCATENATE("EE_MEM #(`PARAM(16'h",RIGHT(AD70,4),", ",G70,", ",F70,", ",H70,")) ",AE70,"(); bit ",IF(H70=0,"unsigned [","signed ["),F70,"-1:0] ", AE70,"_V; assign ",AE70,"_V = ",AE70,".GET;")))</f>
        <v>EE_MEM #(`PARAM(16'h1016, 0, 16, 0)) EE_TRIM5(); bit unsigned [16-1:0] EE_TRIM5_V; assign EE_TRIM5_V = EE_TRIM5.GET;</v>
      </c>
      <c r="AS70" s="12" t="str">
        <f t="shared" ref="AS70:AS79" ca="1" si="498">IF(AG70="-",AE70,INDIRECT(ADDRESS(ROW()-1,COLUMN())))</f>
        <v>EE_TRIM5</v>
      </c>
    </row>
    <row r="71" spans="2:45">
      <c r="B71" s="55" t="str">
        <f t="shared" ca="1" si="20"/>
        <v>CUST</v>
      </c>
      <c r="C71" s="55" t="s">
        <v>58</v>
      </c>
      <c r="D71" s="56" t="s">
        <v>622</v>
      </c>
      <c r="E71" s="57" t="str">
        <f t="shared" ca="1" si="328"/>
        <v>0x1016</v>
      </c>
      <c r="F71" s="57">
        <v>1</v>
      </c>
      <c r="G71" s="57">
        <v>15</v>
      </c>
      <c r="H71" s="57">
        <v>0</v>
      </c>
      <c r="I71" s="57" t="s">
        <v>68</v>
      </c>
      <c r="J71" s="50" t="str">
        <f t="shared" si="481"/>
        <v>[15:15]</v>
      </c>
      <c r="K71" s="50">
        <f t="shared" si="482"/>
        <v>0</v>
      </c>
      <c r="L71" s="50">
        <f t="shared" si="483"/>
        <v>1</v>
      </c>
      <c r="M71" s="58" t="s">
        <v>583</v>
      </c>
      <c r="N71" s="28"/>
      <c r="O71" s="57">
        <v>0</v>
      </c>
      <c r="P71" s="57">
        <f t="shared" ref="P71:P79" si="499">O71</f>
        <v>0</v>
      </c>
      <c r="Q71" s="57">
        <f t="shared" ref="Q71:Q79" si="500">O71</f>
        <v>0</v>
      </c>
      <c r="R71" s="57">
        <f t="shared" ref="R71:S79" si="501">O71</f>
        <v>0</v>
      </c>
      <c r="S71" s="163">
        <f t="shared" si="501"/>
        <v>0</v>
      </c>
      <c r="T71" s="163">
        <v>0</v>
      </c>
      <c r="U71" s="163">
        <f t="shared" ref="U71:U79" si="502">S71</f>
        <v>0</v>
      </c>
      <c r="V71" s="163">
        <f t="shared" si="327"/>
        <v>0</v>
      </c>
      <c r="W71" s="59"/>
      <c r="X71" s="57">
        <f t="shared" ca="1" si="484"/>
        <v>0</v>
      </c>
      <c r="Y71" s="32"/>
      <c r="AC71" s="12" t="b">
        <f t="shared" si="461"/>
        <v>1</v>
      </c>
      <c r="AD71" s="12" t="str">
        <f t="shared" si="485"/>
        <v>-</v>
      </c>
      <c r="AE71" s="12" t="str">
        <f t="shared" si="486"/>
        <v>-</v>
      </c>
      <c r="AF71" s="12" t="str">
        <f t="shared" ca="1" si="487"/>
        <v>0x1016</v>
      </c>
      <c r="AG71" s="12" t="str">
        <f t="shared" si="488"/>
        <v>TRIM5_RESERVED</v>
      </c>
      <c r="AH71" s="12">
        <f t="shared" si="489"/>
        <v>1</v>
      </c>
      <c r="AI71" s="12">
        <f t="shared" si="490"/>
        <v>15</v>
      </c>
      <c r="AJ71" s="12">
        <f t="shared" si="491"/>
        <v>15</v>
      </c>
      <c r="AK71" s="12">
        <f t="shared" si="492"/>
        <v>32768</v>
      </c>
      <c r="AL71" s="12" t="str">
        <f t="shared" si="493"/>
        <v>-</v>
      </c>
      <c r="AM71" s="22">
        <f t="shared" si="462"/>
        <v>0</v>
      </c>
      <c r="AN71" s="12">
        <f t="shared" si="494"/>
        <v>0</v>
      </c>
      <c r="AO71" s="22" t="str">
        <f ca="1">IF(AF71="-",VLOOKUP(AD71,MemoryView!$A$3:$F$108,6,0),MID(VLOOKUP(AF71,MemoryView!$BD$3:$BE$108,2,0),15-AI71+1,AH71))</f>
        <v>0</v>
      </c>
      <c r="AP71" s="22">
        <f t="shared" ca="1" si="495"/>
        <v>0</v>
      </c>
      <c r="AQ71" s="53" t="str">
        <f t="shared" si="496"/>
        <v>`EE_MNG.TRIM5_RESERVED.SET(0);        // [0..1]</v>
      </c>
      <c r="AR71" s="54" t="str">
        <f t="shared" ca="1" si="497"/>
        <v>EE_MEM #(`PARAM(16'h1016, 15, 1, 0)) TRIM5_RESERVED(); bit unsigned [1-1:0] TRIM5_RESERVED_V; assign TRIM5_RESERVED_V = TRIM5_RESERVED.GET;</v>
      </c>
      <c r="AS71" s="12" t="str">
        <f t="shared" ca="1" si="498"/>
        <v>EE_TRIM5</v>
      </c>
    </row>
    <row r="72" spans="2:45">
      <c r="B72" s="55" t="str">
        <f t="shared" ca="1" si="20"/>
        <v>CUST</v>
      </c>
      <c r="C72" s="55" t="s">
        <v>58</v>
      </c>
      <c r="D72" s="56" t="s">
        <v>544</v>
      </c>
      <c r="E72" s="57" t="str">
        <f t="shared" ca="1" si="328"/>
        <v>0x1016</v>
      </c>
      <c r="F72" s="57">
        <v>1</v>
      </c>
      <c r="G72" s="57">
        <v>14</v>
      </c>
      <c r="H72" s="57">
        <v>0</v>
      </c>
      <c r="I72" s="157" t="s">
        <v>68</v>
      </c>
      <c r="J72" s="50" t="str">
        <f t="shared" ref="J72" si="503">IF(D72&lt;&gt;"-","["&amp;AI72&amp;":"&amp;AJ72&amp;"]","-")</f>
        <v>[14:14]</v>
      </c>
      <c r="K72" s="50">
        <f t="shared" ref="K72" si="504">IF(H72,-L72-1,0)</f>
        <v>0</v>
      </c>
      <c r="L72" s="50">
        <f t="shared" ref="L72" si="505">IF(H72,FLOOR((2^F72-1)/2,1),2^F72-1)</f>
        <v>1</v>
      </c>
      <c r="M72" s="58" t="s">
        <v>545</v>
      </c>
      <c r="N72" s="28"/>
      <c r="O72" s="57">
        <v>0</v>
      </c>
      <c r="P72" s="57">
        <f t="shared" si="499"/>
        <v>0</v>
      </c>
      <c r="Q72" s="57">
        <f t="shared" si="500"/>
        <v>0</v>
      </c>
      <c r="R72" s="57">
        <f t="shared" si="501"/>
        <v>0</v>
      </c>
      <c r="S72" s="163">
        <f t="shared" si="501"/>
        <v>0</v>
      </c>
      <c r="T72" s="163">
        <v>0</v>
      </c>
      <c r="U72" s="163">
        <f t="shared" si="502"/>
        <v>0</v>
      </c>
      <c r="V72" s="163">
        <f t="shared" si="327"/>
        <v>0</v>
      </c>
      <c r="W72" s="59"/>
      <c r="X72" s="57">
        <f t="shared" ref="X72" ca="1" si="506">IF(H72=0,AP72,    IF(AP72&lt;=2^(F72-1)-1,AP72,AP72-2^F72)  )</f>
        <v>0</v>
      </c>
      <c r="Y72" s="32"/>
      <c r="AC72" s="12" t="b">
        <f t="shared" si="461"/>
        <v>1</v>
      </c>
      <c r="AD72" s="12" t="str">
        <f t="shared" ref="AD72" si="507">IF(AND(D72="-",C72&lt;&gt;"-"),E72,"-")</f>
        <v>-</v>
      </c>
      <c r="AE72" s="12" t="str">
        <f t="shared" ref="AE72" si="508">IF(D72="-",C72,"-")</f>
        <v>-</v>
      </c>
      <c r="AF72" s="12" t="str">
        <f t="shared" ref="AF72" ca="1" si="509">IF(AND(D72&lt;&gt;"-",ISTEXT(D72)),E72,"-")</f>
        <v>0x1016</v>
      </c>
      <c r="AG72" s="12" t="str">
        <f t="shared" ref="AG72" si="510">IF(AND(D72&lt;&gt;"-",ISTEXT(D72)),D72,"-")</f>
        <v>TRIGGER_DEB_DIS</v>
      </c>
      <c r="AH72" s="12">
        <f t="shared" ref="AH72" si="511">IF(D72&lt;&gt;"-",F72,"-")</f>
        <v>1</v>
      </c>
      <c r="AI72" s="12">
        <f t="shared" ref="AI72" si="512">IF(D72&lt;&gt;"-",G72+F72-1,"-")</f>
        <v>14</v>
      </c>
      <c r="AJ72" s="12">
        <f t="shared" ref="AJ72" si="513">IF(D72&lt;&gt;"-",G72,"-")</f>
        <v>14</v>
      </c>
      <c r="AK72" s="12">
        <f t="shared" ref="AK72" si="514">IF(OR(AH72="-",AJ72="-"),AD72,(2^AH72-1)*2^AJ72)</f>
        <v>16384</v>
      </c>
      <c r="AL72" s="12" t="str">
        <f t="shared" ref="AL72" si="515">IF(D72="-",B72,"-")</f>
        <v>-</v>
      </c>
      <c r="AM72" s="22">
        <f t="shared" si="462"/>
        <v>0</v>
      </c>
      <c r="AN72" s="12">
        <f t="shared" ref="AN72" si="516">IF(OR(AH72="-",AJ72="-"),AD72,IF(AM72&lt;0,AM72+2^AH72,AM72)*2^AJ72)</f>
        <v>0</v>
      </c>
      <c r="AO72" s="22" t="str">
        <f ca="1">IF(AF72="-",VLOOKUP(AD72,MemoryView!$A$3:$F$108,6,0),MID(VLOOKUP(AF72,MemoryView!$BD$3:$BE$108,2,0),15-AI72+1,AH72))</f>
        <v>0</v>
      </c>
      <c r="AP72" s="22">
        <f t="shared" ref="AP72" ca="1" si="517">IF(AF72="-",HEX2DEC(AO72),IF(LEN(AO72)&gt;8,BIN2DEC(LEFT(AO72,LEN(AO72)-8))*2^8+BIN2DEC(RIGHT(AO72,8)),BIN2DEC(AO72)))</f>
        <v>0</v>
      </c>
      <c r="AQ72" s="53" t="str">
        <f t="shared" ref="AQ72" si="518">IF(AG72&lt;&gt;"-",CONCATENATE("`EE_MNG.",AG72,".SET(",AM72,");        // [",K72,"..",L72,"]"),"-")</f>
        <v>`EE_MNG.TRIGGER_DEB_DIS.SET(0);        // [0..1]</v>
      </c>
      <c r="AR72" s="54" t="str">
        <f t="shared" ref="AR72" ca="1" si="519">IF(AND(AD72="-",AE72="-",AF72="-",AG72="-"),"-",IF(AG72&lt;&gt;"-",CONCATENATE("EE_MEM #(`PARAM(16'h",RIGHT(AF72,4),", ",G72,", ",F72,", ",H72,")) ",AG72,"(); bit ",IF(H72=0,"unsigned [","signed ["),F72,"-1:0] ", AG72,"_V; assign ",AG72,"_V = ",AG72,".GET;"), CONCATENATE("EE_MEM #(`PARAM(16'h",RIGHT(AD72,4),", ",G72,", ",F72,", ",H72,")) ",AE72,"(); bit ",IF(H72=0,"unsigned [","signed ["),F72,"-1:0] ", AE72,"_V; assign ",AE72,"_V = ",AE72,".GET;")))</f>
        <v>EE_MEM #(`PARAM(16'h1016, 14, 1, 0)) TRIGGER_DEB_DIS(); bit unsigned [1-1:0] TRIGGER_DEB_DIS_V; assign TRIGGER_DEB_DIS_V = TRIGGER_DEB_DIS.GET;</v>
      </c>
      <c r="AS72" s="12" t="str">
        <f t="shared" ref="AS72" ca="1" si="520">IF(AG72="-",AE72,INDIRECT(ADDRESS(ROW()-1,COLUMN())))</f>
        <v>EE_TRIM5</v>
      </c>
    </row>
    <row r="73" spans="2:45">
      <c r="B73" s="55" t="str">
        <f t="shared" ca="1" si="20"/>
        <v>CUST</v>
      </c>
      <c r="C73" s="55" t="s">
        <v>58</v>
      </c>
      <c r="D73" s="56" t="s">
        <v>536</v>
      </c>
      <c r="E73" s="57" t="str">
        <f t="shared" ca="1" si="328"/>
        <v>0x1016</v>
      </c>
      <c r="F73" s="57">
        <v>1</v>
      </c>
      <c r="G73" s="57">
        <v>13</v>
      </c>
      <c r="H73" s="57">
        <v>0</v>
      </c>
      <c r="I73" s="157" t="s">
        <v>68</v>
      </c>
      <c r="J73" s="50" t="str">
        <f t="shared" si="481"/>
        <v>[13:13]</v>
      </c>
      <c r="K73" s="50">
        <f t="shared" si="482"/>
        <v>0</v>
      </c>
      <c r="L73" s="50">
        <f t="shared" si="483"/>
        <v>1</v>
      </c>
      <c r="M73" s="58" t="s">
        <v>539</v>
      </c>
      <c r="N73" s="28"/>
      <c r="O73" s="57">
        <v>0</v>
      </c>
      <c r="P73" s="57">
        <f t="shared" si="499"/>
        <v>0</v>
      </c>
      <c r="Q73" s="57">
        <f t="shared" si="500"/>
        <v>0</v>
      </c>
      <c r="R73" s="57">
        <f t="shared" si="501"/>
        <v>0</v>
      </c>
      <c r="S73" s="163">
        <f t="shared" si="501"/>
        <v>0</v>
      </c>
      <c r="T73" s="163">
        <v>0</v>
      </c>
      <c r="U73" s="163">
        <f t="shared" si="502"/>
        <v>0</v>
      </c>
      <c r="V73" s="163">
        <f t="shared" si="327"/>
        <v>0</v>
      </c>
      <c r="W73" s="59"/>
      <c r="X73" s="57">
        <f t="shared" ca="1" si="484"/>
        <v>0</v>
      </c>
      <c r="Y73" s="32"/>
      <c r="AC73" s="12" t="b">
        <f t="shared" si="461"/>
        <v>1</v>
      </c>
      <c r="AD73" s="12" t="str">
        <f t="shared" si="485"/>
        <v>-</v>
      </c>
      <c r="AE73" s="12" t="str">
        <f t="shared" si="486"/>
        <v>-</v>
      </c>
      <c r="AF73" s="12" t="str">
        <f t="shared" ca="1" si="487"/>
        <v>0x1016</v>
      </c>
      <c r="AG73" s="12" t="str">
        <f t="shared" si="488"/>
        <v>INTER_OPENDR_FMPLUS_DIS</v>
      </c>
      <c r="AH73" s="12">
        <f t="shared" si="489"/>
        <v>1</v>
      </c>
      <c r="AI73" s="12">
        <f t="shared" si="490"/>
        <v>13</v>
      </c>
      <c r="AJ73" s="12">
        <f t="shared" si="491"/>
        <v>13</v>
      </c>
      <c r="AK73" s="12">
        <f t="shared" si="492"/>
        <v>8192</v>
      </c>
      <c r="AL73" s="12" t="str">
        <f t="shared" si="493"/>
        <v>-</v>
      </c>
      <c r="AM73" s="22">
        <f t="shared" si="462"/>
        <v>0</v>
      </c>
      <c r="AN73" s="12">
        <f t="shared" si="494"/>
        <v>0</v>
      </c>
      <c r="AO73" s="22" t="str">
        <f ca="1">IF(AF73="-",VLOOKUP(AD73,MemoryView!$A$3:$F$108,6,0),MID(VLOOKUP(AF73,MemoryView!$BD$3:$BE$108,2,0),15-AI73+1,AH73))</f>
        <v>0</v>
      </c>
      <c r="AP73" s="22">
        <f t="shared" ca="1" si="495"/>
        <v>0</v>
      </c>
      <c r="AQ73" s="53" t="str">
        <f t="shared" si="496"/>
        <v>`EE_MNG.INTER_OPENDR_FMPLUS_DIS.SET(0);        // [0..1]</v>
      </c>
      <c r="AR73" s="54" t="str">
        <f t="shared" ca="1" si="497"/>
        <v>EE_MEM #(`PARAM(16'h1016, 13, 1, 0)) INTER_OPENDR_FMPLUS_DIS(); bit unsigned [1-1:0] INTER_OPENDR_FMPLUS_DIS_V; assign INTER_OPENDR_FMPLUS_DIS_V = INTER_OPENDR_FMPLUS_DIS.GET;</v>
      </c>
      <c r="AS73" s="12" t="str">
        <f t="shared" ca="1" si="498"/>
        <v>EE_TRIM5</v>
      </c>
    </row>
    <row r="74" spans="2:45" ht="51">
      <c r="B74" s="55" t="str">
        <f t="shared" ca="1" si="20"/>
        <v>CUST</v>
      </c>
      <c r="C74" s="55" t="s">
        <v>58</v>
      </c>
      <c r="D74" s="56" t="s">
        <v>535</v>
      </c>
      <c r="E74" s="57" t="str">
        <f t="shared" ca="1" si="328"/>
        <v>0x1016</v>
      </c>
      <c r="F74" s="57">
        <v>3</v>
      </c>
      <c r="G74" s="57">
        <v>10</v>
      </c>
      <c r="H74" s="57">
        <v>0</v>
      </c>
      <c r="I74" s="157" t="s">
        <v>68</v>
      </c>
      <c r="J74" s="50" t="str">
        <f t="shared" si="481"/>
        <v>[12:10]</v>
      </c>
      <c r="K74" s="50">
        <f t="shared" si="482"/>
        <v>0</v>
      </c>
      <c r="L74" s="50">
        <f t="shared" si="483"/>
        <v>7</v>
      </c>
      <c r="M74" s="58" t="s">
        <v>752</v>
      </c>
      <c r="N74" s="28"/>
      <c r="O74" s="57">
        <v>0</v>
      </c>
      <c r="P74" s="57">
        <f t="shared" si="499"/>
        <v>0</v>
      </c>
      <c r="Q74" s="57">
        <f t="shared" si="500"/>
        <v>0</v>
      </c>
      <c r="R74" s="57">
        <f t="shared" si="501"/>
        <v>0</v>
      </c>
      <c r="S74" s="163">
        <f t="shared" si="501"/>
        <v>0</v>
      </c>
      <c r="T74" s="163">
        <v>0</v>
      </c>
      <c r="U74" s="163">
        <f t="shared" si="502"/>
        <v>0</v>
      </c>
      <c r="V74" s="163">
        <f t="shared" si="327"/>
        <v>0</v>
      </c>
      <c r="W74" s="59"/>
      <c r="X74" s="57">
        <f t="shared" ca="1" si="484"/>
        <v>0</v>
      </c>
      <c r="Y74" s="32"/>
      <c r="AC74" s="12" t="b">
        <f t="shared" si="461"/>
        <v>1</v>
      </c>
      <c r="AD74" s="12" t="str">
        <f t="shared" si="485"/>
        <v>-</v>
      </c>
      <c r="AE74" s="12" t="str">
        <f t="shared" si="486"/>
        <v>-</v>
      </c>
      <c r="AF74" s="12" t="str">
        <f t="shared" ca="1" si="487"/>
        <v>0x1016</v>
      </c>
      <c r="AG74" s="12" t="str">
        <f t="shared" si="488"/>
        <v>TRIM_SPI_SLOPE</v>
      </c>
      <c r="AH74" s="12">
        <f t="shared" si="489"/>
        <v>3</v>
      </c>
      <c r="AI74" s="12">
        <f t="shared" si="490"/>
        <v>12</v>
      </c>
      <c r="AJ74" s="12">
        <f t="shared" si="491"/>
        <v>10</v>
      </c>
      <c r="AK74" s="12">
        <f t="shared" si="492"/>
        <v>7168</v>
      </c>
      <c r="AL74" s="12" t="str">
        <f t="shared" si="493"/>
        <v>-</v>
      </c>
      <c r="AM74" s="22">
        <f t="shared" si="462"/>
        <v>0</v>
      </c>
      <c r="AN74" s="12">
        <f t="shared" si="494"/>
        <v>0</v>
      </c>
      <c r="AO74" s="22" t="str">
        <f ca="1">IF(AF74="-",VLOOKUP(AD74,MemoryView!$A$3:$F$108,6,0),MID(VLOOKUP(AF74,MemoryView!$BD$3:$BE$108,2,0),15-AI74+1,AH74))</f>
        <v>000</v>
      </c>
      <c r="AP74" s="22">
        <f t="shared" ca="1" si="495"/>
        <v>0</v>
      </c>
      <c r="AQ74" s="53" t="str">
        <f t="shared" si="496"/>
        <v>`EE_MNG.TRIM_SPI_SLOPE.SET(0);        // [0..7]</v>
      </c>
      <c r="AR74" s="54" t="str">
        <f t="shared" ca="1" si="497"/>
        <v>EE_MEM #(`PARAM(16'h1016, 10, 3, 0)) TRIM_SPI_SLOPE(); bit unsigned [3-1:0] TRIM_SPI_SLOPE_V; assign TRIM_SPI_SLOPE_V = TRIM_SPI_SLOPE.GET;</v>
      </c>
      <c r="AS74" s="12" t="str">
        <f t="shared" ca="1" si="498"/>
        <v>EE_TRIM5</v>
      </c>
    </row>
    <row r="75" spans="2:45">
      <c r="B75" s="55" t="str">
        <f t="shared" ca="1" si="20"/>
        <v>CUST</v>
      </c>
      <c r="C75" s="55" t="s">
        <v>58</v>
      </c>
      <c r="D75" s="56" t="s">
        <v>617</v>
      </c>
      <c r="E75" s="57" t="str">
        <f t="shared" ca="1" si="328"/>
        <v>0x1016</v>
      </c>
      <c r="F75" s="57">
        <v>4</v>
      </c>
      <c r="G75" s="57">
        <v>6</v>
      </c>
      <c r="H75" s="57">
        <v>0</v>
      </c>
      <c r="I75" s="157" t="s">
        <v>68</v>
      </c>
      <c r="J75" s="50" t="str">
        <f t="shared" ref="J75" si="521">IF(D75&lt;&gt;"-","["&amp;AI75&amp;":"&amp;AJ75&amp;"]","-")</f>
        <v>[9:6]</v>
      </c>
      <c r="K75" s="50">
        <f t="shared" ref="K75" si="522">IF(H75,-L75-1,0)</f>
        <v>0</v>
      </c>
      <c r="L75" s="50">
        <f t="shared" ref="L75" si="523">IF(H75,FLOOR((2^F75-1)/2,1),2^F75-1)</f>
        <v>15</v>
      </c>
      <c r="M75" s="58" t="s">
        <v>618</v>
      </c>
      <c r="N75" s="28"/>
      <c r="O75" s="57">
        <v>0</v>
      </c>
      <c r="P75" s="57">
        <f t="shared" si="499"/>
        <v>0</v>
      </c>
      <c r="Q75" s="57">
        <f t="shared" si="500"/>
        <v>0</v>
      </c>
      <c r="R75" s="57">
        <f t="shared" si="501"/>
        <v>0</v>
      </c>
      <c r="S75" s="163">
        <f t="shared" si="501"/>
        <v>0</v>
      </c>
      <c r="T75" s="163">
        <v>0</v>
      </c>
      <c r="U75" s="163">
        <f t="shared" si="502"/>
        <v>0</v>
      </c>
      <c r="V75" s="163">
        <f t="shared" si="327"/>
        <v>0</v>
      </c>
      <c r="W75" s="59"/>
      <c r="X75" s="57">
        <f t="shared" ref="X75" ca="1" si="524">IF(H75=0,AP75,    IF(AP75&lt;=2^(F75-1)-1,AP75,AP75-2^F75)  )</f>
        <v>0</v>
      </c>
      <c r="Y75" s="32"/>
      <c r="AC75" s="12" t="b">
        <f t="shared" si="461"/>
        <v>1</v>
      </c>
      <c r="AD75" s="12" t="str">
        <f t="shared" ref="AD75" si="525">IF(AND(D75="-",C75&lt;&gt;"-"),E75,"-")</f>
        <v>-</v>
      </c>
      <c r="AE75" s="12" t="str">
        <f t="shared" ref="AE75" si="526">IF(D75="-",C75,"-")</f>
        <v>-</v>
      </c>
      <c r="AF75" s="12" t="str">
        <f t="shared" ref="AF75" ca="1" si="527">IF(AND(D75&lt;&gt;"-",ISTEXT(D75)),E75,"-")</f>
        <v>0x1016</v>
      </c>
      <c r="AG75" s="12" t="str">
        <f t="shared" ref="AG75" si="528">IF(AND(D75&lt;&gt;"-",ISTEXT(D75)),D75,"-")</f>
        <v>I2C_ST_FILT</v>
      </c>
      <c r="AH75" s="12">
        <f t="shared" ref="AH75" si="529">IF(D75&lt;&gt;"-",F75,"-")</f>
        <v>4</v>
      </c>
      <c r="AI75" s="12">
        <f t="shared" ref="AI75" si="530">IF(D75&lt;&gt;"-",G75+F75-1,"-")</f>
        <v>9</v>
      </c>
      <c r="AJ75" s="12">
        <f t="shared" ref="AJ75" si="531">IF(D75&lt;&gt;"-",G75,"-")</f>
        <v>6</v>
      </c>
      <c r="AK75" s="12">
        <f t="shared" ref="AK75" si="532">IF(OR(AH75="-",AJ75="-"),AD75,(2^AH75-1)*2^AJ75)</f>
        <v>960</v>
      </c>
      <c r="AL75" s="12" t="str">
        <f t="shared" ref="AL75" si="533">IF(D75="-",B75,"-")</f>
        <v>-</v>
      </c>
      <c r="AM75" s="22">
        <f t="shared" si="462"/>
        <v>0</v>
      </c>
      <c r="AN75" s="12">
        <f t="shared" ref="AN75" si="534">IF(OR(AH75="-",AJ75="-"),AD75,IF(AM75&lt;0,AM75+2^AH75,AM75)*2^AJ75)</f>
        <v>0</v>
      </c>
      <c r="AO75" s="22" t="str">
        <f ca="1">IF(AF75="-",VLOOKUP(AD75,MemoryView!$A$3:$F$108,6,0),MID(VLOOKUP(AF75,MemoryView!$BD$3:$BE$108,2,0),15-AI75+1,AH75))</f>
        <v>0000</v>
      </c>
      <c r="AP75" s="22">
        <f t="shared" ref="AP75" ca="1" si="535">IF(AF75="-",HEX2DEC(AO75),IF(LEN(AO75)&gt;8,BIN2DEC(LEFT(AO75,LEN(AO75)-8))*2^8+BIN2DEC(RIGHT(AO75,8)),BIN2DEC(AO75)))</f>
        <v>0</v>
      </c>
      <c r="AQ75" s="53" t="str">
        <f t="shared" ref="AQ75" si="536">IF(AG75&lt;&gt;"-",CONCATENATE("`EE_MNG.",AG75,".SET(",AM75,");        // [",K75,"..",L75,"]"),"-")</f>
        <v>`EE_MNG.I2C_ST_FILT.SET(0);        // [0..15]</v>
      </c>
      <c r="AR75" s="54" t="str">
        <f t="shared" ref="AR75" ca="1" si="537">IF(AND(AD75="-",AE75="-",AF75="-",AG75="-"),"-",IF(AG75&lt;&gt;"-",CONCATENATE("EE_MEM #(`PARAM(16'h",RIGHT(AF75,4),", ",G75,", ",F75,", ",H75,")) ",AG75,"(); bit ",IF(H75=0,"unsigned [","signed ["),F75,"-1:0] ", AG75,"_V; assign ",AG75,"_V = ",AG75,".GET;"), CONCATENATE("EE_MEM #(`PARAM(16'h",RIGHT(AD75,4),", ",G75,", ",F75,", ",H75,")) ",AE75,"(); bit ",IF(H75=0,"unsigned [","signed ["),F75,"-1:0] ", AE75,"_V; assign ",AE75,"_V = ",AE75,".GET;")))</f>
        <v>EE_MEM #(`PARAM(16'h1016, 6, 4, 0)) I2C_ST_FILT(); bit unsigned [4-1:0] I2C_ST_FILT_V; assign I2C_ST_FILT_V = I2C_ST_FILT.GET;</v>
      </c>
      <c r="AS75" s="12" t="str">
        <f t="shared" ref="AS75" ca="1" si="538">IF(AG75="-",AE75,INDIRECT(ADDRESS(ROW()-1,COLUMN())))</f>
        <v>EE_TRIM5</v>
      </c>
    </row>
    <row r="76" spans="2:45">
      <c r="B76" s="55" t="str">
        <f t="shared" ca="1" si="20"/>
        <v>CUST</v>
      </c>
      <c r="C76" s="55" t="s">
        <v>58</v>
      </c>
      <c r="D76" s="56" t="s">
        <v>532</v>
      </c>
      <c r="E76" s="57" t="str">
        <f t="shared" ca="1" si="328"/>
        <v>0x1016</v>
      </c>
      <c r="F76" s="57">
        <v>1</v>
      </c>
      <c r="G76" s="57">
        <v>5</v>
      </c>
      <c r="H76" s="57">
        <v>0</v>
      </c>
      <c r="I76" s="157" t="s">
        <v>68</v>
      </c>
      <c r="J76" s="50" t="str">
        <f t="shared" si="481"/>
        <v>[5:5]</v>
      </c>
      <c r="K76" s="50">
        <f t="shared" si="482"/>
        <v>0</v>
      </c>
      <c r="L76" s="50">
        <f t="shared" si="483"/>
        <v>1</v>
      </c>
      <c r="M76" s="58" t="s">
        <v>533</v>
      </c>
      <c r="N76" s="28"/>
      <c r="O76" s="57">
        <v>0</v>
      </c>
      <c r="P76" s="57">
        <f t="shared" si="499"/>
        <v>0</v>
      </c>
      <c r="Q76" s="57">
        <f t="shared" si="500"/>
        <v>0</v>
      </c>
      <c r="R76" s="57">
        <f t="shared" si="501"/>
        <v>0</v>
      </c>
      <c r="S76" s="163">
        <f t="shared" si="501"/>
        <v>0</v>
      </c>
      <c r="T76" s="163">
        <v>0</v>
      </c>
      <c r="U76" s="163">
        <f t="shared" si="502"/>
        <v>0</v>
      </c>
      <c r="V76" s="163">
        <f t="shared" si="327"/>
        <v>0</v>
      </c>
      <c r="W76" s="59"/>
      <c r="X76" s="57">
        <f t="shared" ca="1" si="484"/>
        <v>0</v>
      </c>
      <c r="Y76" s="32"/>
      <c r="AC76" s="12" t="b">
        <f t="shared" si="461"/>
        <v>1</v>
      </c>
      <c r="AD76" s="12" t="str">
        <f t="shared" si="485"/>
        <v>-</v>
      </c>
      <c r="AE76" s="12" t="str">
        <f t="shared" si="486"/>
        <v>-</v>
      </c>
      <c r="AF76" s="12" t="str">
        <f t="shared" ca="1" si="487"/>
        <v>0x1016</v>
      </c>
      <c r="AG76" s="12" t="str">
        <f t="shared" si="488"/>
        <v>I2C_FMPLUS_DISABLE</v>
      </c>
      <c r="AH76" s="12">
        <f t="shared" si="489"/>
        <v>1</v>
      </c>
      <c r="AI76" s="12">
        <f t="shared" si="490"/>
        <v>5</v>
      </c>
      <c r="AJ76" s="12">
        <f t="shared" si="491"/>
        <v>5</v>
      </c>
      <c r="AK76" s="12">
        <f t="shared" si="492"/>
        <v>32</v>
      </c>
      <c r="AL76" s="12" t="str">
        <f t="shared" si="493"/>
        <v>-</v>
      </c>
      <c r="AM76" s="22">
        <f t="shared" si="462"/>
        <v>0</v>
      </c>
      <c r="AN76" s="12">
        <f t="shared" si="494"/>
        <v>0</v>
      </c>
      <c r="AO76" s="22" t="str">
        <f ca="1">IF(AF76="-",VLOOKUP(AD76,MemoryView!$A$3:$F$108,6,0),MID(VLOOKUP(AF76,MemoryView!$BD$3:$BE$108,2,0),15-AI76+1,AH76))</f>
        <v>0</v>
      </c>
      <c r="AP76" s="22">
        <f t="shared" ca="1" si="495"/>
        <v>0</v>
      </c>
      <c r="AQ76" s="53" t="str">
        <f t="shared" si="496"/>
        <v>`EE_MNG.I2C_FMPLUS_DISABLE.SET(0);        // [0..1]</v>
      </c>
      <c r="AR76" s="54" t="str">
        <f t="shared" ca="1" si="497"/>
        <v>EE_MEM #(`PARAM(16'h1016, 5, 1, 0)) I2C_FMPLUS_DISABLE(); bit unsigned [1-1:0] I2C_FMPLUS_DISABLE_V; assign I2C_FMPLUS_DISABLE_V = I2C_FMPLUS_DISABLE.GET;</v>
      </c>
      <c r="AS76" s="12" t="str">
        <f t="shared" ca="1" si="498"/>
        <v>EE_TRIM5</v>
      </c>
    </row>
    <row r="77" spans="2:45">
      <c r="B77" s="55" t="str">
        <f t="shared" ca="1" si="20"/>
        <v>CUST</v>
      </c>
      <c r="C77" s="55" t="s">
        <v>58</v>
      </c>
      <c r="D77" s="56" t="s">
        <v>530</v>
      </c>
      <c r="E77" s="57" t="str">
        <f t="shared" ca="1" si="328"/>
        <v>0x1016</v>
      </c>
      <c r="F77" s="57">
        <v>1</v>
      </c>
      <c r="G77" s="57">
        <v>4</v>
      </c>
      <c r="H77" s="57">
        <v>0</v>
      </c>
      <c r="I77" s="157" t="s">
        <v>68</v>
      </c>
      <c r="J77" s="50" t="str">
        <f t="shared" si="481"/>
        <v>[4:4]</v>
      </c>
      <c r="K77" s="50">
        <f t="shared" si="482"/>
        <v>0</v>
      </c>
      <c r="L77" s="50">
        <f t="shared" si="483"/>
        <v>1</v>
      </c>
      <c r="M77" s="58" t="s">
        <v>531</v>
      </c>
      <c r="N77" s="28"/>
      <c r="O77" s="57">
        <v>0</v>
      </c>
      <c r="P77" s="57">
        <f t="shared" si="499"/>
        <v>0</v>
      </c>
      <c r="Q77" s="57">
        <f t="shared" si="500"/>
        <v>0</v>
      </c>
      <c r="R77" s="57">
        <f t="shared" si="501"/>
        <v>0</v>
      </c>
      <c r="S77" s="163">
        <f t="shared" si="501"/>
        <v>0</v>
      </c>
      <c r="T77" s="163">
        <v>0</v>
      </c>
      <c r="U77" s="163">
        <f t="shared" si="502"/>
        <v>0</v>
      </c>
      <c r="V77" s="163">
        <f t="shared" si="327"/>
        <v>0</v>
      </c>
      <c r="W77" s="59"/>
      <c r="X77" s="57">
        <f t="shared" ca="1" si="484"/>
        <v>0</v>
      </c>
      <c r="Y77" s="32"/>
      <c r="AC77" s="12" t="b">
        <f t="shared" si="461"/>
        <v>1</v>
      </c>
      <c r="AD77" s="12" t="str">
        <f t="shared" si="485"/>
        <v>-</v>
      </c>
      <c r="AE77" s="12" t="str">
        <f t="shared" si="486"/>
        <v>-</v>
      </c>
      <c r="AF77" s="12" t="str">
        <f t="shared" ca="1" si="487"/>
        <v>0x1016</v>
      </c>
      <c r="AG77" s="12" t="str">
        <f t="shared" si="488"/>
        <v>I2C_DEBOUNCE_DISABLE</v>
      </c>
      <c r="AH77" s="12">
        <f t="shared" si="489"/>
        <v>1</v>
      </c>
      <c r="AI77" s="12">
        <f t="shared" si="490"/>
        <v>4</v>
      </c>
      <c r="AJ77" s="12">
        <f t="shared" si="491"/>
        <v>4</v>
      </c>
      <c r="AK77" s="12">
        <f t="shared" si="492"/>
        <v>16</v>
      </c>
      <c r="AL77" s="12" t="str">
        <f t="shared" si="493"/>
        <v>-</v>
      </c>
      <c r="AM77" s="22">
        <f t="shared" si="462"/>
        <v>0</v>
      </c>
      <c r="AN77" s="12">
        <f t="shared" si="494"/>
        <v>0</v>
      </c>
      <c r="AO77" s="22" t="str">
        <f ca="1">IF(AF77="-",VLOOKUP(AD77,MemoryView!$A$3:$F$108,6,0),MID(VLOOKUP(AF77,MemoryView!$BD$3:$BE$108,2,0),15-AI77+1,AH77))</f>
        <v>0</v>
      </c>
      <c r="AP77" s="22">
        <f t="shared" ca="1" si="495"/>
        <v>0</v>
      </c>
      <c r="AQ77" s="53" t="str">
        <f t="shared" si="496"/>
        <v>`EE_MNG.I2C_DEBOUNCE_DISABLE.SET(0);        // [0..1]</v>
      </c>
      <c r="AR77" s="54" t="str">
        <f t="shared" ca="1" si="497"/>
        <v>EE_MEM #(`PARAM(16'h1016, 4, 1, 0)) I2C_DEBOUNCE_DISABLE(); bit unsigned [1-1:0] I2C_DEBOUNCE_DISABLE_V; assign I2C_DEBOUNCE_DISABLE_V = I2C_DEBOUNCE_DISABLE.GET;</v>
      </c>
      <c r="AS77" s="12" t="str">
        <f t="shared" ca="1" si="498"/>
        <v>EE_TRIM5</v>
      </c>
    </row>
    <row r="78" spans="2:45" ht="38.25">
      <c r="B78" s="55" t="str">
        <f t="shared" ca="1" si="20"/>
        <v>CUST</v>
      </c>
      <c r="C78" s="55" t="s">
        <v>58</v>
      </c>
      <c r="D78" s="56" t="s">
        <v>529</v>
      </c>
      <c r="E78" s="57" t="str">
        <f t="shared" ca="1" si="328"/>
        <v>0x1016</v>
      </c>
      <c r="F78" s="57">
        <v>3</v>
      </c>
      <c r="G78" s="57">
        <v>1</v>
      </c>
      <c r="H78" s="57">
        <v>0</v>
      </c>
      <c r="I78" s="157" t="s">
        <v>68</v>
      </c>
      <c r="J78" s="50" t="str">
        <f t="shared" si="481"/>
        <v>[3:1]</v>
      </c>
      <c r="K78" s="50">
        <f t="shared" si="482"/>
        <v>0</v>
      </c>
      <c r="L78" s="50">
        <f t="shared" si="483"/>
        <v>7</v>
      </c>
      <c r="M78" s="58" t="s">
        <v>753</v>
      </c>
      <c r="N78" s="28"/>
      <c r="O78" s="57">
        <v>7</v>
      </c>
      <c r="P78" s="57">
        <f t="shared" si="499"/>
        <v>7</v>
      </c>
      <c r="Q78" s="57">
        <f t="shared" si="500"/>
        <v>7</v>
      </c>
      <c r="R78" s="57">
        <f t="shared" si="501"/>
        <v>7</v>
      </c>
      <c r="S78" s="163">
        <f t="shared" si="501"/>
        <v>7</v>
      </c>
      <c r="T78" s="163">
        <v>7</v>
      </c>
      <c r="U78" s="163">
        <f t="shared" si="502"/>
        <v>7</v>
      </c>
      <c r="V78" s="163">
        <f t="shared" si="327"/>
        <v>7</v>
      </c>
      <c r="W78" s="59"/>
      <c r="X78" s="57">
        <f t="shared" ca="1" si="484"/>
        <v>7</v>
      </c>
      <c r="Y78" s="32"/>
      <c r="AC78" s="12" t="b">
        <f t="shared" si="461"/>
        <v>1</v>
      </c>
      <c r="AD78" s="12" t="str">
        <f t="shared" si="485"/>
        <v>-</v>
      </c>
      <c r="AE78" s="12" t="str">
        <f t="shared" si="486"/>
        <v>-</v>
      </c>
      <c r="AF78" s="12" t="str">
        <f t="shared" ca="1" si="487"/>
        <v>0x1016</v>
      </c>
      <c r="AG78" s="12" t="str">
        <f t="shared" si="488"/>
        <v>TRIM_I2C_SLOPE</v>
      </c>
      <c r="AH78" s="12">
        <f t="shared" si="489"/>
        <v>3</v>
      </c>
      <c r="AI78" s="12">
        <f t="shared" si="490"/>
        <v>3</v>
      </c>
      <c r="AJ78" s="12">
        <f t="shared" si="491"/>
        <v>1</v>
      </c>
      <c r="AK78" s="12">
        <f t="shared" si="492"/>
        <v>14</v>
      </c>
      <c r="AL78" s="12" t="str">
        <f t="shared" si="493"/>
        <v>-</v>
      </c>
      <c r="AM78" s="22">
        <f t="shared" si="462"/>
        <v>7</v>
      </c>
      <c r="AN78" s="12">
        <f t="shared" si="494"/>
        <v>14</v>
      </c>
      <c r="AO78" s="22" t="str">
        <f ca="1">IF(AF78="-",VLOOKUP(AD78,MemoryView!$A$3:$F$108,6,0),MID(VLOOKUP(AF78,MemoryView!$BD$3:$BE$108,2,0),15-AI78+1,AH78))</f>
        <v>111</v>
      </c>
      <c r="AP78" s="22">
        <f t="shared" ca="1" si="495"/>
        <v>7</v>
      </c>
      <c r="AQ78" s="53" t="str">
        <f t="shared" si="496"/>
        <v>`EE_MNG.TRIM_I2C_SLOPE.SET(7);        // [0..7]</v>
      </c>
      <c r="AR78" s="54" t="str">
        <f t="shared" ca="1" si="497"/>
        <v>EE_MEM #(`PARAM(16'h1016, 1, 3, 0)) TRIM_I2C_SLOPE(); bit unsigned [3-1:0] TRIM_I2C_SLOPE_V; assign TRIM_I2C_SLOPE_V = TRIM_I2C_SLOPE.GET;</v>
      </c>
      <c r="AS78" s="12" t="str">
        <f t="shared" ca="1" si="498"/>
        <v>EE_TRIM5</v>
      </c>
    </row>
    <row r="79" spans="2:45" ht="38.25">
      <c r="B79" s="55" t="str">
        <f t="shared" ca="1" si="20"/>
        <v>CUST</v>
      </c>
      <c r="C79" s="55" t="s">
        <v>58</v>
      </c>
      <c r="D79" s="56" t="s">
        <v>528</v>
      </c>
      <c r="E79" s="57" t="str">
        <f t="shared" ca="1" si="328"/>
        <v>0x1016</v>
      </c>
      <c r="F79" s="57">
        <v>1</v>
      </c>
      <c r="G79" s="57">
        <v>0</v>
      </c>
      <c r="H79" s="57">
        <v>0</v>
      </c>
      <c r="I79" s="157" t="s">
        <v>68</v>
      </c>
      <c r="J79" s="50" t="str">
        <f t="shared" si="481"/>
        <v>[0:0]</v>
      </c>
      <c r="K79" s="50">
        <f t="shared" si="482"/>
        <v>0</v>
      </c>
      <c r="L79" s="50">
        <f t="shared" si="483"/>
        <v>1</v>
      </c>
      <c r="M79" s="58" t="s">
        <v>546</v>
      </c>
      <c r="N79" s="28"/>
      <c r="O79" s="57">
        <v>0</v>
      </c>
      <c r="P79" s="57">
        <f t="shared" si="499"/>
        <v>0</v>
      </c>
      <c r="Q79" s="57">
        <f t="shared" si="500"/>
        <v>0</v>
      </c>
      <c r="R79" s="57">
        <f t="shared" si="501"/>
        <v>0</v>
      </c>
      <c r="S79" s="163">
        <f t="shared" si="501"/>
        <v>0</v>
      </c>
      <c r="T79" s="163">
        <v>0</v>
      </c>
      <c r="U79" s="163">
        <f t="shared" si="502"/>
        <v>0</v>
      </c>
      <c r="V79" s="163">
        <f t="shared" si="327"/>
        <v>0</v>
      </c>
      <c r="W79" s="59"/>
      <c r="X79" s="57">
        <f t="shared" ca="1" si="484"/>
        <v>0</v>
      </c>
      <c r="Y79" s="32"/>
      <c r="AC79" s="12" t="b">
        <f t="shared" si="461"/>
        <v>1</v>
      </c>
      <c r="AD79" s="12" t="str">
        <f t="shared" si="485"/>
        <v>-</v>
      </c>
      <c r="AE79" s="12" t="str">
        <f t="shared" si="486"/>
        <v>-</v>
      </c>
      <c r="AF79" s="12" t="str">
        <f t="shared" ca="1" si="487"/>
        <v>0x1016</v>
      </c>
      <c r="AG79" s="12" t="str">
        <f t="shared" si="488"/>
        <v>ENABLE_I2C_5VMODE</v>
      </c>
      <c r="AH79" s="12">
        <f t="shared" si="489"/>
        <v>1</v>
      </c>
      <c r="AI79" s="12">
        <f t="shared" si="490"/>
        <v>0</v>
      </c>
      <c r="AJ79" s="12">
        <f t="shared" si="491"/>
        <v>0</v>
      </c>
      <c r="AK79" s="12">
        <f t="shared" si="492"/>
        <v>1</v>
      </c>
      <c r="AL79" s="12" t="str">
        <f t="shared" si="493"/>
        <v>-</v>
      </c>
      <c r="AM79" s="22">
        <f t="shared" si="462"/>
        <v>0</v>
      </c>
      <c r="AN79" s="12">
        <f t="shared" si="494"/>
        <v>0</v>
      </c>
      <c r="AO79" s="22" t="str">
        <f ca="1">IF(AF79="-",VLOOKUP(AD79,MemoryView!$A$3:$F$108,6,0),MID(VLOOKUP(AF79,MemoryView!$BD$3:$BE$108,2,0),15-AI79+1,AH79))</f>
        <v>0</v>
      </c>
      <c r="AP79" s="22">
        <f t="shared" ca="1" si="495"/>
        <v>0</v>
      </c>
      <c r="AQ79" s="53" t="str">
        <f t="shared" si="496"/>
        <v>`EE_MNG.ENABLE_I2C_5VMODE.SET(0);        // [0..1]</v>
      </c>
      <c r="AR79" s="54" t="str">
        <f t="shared" ca="1" si="497"/>
        <v>EE_MEM #(`PARAM(16'h1016, 0, 1, 0)) ENABLE_I2C_5VMODE(); bit unsigned [1-1:0] ENABLE_I2C_5VMODE_V; assign ENABLE_I2C_5VMODE_V = ENABLE_I2C_5VMODE.GET;</v>
      </c>
      <c r="AS79" s="12" t="str">
        <f t="shared" ca="1" si="498"/>
        <v>EE_TRIM5</v>
      </c>
    </row>
    <row r="80" spans="2:45">
      <c r="B80" s="47" t="str">
        <f t="shared" ca="1" si="20"/>
        <v>CUST</v>
      </c>
      <c r="C80" s="47" t="s">
        <v>496</v>
      </c>
      <c r="D80" s="48" t="s">
        <v>58</v>
      </c>
      <c r="E80" s="60" t="str">
        <f ca="1">"0x"&amp;DEC2HEX(HEX2DEC(RIGHT(INDIRECT(ADDRESS(ROW()-1,COLUMN())),4))+2,4)</f>
        <v>0x1018</v>
      </c>
      <c r="F80" s="49">
        <v>16</v>
      </c>
      <c r="G80" s="49">
        <v>0</v>
      </c>
      <c r="H80" s="49">
        <v>1</v>
      </c>
      <c r="I80" s="49" t="s">
        <v>58</v>
      </c>
      <c r="J80" s="50" t="str">
        <f t="shared" ref="J80:J82" si="539">IF(D80&lt;&gt;"-","["&amp;AI80&amp;":"&amp;AJ80&amp;"]","-")</f>
        <v>-</v>
      </c>
      <c r="K80" s="50">
        <f t="shared" ref="K80:K82" si="540">IF(H80,-L80-1,0)</f>
        <v>-32768</v>
      </c>
      <c r="L80" s="50">
        <f t="shared" ref="L80:L82" si="541">IF(H80,FLOOR((2^F80-1)/2,1),2^F80-1)</f>
        <v>32767</v>
      </c>
      <c r="M80" s="51" t="s">
        <v>497</v>
      </c>
      <c r="N80" s="28"/>
      <c r="O80" s="52"/>
      <c r="P80" s="52"/>
      <c r="Q80" s="52"/>
      <c r="R80" s="52"/>
      <c r="S80" s="140"/>
      <c r="T80" s="165"/>
      <c r="U80" s="165"/>
      <c r="V80" s="165"/>
      <c r="W80" s="28"/>
      <c r="X80" s="52">
        <f t="shared" ref="X80:X82" ca="1" si="542">IF(H80=0,AP80,    IF(AP80&lt;=2^(F80-1)-1,AP80,AP80-2^F80)  )</f>
        <v>-14350</v>
      </c>
      <c r="Y80" s="32"/>
      <c r="AC80" s="12">
        <f t="shared" si="461"/>
        <v>1</v>
      </c>
      <c r="AD80" s="12" t="str">
        <f t="shared" ref="AD80:AD82" ca="1" si="543">IF(AND(D80="-",C80&lt;&gt;"-"),E80,"-")</f>
        <v>0x1018</v>
      </c>
      <c r="AE80" s="12" t="str">
        <f t="shared" ref="AE80:AE82" si="544">IF(D80="-",C80,"-")</f>
        <v>EE_VSUP_CTRL</v>
      </c>
      <c r="AF80" s="12" t="str">
        <f t="shared" ref="AF80:AF82" si="545">IF(AND(D80&lt;&gt;"-",ISTEXT(D80)),E80,"-")</f>
        <v>-</v>
      </c>
      <c r="AG80" s="12" t="str">
        <f t="shared" ref="AG80:AG82" si="546">IF(AND(D80&lt;&gt;"-",ISTEXT(D80)),D80,"-")</f>
        <v>-</v>
      </c>
      <c r="AH80" s="12" t="str">
        <f t="shared" ref="AH80:AH82" si="547">IF(D80&lt;&gt;"-",F80,"-")</f>
        <v>-</v>
      </c>
      <c r="AI80" s="12" t="str">
        <f t="shared" ref="AI80:AI82" si="548">IF(D80&lt;&gt;"-",G80+F80-1,"-")</f>
        <v>-</v>
      </c>
      <c r="AJ80" s="12" t="str">
        <f t="shared" ref="AJ80:AJ82" si="549">IF(D80&lt;&gt;"-",G80,"-")</f>
        <v>-</v>
      </c>
      <c r="AK80" s="12" t="str">
        <f t="shared" ref="AK80:AK82" ca="1" si="550">IF(OR(AH80="-",AJ80="-"),AD80,(2^AH80-1)*2^AJ80)</f>
        <v>0x1018</v>
      </c>
      <c r="AL80" s="12" t="str">
        <f t="shared" ref="AL80:AL82" ca="1" si="551">IF(D80="-",B80,"-")</f>
        <v>CUST</v>
      </c>
      <c r="AM80" s="22">
        <f t="shared" si="462"/>
        <v>0</v>
      </c>
      <c r="AN80" s="12" t="str">
        <f t="shared" ref="AN80:AN82" ca="1" si="552">IF(OR(AH80="-",AJ80="-"),AD80,IF(AM80&lt;0,AM80+2^AH80,AM80)*2^AJ80)</f>
        <v>0x1018</v>
      </c>
      <c r="AO80" s="22" t="str">
        <f ca="1">IF(AF80="-",VLOOKUP(AD80,MemoryView!$A$3:$F$108,6,0),MID(VLOOKUP(AF80,MemoryView!$BD$3:$BE$108,2,0),15-AI80+1,AH80))</f>
        <v>C7F2</v>
      </c>
      <c r="AP80" s="22">
        <f t="shared" ref="AP80:AP82" ca="1" si="553">IF(AF80="-",HEX2DEC(AO80),IF(LEN(AO80)&gt;8,BIN2DEC(LEFT(AO80,LEN(AO80)-8))*2^8+BIN2DEC(RIGHT(AO80,8)),BIN2DEC(AO80)))</f>
        <v>51186</v>
      </c>
      <c r="AQ80" s="53" t="str">
        <f t="shared" ref="AQ80:AQ82" si="554">IF(AG80&lt;&gt;"-",CONCATENATE("`EE_MNG.",AG80,".SET(",AM80,");        // [",K80,"..",L80,"]"),"-")</f>
        <v>-</v>
      </c>
      <c r="AR80" s="54" t="str">
        <f t="shared" ref="AR80:AR82" ca="1" si="555">IF(AND(AD80="-",AE80="-",AF80="-",AG80="-"),"-",IF(AG80&lt;&gt;"-",CONCATENATE("EE_MEM #(`PARAM(16'h",RIGHT(AF80,4),", ",G80,", ",F80,", ",H80,")) ",AG80,"(); bit ",IF(H80=0,"unsigned [","signed ["),F80,"-1:0] ", AG80,"_V; assign ",AG80,"_V = ",AG80,".GET;"), CONCATENATE("EE_MEM #(`PARAM(16'h",RIGHT(AD80,4),", ",G80,", ",F80,", ",H80,")) ",AE80,"(); bit ",IF(H80=0,"unsigned [","signed ["),F80,"-1:0] ", AE80,"_V; assign ",AE80,"_V = ",AE80,".GET;")))</f>
        <v>EE_MEM #(`PARAM(16'h1018, 0, 16, 1)) EE_VSUP_CTRL(); bit signed [16-1:0] EE_VSUP_CTRL_V; assign EE_VSUP_CTRL_V = EE_VSUP_CTRL.GET;</v>
      </c>
      <c r="AS80" s="12" t="str">
        <f t="shared" ref="AS80:AS82" ca="1" si="556">IF(AG80="-",AE80,INDIRECT(ADDRESS(ROW()-1,COLUMN())))</f>
        <v>EE_VSUP_CTRL</v>
      </c>
    </row>
    <row r="81" spans="2:45" ht="63.75">
      <c r="B81" s="55" t="str">
        <f t="shared" ca="1" si="20"/>
        <v>CUST</v>
      </c>
      <c r="C81" s="55" t="s">
        <v>58</v>
      </c>
      <c r="D81" s="56" t="s">
        <v>498</v>
      </c>
      <c r="E81" s="57" t="str">
        <f t="shared" ca="1" si="328"/>
        <v>0x1018</v>
      </c>
      <c r="F81" s="57">
        <v>8</v>
      </c>
      <c r="G81" s="57">
        <v>8</v>
      </c>
      <c r="H81" s="57">
        <v>0</v>
      </c>
      <c r="I81" s="57" t="s">
        <v>76</v>
      </c>
      <c r="J81" s="50" t="str">
        <f t="shared" si="539"/>
        <v>[15:8]</v>
      </c>
      <c r="K81" s="50">
        <f t="shared" si="540"/>
        <v>0</v>
      </c>
      <c r="L81" s="50">
        <f t="shared" si="541"/>
        <v>255</v>
      </c>
      <c r="M81" s="61" t="s">
        <v>656</v>
      </c>
      <c r="N81" s="28"/>
      <c r="O81" s="57">
        <v>199</v>
      </c>
      <c r="P81" s="57">
        <f t="shared" ref="P81:P82" si="557">O81</f>
        <v>199</v>
      </c>
      <c r="Q81" s="57">
        <f t="shared" ref="Q81:Q82" si="558">O81</f>
        <v>199</v>
      </c>
      <c r="R81" s="57">
        <f t="shared" ref="R81:S82" si="559">O81</f>
        <v>199</v>
      </c>
      <c r="S81" s="163">
        <f t="shared" si="559"/>
        <v>199</v>
      </c>
      <c r="T81" s="163">
        <v>199</v>
      </c>
      <c r="U81" s="163">
        <f>S81</f>
        <v>199</v>
      </c>
      <c r="V81" s="163">
        <f t="shared" si="327"/>
        <v>199</v>
      </c>
      <c r="W81" s="59"/>
      <c r="X81" s="57">
        <f t="shared" ca="1" si="542"/>
        <v>199</v>
      </c>
      <c r="Y81" s="32"/>
      <c r="AC81" s="12" t="b">
        <f t="shared" si="461"/>
        <v>1</v>
      </c>
      <c r="AD81" s="12" t="str">
        <f t="shared" si="543"/>
        <v>-</v>
      </c>
      <c r="AE81" s="12" t="str">
        <f t="shared" si="544"/>
        <v>-</v>
      </c>
      <c r="AF81" s="12" t="str">
        <f t="shared" ca="1" si="545"/>
        <v>0x1018</v>
      </c>
      <c r="AG81" s="12" t="str">
        <f t="shared" si="546"/>
        <v>V_SUP_HIGH</v>
      </c>
      <c r="AH81" s="12">
        <f t="shared" si="547"/>
        <v>8</v>
      </c>
      <c r="AI81" s="12">
        <f t="shared" si="548"/>
        <v>15</v>
      </c>
      <c r="AJ81" s="12">
        <f t="shared" si="549"/>
        <v>8</v>
      </c>
      <c r="AK81" s="12">
        <f t="shared" si="550"/>
        <v>65280</v>
      </c>
      <c r="AL81" s="12" t="str">
        <f t="shared" si="551"/>
        <v>-</v>
      </c>
      <c r="AM81" s="22">
        <f t="shared" si="462"/>
        <v>199</v>
      </c>
      <c r="AN81" s="12">
        <f t="shared" si="552"/>
        <v>50944</v>
      </c>
      <c r="AO81" s="22" t="str">
        <f ca="1">IF(AF81="-",VLOOKUP(AD81,MemoryView!$A$3:$F$108,6,0),MID(VLOOKUP(AF81,MemoryView!$BD$3:$BE$108,2,0),15-AI81+1,AH81))</f>
        <v>11000111</v>
      </c>
      <c r="AP81" s="22">
        <f t="shared" ca="1" si="553"/>
        <v>199</v>
      </c>
      <c r="AQ81" s="53" t="str">
        <f t="shared" si="554"/>
        <v>`EE_MNG.V_SUP_HIGH.SET(199);        // [0..255]</v>
      </c>
      <c r="AR81" s="54" t="str">
        <f t="shared" ca="1" si="555"/>
        <v>EE_MEM #(`PARAM(16'h1018, 8, 8, 0)) V_SUP_HIGH(); bit unsigned [8-1:0] V_SUP_HIGH_V; assign V_SUP_HIGH_V = V_SUP_HIGH.GET;</v>
      </c>
      <c r="AS81" s="12" t="str">
        <f t="shared" ca="1" si="556"/>
        <v>EE_VSUP_CTRL</v>
      </c>
    </row>
    <row r="82" spans="2:45" ht="63.75">
      <c r="B82" s="55" t="str">
        <f t="shared" ca="1" si="20"/>
        <v>CUST</v>
      </c>
      <c r="C82" s="55" t="s">
        <v>58</v>
      </c>
      <c r="D82" s="56" t="s">
        <v>499</v>
      </c>
      <c r="E82" s="57" t="str">
        <f t="shared" ca="1" si="328"/>
        <v>0x1018</v>
      </c>
      <c r="F82" s="57">
        <v>8</v>
      </c>
      <c r="G82" s="57">
        <v>0</v>
      </c>
      <c r="H82" s="57">
        <v>0</v>
      </c>
      <c r="I82" s="57" t="s">
        <v>76</v>
      </c>
      <c r="J82" s="50" t="str">
        <f t="shared" si="539"/>
        <v>[7:0]</v>
      </c>
      <c r="K82" s="50">
        <f t="shared" si="540"/>
        <v>0</v>
      </c>
      <c r="L82" s="50">
        <f t="shared" si="541"/>
        <v>255</v>
      </c>
      <c r="M82" s="61" t="s">
        <v>655</v>
      </c>
      <c r="N82" s="28"/>
      <c r="O82" s="57">
        <v>242</v>
      </c>
      <c r="P82" s="57">
        <f t="shared" si="557"/>
        <v>242</v>
      </c>
      <c r="Q82" s="57">
        <f t="shared" si="558"/>
        <v>242</v>
      </c>
      <c r="R82" s="57">
        <f t="shared" si="559"/>
        <v>242</v>
      </c>
      <c r="S82" s="163">
        <f t="shared" si="559"/>
        <v>242</v>
      </c>
      <c r="T82" s="163">
        <v>242</v>
      </c>
      <c r="U82" s="163">
        <f>S82</f>
        <v>242</v>
      </c>
      <c r="V82" s="163">
        <f t="shared" si="327"/>
        <v>242</v>
      </c>
      <c r="W82" s="59"/>
      <c r="X82" s="57">
        <f t="shared" ca="1" si="542"/>
        <v>242</v>
      </c>
      <c r="Y82" s="32"/>
      <c r="AC82" s="12" t="b">
        <f t="shared" si="461"/>
        <v>1</v>
      </c>
      <c r="AD82" s="12" t="str">
        <f t="shared" si="543"/>
        <v>-</v>
      </c>
      <c r="AE82" s="12" t="str">
        <f t="shared" si="544"/>
        <v>-</v>
      </c>
      <c r="AF82" s="12" t="str">
        <f t="shared" ca="1" si="545"/>
        <v>0x1018</v>
      </c>
      <c r="AG82" s="12" t="str">
        <f t="shared" si="546"/>
        <v>V_SUP_LOW</v>
      </c>
      <c r="AH82" s="12">
        <f t="shared" si="547"/>
        <v>8</v>
      </c>
      <c r="AI82" s="12">
        <f t="shared" si="548"/>
        <v>7</v>
      </c>
      <c r="AJ82" s="12">
        <f t="shared" si="549"/>
        <v>0</v>
      </c>
      <c r="AK82" s="12">
        <f t="shared" si="550"/>
        <v>255</v>
      </c>
      <c r="AL82" s="12" t="str">
        <f t="shared" si="551"/>
        <v>-</v>
      </c>
      <c r="AM82" s="22">
        <f t="shared" si="462"/>
        <v>242</v>
      </c>
      <c r="AN82" s="12">
        <f t="shared" si="552"/>
        <v>242</v>
      </c>
      <c r="AO82" s="22" t="str">
        <f ca="1">IF(AF82="-",VLOOKUP(AD82,MemoryView!$A$3:$F$108,6,0),MID(VLOOKUP(AF82,MemoryView!$BD$3:$BE$108,2,0),15-AI82+1,AH82))</f>
        <v>11110010</v>
      </c>
      <c r="AP82" s="22">
        <f t="shared" ca="1" si="553"/>
        <v>242</v>
      </c>
      <c r="AQ82" s="53" t="str">
        <f t="shared" si="554"/>
        <v>`EE_MNG.V_SUP_LOW.SET(242);        // [0..255]</v>
      </c>
      <c r="AR82" s="54" t="str">
        <f t="shared" ca="1" si="555"/>
        <v>EE_MEM #(`PARAM(16'h1018, 0, 8, 0)) V_SUP_LOW(); bit unsigned [8-1:0] V_SUP_LOW_V; assign V_SUP_LOW_V = V_SUP_LOW.GET;</v>
      </c>
      <c r="AS82" s="12" t="str">
        <f t="shared" ca="1" si="556"/>
        <v>EE_VSUP_CTRL</v>
      </c>
    </row>
    <row r="83" spans="2:45">
      <c r="B83" s="47" t="str">
        <f t="shared" ca="1" si="20"/>
        <v>CUST</v>
      </c>
      <c r="C83" s="47" t="s">
        <v>77</v>
      </c>
      <c r="D83" s="48" t="s">
        <v>58</v>
      </c>
      <c r="E83" s="60" t="str">
        <f ca="1">"0x"&amp;DEC2HEX(HEX2DEC(RIGHT(INDIRECT(ADDRESS(ROW()-1,COLUMN())),4))+2,4)</f>
        <v>0x101A</v>
      </c>
      <c r="F83" s="49">
        <v>16</v>
      </c>
      <c r="G83" s="49">
        <v>0</v>
      </c>
      <c r="H83" s="49">
        <v>1</v>
      </c>
      <c r="I83" s="49" t="s">
        <v>58</v>
      </c>
      <c r="J83" s="50" t="str">
        <f t="shared" si="0"/>
        <v>-</v>
      </c>
      <c r="K83" s="50">
        <f t="shared" si="1"/>
        <v>-32768</v>
      </c>
      <c r="L83" s="50">
        <f t="shared" si="2"/>
        <v>32767</v>
      </c>
      <c r="M83" s="51" t="s">
        <v>78</v>
      </c>
      <c r="N83" s="28"/>
      <c r="O83" s="52"/>
      <c r="P83" s="52"/>
      <c r="Q83" s="52"/>
      <c r="R83" s="52"/>
      <c r="S83" s="140"/>
      <c r="T83" s="165"/>
      <c r="U83" s="165"/>
      <c r="V83" s="165"/>
      <c r="W83" s="28"/>
      <c r="X83" s="52">
        <f t="shared" ca="1" si="3"/>
        <v>9830</v>
      </c>
      <c r="Y83" s="32"/>
      <c r="AC83" s="12">
        <f t="shared" si="461"/>
        <v>1</v>
      </c>
      <c r="AD83" s="12" t="str">
        <f t="shared" ca="1" si="5"/>
        <v>0x101A</v>
      </c>
      <c r="AE83" s="12" t="str">
        <f t="shared" si="6"/>
        <v>EE_P0</v>
      </c>
      <c r="AF83" s="12" t="str">
        <f t="shared" si="7"/>
        <v>-</v>
      </c>
      <c r="AG83" s="12" t="str">
        <f t="shared" si="8"/>
        <v>-</v>
      </c>
      <c r="AH83" s="12" t="str">
        <f t="shared" si="9"/>
        <v>-</v>
      </c>
      <c r="AI83" s="12" t="str">
        <f t="shared" si="10"/>
        <v>-</v>
      </c>
      <c r="AJ83" s="12" t="str">
        <f t="shared" si="11"/>
        <v>-</v>
      </c>
      <c r="AK83" s="12" t="str">
        <f t="shared" ca="1" si="12"/>
        <v>0x101A</v>
      </c>
      <c r="AL83" s="12" t="str">
        <f t="shared" ca="1" si="13"/>
        <v>CUST</v>
      </c>
      <c r="AM83" s="22">
        <f t="shared" si="462"/>
        <v>0</v>
      </c>
      <c r="AN83" s="12" t="str">
        <f t="shared" ca="1" si="15"/>
        <v>0x101A</v>
      </c>
      <c r="AO83" s="22" t="str">
        <f ca="1">IF(AF83="-",VLOOKUP(AD83,MemoryView!$A$3:$F$108,6,0),MID(VLOOKUP(AF83,MemoryView!$BD$3:$BE$108,2,0),15-AI83+1,AH83))</f>
        <v>2666</v>
      </c>
      <c r="AP83" s="22">
        <f t="shared" ca="1" si="16"/>
        <v>9830</v>
      </c>
      <c r="AQ83" s="53" t="str">
        <f t="shared" si="17"/>
        <v>-</v>
      </c>
      <c r="AR83" s="54" t="str">
        <f t="shared" ca="1" si="18"/>
        <v>EE_MEM #(`PARAM(16'h101A, 0, 16, 1)) EE_P0(); bit signed [16-1:0] EE_P0_V; assign EE_P0_V = EE_P0.GET;</v>
      </c>
      <c r="AS83" s="12" t="str">
        <f t="shared" ca="1" si="19"/>
        <v>EE_P0</v>
      </c>
    </row>
    <row r="84" spans="2:45" ht="102">
      <c r="B84" s="55" t="str">
        <f t="shared" ca="1" si="20"/>
        <v>CUST</v>
      </c>
      <c r="C84" s="55" t="s">
        <v>58</v>
      </c>
      <c r="D84" s="56" t="str">
        <f>RIGHT(C83,LEN(C83)-3)</f>
        <v>P0</v>
      </c>
      <c r="E84" s="57" t="str">
        <f ca="1">INDIRECT(ADDRESS(ROW()-1,COLUMN()))</f>
        <v>0x101A</v>
      </c>
      <c r="F84" s="57">
        <v>16</v>
      </c>
      <c r="G84" s="57">
        <v>0</v>
      </c>
      <c r="H84" s="57">
        <v>1</v>
      </c>
      <c r="I84" s="57" t="s">
        <v>76</v>
      </c>
      <c r="J84" s="50" t="str">
        <f t="shared" si="0"/>
        <v>[15:0]</v>
      </c>
      <c r="K84" s="50">
        <f t="shared" si="1"/>
        <v>-32768</v>
      </c>
      <c r="L84" s="50">
        <f t="shared" si="2"/>
        <v>32767</v>
      </c>
      <c r="M84" s="58" t="s">
        <v>79</v>
      </c>
      <c r="N84" s="28"/>
      <c r="O84" s="57">
        <v>9830</v>
      </c>
      <c r="P84" s="57">
        <f>O84</f>
        <v>9830</v>
      </c>
      <c r="Q84" s="57">
        <f>O84</f>
        <v>9830</v>
      </c>
      <c r="R84" s="57">
        <f>O84</f>
        <v>9830</v>
      </c>
      <c r="S84" s="163">
        <f>P84</f>
        <v>9830</v>
      </c>
      <c r="T84" s="163">
        <v>9830</v>
      </c>
      <c r="U84" s="163">
        <f>S84</f>
        <v>9830</v>
      </c>
      <c r="V84" s="163">
        <f t="shared" si="327"/>
        <v>9830</v>
      </c>
      <c r="W84" s="59"/>
      <c r="X84" s="57">
        <f t="shared" ca="1" si="3"/>
        <v>9830</v>
      </c>
      <c r="Y84" s="32"/>
      <c r="AC84" s="12" t="b">
        <f t="shared" si="461"/>
        <v>1</v>
      </c>
      <c r="AD84" s="12" t="str">
        <f t="shared" si="5"/>
        <v>-</v>
      </c>
      <c r="AE84" s="12" t="str">
        <f t="shared" si="6"/>
        <v>-</v>
      </c>
      <c r="AF84" s="12" t="str">
        <f t="shared" ca="1" si="7"/>
        <v>0x101A</v>
      </c>
      <c r="AG84" s="12" t="str">
        <f t="shared" si="8"/>
        <v>P0</v>
      </c>
      <c r="AH84" s="12">
        <f t="shared" si="9"/>
        <v>16</v>
      </c>
      <c r="AI84" s="12">
        <f t="shared" si="10"/>
        <v>15</v>
      </c>
      <c r="AJ84" s="12">
        <f t="shared" si="11"/>
        <v>0</v>
      </c>
      <c r="AK84" s="12">
        <f t="shared" si="12"/>
        <v>65535</v>
      </c>
      <c r="AL84" s="12" t="str">
        <f t="shared" si="13"/>
        <v>-</v>
      </c>
      <c r="AM84" s="22">
        <f t="shared" si="462"/>
        <v>9830</v>
      </c>
      <c r="AN84" s="12">
        <f t="shared" si="15"/>
        <v>9830</v>
      </c>
      <c r="AO84" s="22" t="str">
        <f ca="1">IF(AF84="-",VLOOKUP(AD84,MemoryView!$A$3:$F$108,6,0),MID(VLOOKUP(AF84,MemoryView!$BD$3:$BE$108,2,0),15-AI84+1,AH84))</f>
        <v>0010011001100110</v>
      </c>
      <c r="AP84" s="22">
        <f t="shared" ca="1" si="16"/>
        <v>9830</v>
      </c>
      <c r="AQ84" s="53" t="str">
        <f t="shared" si="17"/>
        <v>`EE_MNG.P0.SET(9830);        // [-32768..32767]</v>
      </c>
      <c r="AR84" s="54" t="str">
        <f t="shared" ca="1" si="18"/>
        <v>EE_MEM #(`PARAM(16'h101A, 0, 16, 1)) P0(); bit signed [16-1:0] P0_V; assign P0_V = P0.GET;</v>
      </c>
      <c r="AS84" s="12" t="str">
        <f t="shared" ca="1" si="19"/>
        <v>EE_P0</v>
      </c>
    </row>
    <row r="85" spans="2:45">
      <c r="B85" s="47" t="str">
        <f t="shared" ca="1" si="20"/>
        <v>CUST</v>
      </c>
      <c r="C85" s="47" t="s">
        <v>80</v>
      </c>
      <c r="D85" s="48" t="s">
        <v>58</v>
      </c>
      <c r="E85" s="60" t="str">
        <f ca="1">"0x"&amp;DEC2HEX(HEX2DEC(RIGHT(INDIRECT(ADDRESS(ROW()-1,COLUMN())),4))+2,4)</f>
        <v>0x101C</v>
      </c>
      <c r="F85" s="49">
        <v>16</v>
      </c>
      <c r="G85" s="49">
        <v>0</v>
      </c>
      <c r="H85" s="49">
        <v>1</v>
      </c>
      <c r="I85" s="49" t="s">
        <v>58</v>
      </c>
      <c r="J85" s="50" t="str">
        <f t="shared" si="0"/>
        <v>-</v>
      </c>
      <c r="K85" s="50">
        <f t="shared" si="1"/>
        <v>-32768</v>
      </c>
      <c r="L85" s="50">
        <f t="shared" si="2"/>
        <v>32767</v>
      </c>
      <c r="M85" s="51" t="s">
        <v>81</v>
      </c>
      <c r="N85" s="28"/>
      <c r="O85" s="52"/>
      <c r="P85" s="52"/>
      <c r="Q85" s="52"/>
      <c r="R85" s="52"/>
      <c r="S85" s="140"/>
      <c r="T85" s="165"/>
      <c r="U85" s="165"/>
      <c r="V85" s="165"/>
      <c r="W85" s="28"/>
      <c r="X85" s="52">
        <f t="shared" ca="1" si="3"/>
        <v>8138</v>
      </c>
      <c r="Y85" s="32"/>
      <c r="AC85" s="12">
        <f t="shared" si="461"/>
        <v>1</v>
      </c>
      <c r="AD85" s="12" t="str">
        <f t="shared" ca="1" si="5"/>
        <v>0x101C</v>
      </c>
      <c r="AE85" s="12" t="str">
        <f t="shared" si="6"/>
        <v>EE_A0</v>
      </c>
      <c r="AF85" s="12" t="str">
        <f t="shared" si="7"/>
        <v>-</v>
      </c>
      <c r="AG85" s="12" t="str">
        <f t="shared" si="8"/>
        <v>-</v>
      </c>
      <c r="AH85" s="12" t="str">
        <f t="shared" si="9"/>
        <v>-</v>
      </c>
      <c r="AI85" s="12" t="str">
        <f t="shared" si="10"/>
        <v>-</v>
      </c>
      <c r="AJ85" s="12" t="str">
        <f t="shared" si="11"/>
        <v>-</v>
      </c>
      <c r="AK85" s="12" t="str">
        <f t="shared" ca="1" si="12"/>
        <v>0x101C</v>
      </c>
      <c r="AL85" s="12" t="str">
        <f t="shared" ca="1" si="13"/>
        <v>CUST</v>
      </c>
      <c r="AM85" s="22">
        <f t="shared" si="462"/>
        <v>0</v>
      </c>
      <c r="AN85" s="12" t="str">
        <f t="shared" ca="1" si="15"/>
        <v>0x101C</v>
      </c>
      <c r="AO85" s="22" t="str">
        <f ca="1">IF(AF85="-",VLOOKUP(AD85,MemoryView!$A$3:$F$108,6,0),MID(VLOOKUP(AF85,MemoryView!$BD$3:$BE$108,2,0),15-AI85+1,AH85))</f>
        <v>1FCA</v>
      </c>
      <c r="AP85" s="22">
        <f t="shared" ca="1" si="16"/>
        <v>8138</v>
      </c>
      <c r="AQ85" s="53" t="str">
        <f t="shared" si="17"/>
        <v>-</v>
      </c>
      <c r="AR85" s="54" t="str">
        <f t="shared" ca="1" si="18"/>
        <v>EE_MEM #(`PARAM(16'h101C, 0, 16, 1)) EE_A0(); bit signed [16-1:0] EE_A0_V; assign EE_A0_V = EE_A0.GET;</v>
      </c>
      <c r="AS85" s="12" t="str">
        <f t="shared" ca="1" si="19"/>
        <v>EE_A0</v>
      </c>
    </row>
    <row r="86" spans="2:45">
      <c r="B86" s="55" t="str">
        <f t="shared" ca="1" si="20"/>
        <v>CUST</v>
      </c>
      <c r="C86" s="55" t="s">
        <v>58</v>
      </c>
      <c r="D86" s="56" t="str">
        <f>RIGHT(C85,LEN(C85)-3)</f>
        <v>A0</v>
      </c>
      <c r="E86" s="57" t="str">
        <f ca="1">INDIRECT(ADDRESS(ROW()-1,COLUMN()))</f>
        <v>0x101C</v>
      </c>
      <c r="F86" s="57">
        <v>16</v>
      </c>
      <c r="G86" s="57">
        <v>0</v>
      </c>
      <c r="H86" s="57">
        <v>1</v>
      </c>
      <c r="I86" s="57" t="s">
        <v>76</v>
      </c>
      <c r="J86" s="50" t="str">
        <f t="shared" si="0"/>
        <v>[15:0]</v>
      </c>
      <c r="K86" s="50">
        <f t="shared" si="1"/>
        <v>-32768</v>
      </c>
      <c r="L86" s="50">
        <f t="shared" si="2"/>
        <v>32767</v>
      </c>
      <c r="M86" s="58" t="s">
        <v>82</v>
      </c>
      <c r="N86" s="28"/>
      <c r="O86" s="57">
        <v>8138</v>
      </c>
      <c r="P86" s="57">
        <f>O86</f>
        <v>8138</v>
      </c>
      <c r="Q86" s="57">
        <f>O86</f>
        <v>8138</v>
      </c>
      <c r="R86" s="57">
        <f>O86</f>
        <v>8138</v>
      </c>
      <c r="S86" s="163">
        <f>P86</f>
        <v>8138</v>
      </c>
      <c r="T86" s="163">
        <v>8138</v>
      </c>
      <c r="U86" s="163">
        <f>S86</f>
        <v>8138</v>
      </c>
      <c r="V86" s="163">
        <f t="shared" si="327"/>
        <v>8138</v>
      </c>
      <c r="W86" s="59"/>
      <c r="X86" s="57">
        <f t="shared" ca="1" si="3"/>
        <v>8138</v>
      </c>
      <c r="Y86" s="32"/>
      <c r="AC86" s="12" t="b">
        <f t="shared" si="461"/>
        <v>1</v>
      </c>
      <c r="AD86" s="12" t="str">
        <f t="shared" si="5"/>
        <v>-</v>
      </c>
      <c r="AE86" s="12" t="str">
        <f t="shared" si="6"/>
        <v>-</v>
      </c>
      <c r="AF86" s="12" t="str">
        <f t="shared" ca="1" si="7"/>
        <v>0x101C</v>
      </c>
      <c r="AG86" s="12" t="str">
        <f t="shared" si="8"/>
        <v>A0</v>
      </c>
      <c r="AH86" s="12">
        <f t="shared" si="9"/>
        <v>16</v>
      </c>
      <c r="AI86" s="12">
        <f t="shared" si="10"/>
        <v>15</v>
      </c>
      <c r="AJ86" s="12">
        <f t="shared" si="11"/>
        <v>0</v>
      </c>
      <c r="AK86" s="12">
        <f t="shared" si="12"/>
        <v>65535</v>
      </c>
      <c r="AL86" s="12" t="str">
        <f t="shared" si="13"/>
        <v>-</v>
      </c>
      <c r="AM86" s="22">
        <f t="shared" si="462"/>
        <v>8138</v>
      </c>
      <c r="AN86" s="12">
        <f t="shared" si="15"/>
        <v>8138</v>
      </c>
      <c r="AO86" s="22" t="str">
        <f ca="1">IF(AF86="-",VLOOKUP(AD86,MemoryView!$A$3:$F$108,6,0),MID(VLOOKUP(AF86,MemoryView!$BD$3:$BE$108,2,0),15-AI86+1,AH86))</f>
        <v>0001111111001010</v>
      </c>
      <c r="AP86" s="22">
        <f t="shared" ca="1" si="16"/>
        <v>8138</v>
      </c>
      <c r="AQ86" s="53" t="str">
        <f t="shared" si="17"/>
        <v>`EE_MNG.A0.SET(8138);        // [-32768..32767]</v>
      </c>
      <c r="AR86" s="54" t="str">
        <f t="shared" ca="1" si="18"/>
        <v>EE_MEM #(`PARAM(16'h101C, 0, 16, 1)) A0(); bit signed [16-1:0] A0_V; assign A0_V = A0.GET;</v>
      </c>
      <c r="AS86" s="12" t="str">
        <f t="shared" ca="1" si="19"/>
        <v>EE_A0</v>
      </c>
    </row>
    <row r="87" spans="2:45">
      <c r="B87" s="47" t="str">
        <f t="shared" ca="1" si="20"/>
        <v>CUST</v>
      </c>
      <c r="C87" s="47" t="s">
        <v>83</v>
      </c>
      <c r="D87" s="48" t="s">
        <v>58</v>
      </c>
      <c r="E87" s="60" t="str">
        <f ca="1">"0x"&amp;DEC2HEX(HEX2DEC(RIGHT(INDIRECT(ADDRESS(ROW()-1,COLUMN())),4))+2,4)</f>
        <v>0x101E</v>
      </c>
      <c r="F87" s="49">
        <v>16</v>
      </c>
      <c r="G87" s="49">
        <v>0</v>
      </c>
      <c r="H87" s="49">
        <v>1</v>
      </c>
      <c r="I87" s="49" t="s">
        <v>58</v>
      </c>
      <c r="J87" s="50" t="str">
        <f t="shared" si="0"/>
        <v>-</v>
      </c>
      <c r="K87" s="50">
        <f t="shared" si="1"/>
        <v>-32768</v>
      </c>
      <c r="L87" s="50">
        <f t="shared" si="2"/>
        <v>32767</v>
      </c>
      <c r="M87" s="51" t="s">
        <v>81</v>
      </c>
      <c r="N87" s="28"/>
      <c r="O87" s="52"/>
      <c r="P87" s="52"/>
      <c r="Q87" s="52"/>
      <c r="R87" s="52"/>
      <c r="S87" s="140"/>
      <c r="T87" s="165"/>
      <c r="U87" s="165"/>
      <c r="V87" s="165"/>
      <c r="W87" s="28"/>
      <c r="X87" s="52">
        <f t="shared" ca="1" si="3"/>
        <v>5043</v>
      </c>
      <c r="Y87" s="32"/>
      <c r="AC87" s="12">
        <f t="shared" si="461"/>
        <v>1</v>
      </c>
      <c r="AD87" s="12" t="str">
        <f t="shared" ca="1" si="5"/>
        <v>0x101E</v>
      </c>
      <c r="AE87" s="12" t="str">
        <f t="shared" si="6"/>
        <v>EE_A1</v>
      </c>
      <c r="AF87" s="12" t="str">
        <f t="shared" si="7"/>
        <v>-</v>
      </c>
      <c r="AG87" s="12" t="str">
        <f t="shared" si="8"/>
        <v>-</v>
      </c>
      <c r="AH87" s="12" t="str">
        <f t="shared" si="9"/>
        <v>-</v>
      </c>
      <c r="AI87" s="12" t="str">
        <f t="shared" si="10"/>
        <v>-</v>
      </c>
      <c r="AJ87" s="12" t="str">
        <f t="shared" si="11"/>
        <v>-</v>
      </c>
      <c r="AK87" s="12" t="str">
        <f t="shared" ca="1" si="12"/>
        <v>0x101E</v>
      </c>
      <c r="AL87" s="12" t="str">
        <f t="shared" ca="1" si="13"/>
        <v>CUST</v>
      </c>
      <c r="AM87" s="22">
        <f t="shared" si="462"/>
        <v>0</v>
      </c>
      <c r="AN87" s="12" t="str">
        <f t="shared" ca="1" si="15"/>
        <v>0x101E</v>
      </c>
      <c r="AO87" s="22" t="str">
        <f ca="1">IF(AF87="-",VLOOKUP(AD87,MemoryView!$A$3:$F$108,6,0),MID(VLOOKUP(AF87,MemoryView!$BD$3:$BE$108,2,0),15-AI87+1,AH87))</f>
        <v>13B3</v>
      </c>
      <c r="AP87" s="22">
        <f t="shared" ca="1" si="16"/>
        <v>5043</v>
      </c>
      <c r="AQ87" s="53" t="str">
        <f t="shared" si="17"/>
        <v>-</v>
      </c>
      <c r="AR87" s="54" t="str">
        <f t="shared" ca="1" si="18"/>
        <v>EE_MEM #(`PARAM(16'h101E, 0, 16, 1)) EE_A1(); bit signed [16-1:0] EE_A1_V; assign EE_A1_V = EE_A1.GET;</v>
      </c>
      <c r="AS87" s="12" t="str">
        <f t="shared" ca="1" si="19"/>
        <v>EE_A1</v>
      </c>
    </row>
    <row r="88" spans="2:45">
      <c r="B88" s="55" t="str">
        <f t="shared" ca="1" si="20"/>
        <v>CUST</v>
      </c>
      <c r="C88" s="55" t="s">
        <v>58</v>
      </c>
      <c r="D88" s="56" t="str">
        <f>RIGHT(C87,LEN(C87)-3)</f>
        <v>A1</v>
      </c>
      <c r="E88" s="57" t="str">
        <f ca="1">INDIRECT(ADDRESS(ROW()-1,COLUMN()))</f>
        <v>0x101E</v>
      </c>
      <c r="F88" s="57">
        <v>16</v>
      </c>
      <c r="G88" s="57">
        <v>0</v>
      </c>
      <c r="H88" s="57">
        <v>1</v>
      </c>
      <c r="I88" s="57" t="s">
        <v>76</v>
      </c>
      <c r="J88" s="50" t="str">
        <f t="shared" si="0"/>
        <v>[15:0]</v>
      </c>
      <c r="K88" s="50">
        <f t="shared" si="1"/>
        <v>-32768</v>
      </c>
      <c r="L88" s="50">
        <f t="shared" si="2"/>
        <v>32767</v>
      </c>
      <c r="M88" s="58" t="s">
        <v>82</v>
      </c>
      <c r="N88" s="28"/>
      <c r="O88" s="57">
        <v>5043</v>
      </c>
      <c r="P88" s="57">
        <f>O88</f>
        <v>5043</v>
      </c>
      <c r="Q88" s="57">
        <f>O88</f>
        <v>5043</v>
      </c>
      <c r="R88" s="57">
        <f>O88</f>
        <v>5043</v>
      </c>
      <c r="S88" s="163">
        <f>P88</f>
        <v>5043</v>
      </c>
      <c r="T88" s="163">
        <v>5043</v>
      </c>
      <c r="U88" s="163">
        <f>S88</f>
        <v>5043</v>
      </c>
      <c r="V88" s="163">
        <f t="shared" si="327"/>
        <v>5043</v>
      </c>
      <c r="W88" s="59"/>
      <c r="X88" s="57">
        <f t="shared" ca="1" si="3"/>
        <v>5043</v>
      </c>
      <c r="Y88" s="32"/>
      <c r="AC88" s="12" t="b">
        <f t="shared" si="461"/>
        <v>1</v>
      </c>
      <c r="AD88" s="12" t="str">
        <f t="shared" si="5"/>
        <v>-</v>
      </c>
      <c r="AE88" s="12" t="str">
        <f t="shared" si="6"/>
        <v>-</v>
      </c>
      <c r="AF88" s="12" t="str">
        <f t="shared" ca="1" si="7"/>
        <v>0x101E</v>
      </c>
      <c r="AG88" s="12" t="str">
        <f t="shared" si="8"/>
        <v>A1</v>
      </c>
      <c r="AH88" s="12">
        <f t="shared" si="9"/>
        <v>16</v>
      </c>
      <c r="AI88" s="12">
        <f t="shared" si="10"/>
        <v>15</v>
      </c>
      <c r="AJ88" s="12">
        <f t="shared" si="11"/>
        <v>0</v>
      </c>
      <c r="AK88" s="12">
        <f t="shared" si="12"/>
        <v>65535</v>
      </c>
      <c r="AL88" s="12" t="str">
        <f t="shared" si="13"/>
        <v>-</v>
      </c>
      <c r="AM88" s="22">
        <f t="shared" si="462"/>
        <v>5043</v>
      </c>
      <c r="AN88" s="12">
        <f t="shared" si="15"/>
        <v>5043</v>
      </c>
      <c r="AO88" s="22" t="str">
        <f ca="1">IF(AF88="-",VLOOKUP(AD88,MemoryView!$A$3:$F$108,6,0),MID(VLOOKUP(AF88,MemoryView!$BD$3:$BE$108,2,0),15-AI88+1,AH88))</f>
        <v>0001001110110011</v>
      </c>
      <c r="AP88" s="22">
        <f t="shared" ca="1" si="16"/>
        <v>5043</v>
      </c>
      <c r="AQ88" s="53" t="str">
        <f t="shared" si="17"/>
        <v>`EE_MNG.A1.SET(5043);        // [-32768..32767]</v>
      </c>
      <c r="AR88" s="54" t="str">
        <f t="shared" ca="1" si="18"/>
        <v>EE_MEM #(`PARAM(16'h101E, 0, 16, 1)) A1(); bit signed [16-1:0] A1_V; assign A1_V = A1.GET;</v>
      </c>
      <c r="AS88" s="12" t="str">
        <f t="shared" ca="1" si="19"/>
        <v>EE_A1</v>
      </c>
    </row>
    <row r="89" spans="2:45">
      <c r="B89" s="47" t="str">
        <f t="shared" ca="1" si="20"/>
        <v>CUST</v>
      </c>
      <c r="C89" s="47" t="s">
        <v>84</v>
      </c>
      <c r="D89" s="48" t="s">
        <v>58</v>
      </c>
      <c r="E89" s="60" t="str">
        <f ca="1">"0x"&amp;DEC2HEX(HEX2DEC(RIGHT(INDIRECT(ADDRESS(ROW()-1,COLUMN())),4))+2,4)</f>
        <v>0x1020</v>
      </c>
      <c r="F89" s="49">
        <v>16</v>
      </c>
      <c r="G89" s="49">
        <v>0</v>
      </c>
      <c r="H89" s="49">
        <v>1</v>
      </c>
      <c r="I89" s="49" t="s">
        <v>58</v>
      </c>
      <c r="J89" s="50" t="str">
        <f t="shared" si="0"/>
        <v>-</v>
      </c>
      <c r="K89" s="50">
        <f t="shared" si="1"/>
        <v>-32768</v>
      </c>
      <c r="L89" s="50">
        <f t="shared" si="2"/>
        <v>32767</v>
      </c>
      <c r="M89" s="51" t="s">
        <v>81</v>
      </c>
      <c r="N89" s="28"/>
      <c r="O89" s="52"/>
      <c r="P89" s="52"/>
      <c r="Q89" s="52"/>
      <c r="R89" s="52"/>
      <c r="S89" s="140"/>
      <c r="T89" s="165"/>
      <c r="U89" s="165"/>
      <c r="V89" s="165"/>
      <c r="W89" s="28"/>
      <c r="X89" s="52">
        <f t="shared" ca="1" si="3"/>
        <v>-3772</v>
      </c>
      <c r="Y89" s="32"/>
      <c r="AC89" s="12">
        <f t="shared" si="461"/>
        <v>1</v>
      </c>
      <c r="AD89" s="12" t="str">
        <f t="shared" ca="1" si="5"/>
        <v>0x1020</v>
      </c>
      <c r="AE89" s="12" t="str">
        <f t="shared" si="6"/>
        <v>EE_A2</v>
      </c>
      <c r="AF89" s="12" t="str">
        <f t="shared" si="7"/>
        <v>-</v>
      </c>
      <c r="AG89" s="12" t="str">
        <f t="shared" si="8"/>
        <v>-</v>
      </c>
      <c r="AH89" s="12" t="str">
        <f t="shared" si="9"/>
        <v>-</v>
      </c>
      <c r="AI89" s="12" t="str">
        <f t="shared" si="10"/>
        <v>-</v>
      </c>
      <c r="AJ89" s="12" t="str">
        <f t="shared" si="11"/>
        <v>-</v>
      </c>
      <c r="AK89" s="12" t="str">
        <f t="shared" ca="1" si="12"/>
        <v>0x1020</v>
      </c>
      <c r="AL89" s="12" t="str">
        <f t="shared" ca="1" si="13"/>
        <v>CUST</v>
      </c>
      <c r="AM89" s="22">
        <f t="shared" si="462"/>
        <v>0</v>
      </c>
      <c r="AN89" s="12" t="str">
        <f t="shared" ca="1" si="15"/>
        <v>0x1020</v>
      </c>
      <c r="AO89" s="22" t="str">
        <f ca="1">IF(AF89="-",VLOOKUP(AD89,MemoryView!$A$3:$F$108,6,0),MID(VLOOKUP(AF89,MemoryView!$BD$3:$BE$108,2,0),15-AI89+1,AH89))</f>
        <v>F144</v>
      </c>
      <c r="AP89" s="22">
        <f t="shared" ca="1" si="16"/>
        <v>61764</v>
      </c>
      <c r="AQ89" s="53" t="str">
        <f t="shared" si="17"/>
        <v>-</v>
      </c>
      <c r="AR89" s="54" t="str">
        <f t="shared" ca="1" si="18"/>
        <v>EE_MEM #(`PARAM(16'h1020, 0, 16, 1)) EE_A2(); bit signed [16-1:0] EE_A2_V; assign EE_A2_V = EE_A2.GET;</v>
      </c>
      <c r="AS89" s="12" t="str">
        <f t="shared" ca="1" si="19"/>
        <v>EE_A2</v>
      </c>
    </row>
    <row r="90" spans="2:45">
      <c r="B90" s="55" t="str">
        <f t="shared" ca="1" si="20"/>
        <v>CUST</v>
      </c>
      <c r="C90" s="55" t="s">
        <v>58</v>
      </c>
      <c r="D90" s="56" t="str">
        <f>RIGHT(C89,LEN(C89)-3)</f>
        <v>A2</v>
      </c>
      <c r="E90" s="57" t="str">
        <f ca="1">INDIRECT(ADDRESS(ROW()-1,COLUMN()))</f>
        <v>0x1020</v>
      </c>
      <c r="F90" s="57">
        <v>16</v>
      </c>
      <c r="G90" s="57">
        <v>0</v>
      </c>
      <c r="H90" s="57">
        <v>1</v>
      </c>
      <c r="I90" s="57" t="s">
        <v>76</v>
      </c>
      <c r="J90" s="50" t="str">
        <f t="shared" si="0"/>
        <v>[15:0]</v>
      </c>
      <c r="K90" s="50">
        <f t="shared" si="1"/>
        <v>-32768</v>
      </c>
      <c r="L90" s="50">
        <f t="shared" si="2"/>
        <v>32767</v>
      </c>
      <c r="M90" s="58" t="s">
        <v>82</v>
      </c>
      <c r="N90" s="28"/>
      <c r="O90" s="57">
        <v>-3772</v>
      </c>
      <c r="P90" s="57">
        <f>O90</f>
        <v>-3772</v>
      </c>
      <c r="Q90" s="57">
        <f>O90</f>
        <v>-3772</v>
      </c>
      <c r="R90" s="57">
        <f>O90</f>
        <v>-3772</v>
      </c>
      <c r="S90" s="163">
        <f>P90</f>
        <v>-3772</v>
      </c>
      <c r="T90" s="163">
        <v>-3772</v>
      </c>
      <c r="U90" s="163">
        <f>S90</f>
        <v>-3772</v>
      </c>
      <c r="V90" s="163">
        <f t="shared" si="327"/>
        <v>-3772</v>
      </c>
      <c r="W90" s="59"/>
      <c r="X90" s="57">
        <f t="shared" ca="1" si="3"/>
        <v>-3772</v>
      </c>
      <c r="Y90" s="32"/>
      <c r="AC90" s="12" t="b">
        <f t="shared" si="461"/>
        <v>1</v>
      </c>
      <c r="AD90" s="12" t="str">
        <f t="shared" si="5"/>
        <v>-</v>
      </c>
      <c r="AE90" s="12" t="str">
        <f t="shared" si="6"/>
        <v>-</v>
      </c>
      <c r="AF90" s="12" t="str">
        <f t="shared" ca="1" si="7"/>
        <v>0x1020</v>
      </c>
      <c r="AG90" s="12" t="str">
        <f t="shared" si="8"/>
        <v>A2</v>
      </c>
      <c r="AH90" s="12">
        <f t="shared" si="9"/>
        <v>16</v>
      </c>
      <c r="AI90" s="12">
        <f t="shared" si="10"/>
        <v>15</v>
      </c>
      <c r="AJ90" s="12">
        <f t="shared" si="11"/>
        <v>0</v>
      </c>
      <c r="AK90" s="12">
        <f t="shared" si="12"/>
        <v>65535</v>
      </c>
      <c r="AL90" s="12" t="str">
        <f t="shared" si="13"/>
        <v>-</v>
      </c>
      <c r="AM90" s="22">
        <f t="shared" si="462"/>
        <v>-3772</v>
      </c>
      <c r="AN90" s="12">
        <f t="shared" si="15"/>
        <v>61764</v>
      </c>
      <c r="AO90" s="22" t="str">
        <f ca="1">IF(AF90="-",VLOOKUP(AD90,MemoryView!$A$3:$F$108,6,0),MID(VLOOKUP(AF90,MemoryView!$BD$3:$BE$108,2,0),15-AI90+1,AH90))</f>
        <v>1111000101000100</v>
      </c>
      <c r="AP90" s="22">
        <f t="shared" ca="1" si="16"/>
        <v>61764</v>
      </c>
      <c r="AQ90" s="53" t="str">
        <f t="shared" si="17"/>
        <v>`EE_MNG.A2.SET(-3772);        // [-32768..32767]</v>
      </c>
      <c r="AR90" s="54" t="str">
        <f t="shared" ca="1" si="18"/>
        <v>EE_MEM #(`PARAM(16'h1020, 0, 16, 1)) A2(); bit signed [16-1:0] A2_V; assign A2_V = A2.GET;</v>
      </c>
      <c r="AS90" s="12" t="str">
        <f t="shared" ca="1" si="19"/>
        <v>EE_A2</v>
      </c>
    </row>
    <row r="91" spans="2:45">
      <c r="B91" s="47" t="str">
        <f t="shared" ca="1" si="20"/>
        <v>CUST</v>
      </c>
      <c r="C91" s="47" t="s">
        <v>85</v>
      </c>
      <c r="D91" s="48" t="s">
        <v>58</v>
      </c>
      <c r="E91" s="60" t="str">
        <f ca="1">"0x"&amp;DEC2HEX(HEX2DEC(RIGHT(INDIRECT(ADDRESS(ROW()-1,COLUMN())),4))+2,4)</f>
        <v>0x1022</v>
      </c>
      <c r="F91" s="49">
        <v>16</v>
      </c>
      <c r="G91" s="49">
        <v>0</v>
      </c>
      <c r="H91" s="49">
        <v>1</v>
      </c>
      <c r="I91" s="49" t="s">
        <v>58</v>
      </c>
      <c r="J91" s="50" t="str">
        <f t="shared" si="0"/>
        <v>-</v>
      </c>
      <c r="K91" s="50">
        <f t="shared" si="1"/>
        <v>-32768</v>
      </c>
      <c r="L91" s="50">
        <f t="shared" si="2"/>
        <v>32767</v>
      </c>
      <c r="M91" s="51" t="s">
        <v>81</v>
      </c>
      <c r="N91" s="28"/>
      <c r="O91" s="52"/>
      <c r="P91" s="52"/>
      <c r="Q91" s="52"/>
      <c r="R91" s="52"/>
      <c r="S91" s="140"/>
      <c r="T91" s="165"/>
      <c r="U91" s="165"/>
      <c r="V91" s="165"/>
      <c r="W91" s="28"/>
      <c r="X91" s="52">
        <f t="shared" ca="1" si="3"/>
        <v>-5949</v>
      </c>
      <c r="Y91" s="32"/>
      <c r="AC91" s="12">
        <f t="shared" si="461"/>
        <v>1</v>
      </c>
      <c r="AD91" s="12" t="str">
        <f t="shared" ca="1" si="5"/>
        <v>0x1022</v>
      </c>
      <c r="AE91" s="12" t="str">
        <f t="shared" si="6"/>
        <v>EE_A3</v>
      </c>
      <c r="AF91" s="12" t="str">
        <f t="shared" si="7"/>
        <v>-</v>
      </c>
      <c r="AG91" s="12" t="str">
        <f t="shared" si="8"/>
        <v>-</v>
      </c>
      <c r="AH91" s="12" t="str">
        <f t="shared" si="9"/>
        <v>-</v>
      </c>
      <c r="AI91" s="12" t="str">
        <f t="shared" si="10"/>
        <v>-</v>
      </c>
      <c r="AJ91" s="12" t="str">
        <f t="shared" si="11"/>
        <v>-</v>
      </c>
      <c r="AK91" s="12" t="str">
        <f t="shared" ca="1" si="12"/>
        <v>0x1022</v>
      </c>
      <c r="AL91" s="12" t="str">
        <f t="shared" ca="1" si="13"/>
        <v>CUST</v>
      </c>
      <c r="AM91" s="22">
        <f t="shared" si="462"/>
        <v>0</v>
      </c>
      <c r="AN91" s="12" t="str">
        <f t="shared" ca="1" si="15"/>
        <v>0x1022</v>
      </c>
      <c r="AO91" s="22" t="str">
        <f ca="1">IF(AF91="-",VLOOKUP(AD91,MemoryView!$A$3:$F$108,6,0),MID(VLOOKUP(AF91,MemoryView!$BD$3:$BE$108,2,0),15-AI91+1,AH91))</f>
        <v>E8C3</v>
      </c>
      <c r="AP91" s="22">
        <f t="shared" ca="1" si="16"/>
        <v>59587</v>
      </c>
      <c r="AQ91" s="53" t="str">
        <f t="shared" si="17"/>
        <v>-</v>
      </c>
      <c r="AR91" s="54" t="str">
        <f t="shared" ca="1" si="18"/>
        <v>EE_MEM #(`PARAM(16'h1022, 0, 16, 1)) EE_A3(); bit signed [16-1:0] EE_A3_V; assign EE_A3_V = EE_A3.GET;</v>
      </c>
      <c r="AS91" s="12" t="str">
        <f t="shared" ca="1" si="19"/>
        <v>EE_A3</v>
      </c>
    </row>
    <row r="92" spans="2:45">
      <c r="B92" s="55" t="str">
        <f t="shared" ca="1" si="20"/>
        <v>CUST</v>
      </c>
      <c r="C92" s="55" t="s">
        <v>58</v>
      </c>
      <c r="D92" s="56" t="str">
        <f>RIGHT(C91,LEN(C91)-3)</f>
        <v>A3</v>
      </c>
      <c r="E92" s="57" t="str">
        <f ca="1">INDIRECT(ADDRESS(ROW()-1,COLUMN()))</f>
        <v>0x1022</v>
      </c>
      <c r="F92" s="57">
        <v>16</v>
      </c>
      <c r="G92" s="57">
        <v>0</v>
      </c>
      <c r="H92" s="57">
        <v>1</v>
      </c>
      <c r="I92" s="57" t="s">
        <v>76</v>
      </c>
      <c r="J92" s="50" t="str">
        <f t="shared" si="0"/>
        <v>[15:0]</v>
      </c>
      <c r="K92" s="50">
        <f t="shared" si="1"/>
        <v>-32768</v>
      </c>
      <c r="L92" s="50">
        <f t="shared" si="2"/>
        <v>32767</v>
      </c>
      <c r="M92" s="58" t="s">
        <v>82</v>
      </c>
      <c r="N92" s="28"/>
      <c r="O92" s="57">
        <v>-5949</v>
      </c>
      <c r="P92" s="57">
        <f>O92</f>
        <v>-5949</v>
      </c>
      <c r="Q92" s="57">
        <f>O92</f>
        <v>-5949</v>
      </c>
      <c r="R92" s="57">
        <f>O92</f>
        <v>-5949</v>
      </c>
      <c r="S92" s="163">
        <f>P92</f>
        <v>-5949</v>
      </c>
      <c r="T92" s="163">
        <v>-5949</v>
      </c>
      <c r="U92" s="163">
        <f>S92</f>
        <v>-5949</v>
      </c>
      <c r="V92" s="163">
        <f t="shared" si="327"/>
        <v>-5949</v>
      </c>
      <c r="W92" s="59"/>
      <c r="X92" s="57">
        <f t="shared" ca="1" si="3"/>
        <v>-5949</v>
      </c>
      <c r="Y92" s="32"/>
      <c r="AC92" s="12" t="b">
        <f t="shared" si="461"/>
        <v>1</v>
      </c>
      <c r="AD92" s="12" t="str">
        <f t="shared" si="5"/>
        <v>-</v>
      </c>
      <c r="AE92" s="12" t="str">
        <f t="shared" si="6"/>
        <v>-</v>
      </c>
      <c r="AF92" s="12" t="str">
        <f t="shared" ca="1" si="7"/>
        <v>0x1022</v>
      </c>
      <c r="AG92" s="12" t="str">
        <f t="shared" si="8"/>
        <v>A3</v>
      </c>
      <c r="AH92" s="12">
        <f t="shared" si="9"/>
        <v>16</v>
      </c>
      <c r="AI92" s="12">
        <f t="shared" si="10"/>
        <v>15</v>
      </c>
      <c r="AJ92" s="12">
        <f t="shared" si="11"/>
        <v>0</v>
      </c>
      <c r="AK92" s="12">
        <f t="shared" si="12"/>
        <v>65535</v>
      </c>
      <c r="AL92" s="12" t="str">
        <f t="shared" si="13"/>
        <v>-</v>
      </c>
      <c r="AM92" s="22">
        <f t="shared" si="462"/>
        <v>-5949</v>
      </c>
      <c r="AN92" s="12">
        <f t="shared" si="15"/>
        <v>59587</v>
      </c>
      <c r="AO92" s="22" t="str">
        <f ca="1">IF(AF92="-",VLOOKUP(AD92,MemoryView!$A$3:$F$108,6,0),MID(VLOOKUP(AF92,MemoryView!$BD$3:$BE$108,2,0),15-AI92+1,AH92))</f>
        <v>1110100011000011</v>
      </c>
      <c r="AP92" s="22">
        <f t="shared" ca="1" si="16"/>
        <v>59587</v>
      </c>
      <c r="AQ92" s="53" t="str">
        <f t="shared" si="17"/>
        <v>`EE_MNG.A3.SET(-5949);        // [-32768..32767]</v>
      </c>
      <c r="AR92" s="54" t="str">
        <f t="shared" ca="1" si="18"/>
        <v>EE_MEM #(`PARAM(16'h1022, 0, 16, 1)) A3(); bit signed [16-1:0] A3_V; assign A3_V = A3.GET;</v>
      </c>
      <c r="AS92" s="12" t="str">
        <f t="shared" ca="1" si="19"/>
        <v>EE_A3</v>
      </c>
    </row>
    <row r="93" spans="2:45">
      <c r="B93" s="47" t="str">
        <f t="shared" ca="1" si="20"/>
        <v>CUST</v>
      </c>
      <c r="C93" s="47" t="s">
        <v>86</v>
      </c>
      <c r="D93" s="48" t="s">
        <v>58</v>
      </c>
      <c r="E93" s="60" t="str">
        <f ca="1">"0x"&amp;DEC2HEX(HEX2DEC(RIGHT(INDIRECT(ADDRESS(ROW()-1,COLUMN())),4))+2,4)</f>
        <v>0x1024</v>
      </c>
      <c r="F93" s="49">
        <v>16</v>
      </c>
      <c r="G93" s="49">
        <v>0</v>
      </c>
      <c r="H93" s="49">
        <v>1</v>
      </c>
      <c r="I93" s="49" t="s">
        <v>58</v>
      </c>
      <c r="J93" s="50" t="str">
        <f t="shared" si="0"/>
        <v>-</v>
      </c>
      <c r="K93" s="50">
        <f t="shared" si="1"/>
        <v>-32768</v>
      </c>
      <c r="L93" s="50">
        <f t="shared" si="2"/>
        <v>32767</v>
      </c>
      <c r="M93" s="51" t="s">
        <v>81</v>
      </c>
      <c r="N93" s="28"/>
      <c r="O93" s="52"/>
      <c r="P93" s="52"/>
      <c r="Q93" s="52"/>
      <c r="R93" s="52"/>
      <c r="S93" s="140"/>
      <c r="T93" s="165"/>
      <c r="U93" s="165"/>
      <c r="V93" s="165"/>
      <c r="W93" s="28"/>
      <c r="X93" s="52">
        <f t="shared" ca="1" si="3"/>
        <v>15363</v>
      </c>
      <c r="Y93" s="32"/>
      <c r="AC93" s="12">
        <f t="shared" si="461"/>
        <v>1</v>
      </c>
      <c r="AD93" s="12" t="str">
        <f t="shared" ca="1" si="5"/>
        <v>0x1024</v>
      </c>
      <c r="AE93" s="12" t="str">
        <f t="shared" si="6"/>
        <v>EE_B0</v>
      </c>
      <c r="AF93" s="12" t="str">
        <f t="shared" si="7"/>
        <v>-</v>
      </c>
      <c r="AG93" s="12" t="str">
        <f t="shared" si="8"/>
        <v>-</v>
      </c>
      <c r="AH93" s="12" t="str">
        <f t="shared" si="9"/>
        <v>-</v>
      </c>
      <c r="AI93" s="12" t="str">
        <f t="shared" si="10"/>
        <v>-</v>
      </c>
      <c r="AJ93" s="12" t="str">
        <f t="shared" si="11"/>
        <v>-</v>
      </c>
      <c r="AK93" s="12" t="str">
        <f t="shared" ca="1" si="12"/>
        <v>0x1024</v>
      </c>
      <c r="AL93" s="12" t="str">
        <f t="shared" ca="1" si="13"/>
        <v>CUST</v>
      </c>
      <c r="AM93" s="22">
        <f t="shared" si="462"/>
        <v>0</v>
      </c>
      <c r="AN93" s="12" t="str">
        <f t="shared" ca="1" si="15"/>
        <v>0x1024</v>
      </c>
      <c r="AO93" s="22" t="str">
        <f ca="1">IF(AF93="-",VLOOKUP(AD93,MemoryView!$A$3:$F$108,6,0),MID(VLOOKUP(AF93,MemoryView!$BD$3:$BE$108,2,0),15-AI93+1,AH93))</f>
        <v>3C03</v>
      </c>
      <c r="AP93" s="22">
        <f t="shared" ca="1" si="16"/>
        <v>15363</v>
      </c>
      <c r="AQ93" s="53" t="str">
        <f t="shared" si="17"/>
        <v>-</v>
      </c>
      <c r="AR93" s="54" t="str">
        <f t="shared" ca="1" si="18"/>
        <v>EE_MEM #(`PARAM(16'h1024, 0, 16, 1)) EE_B0(); bit signed [16-1:0] EE_B0_V; assign EE_B0_V = EE_B0.GET;</v>
      </c>
      <c r="AS93" s="12" t="str">
        <f t="shared" ca="1" si="19"/>
        <v>EE_B0</v>
      </c>
    </row>
    <row r="94" spans="2:45">
      <c r="B94" s="55" t="str">
        <f t="shared" ca="1" si="20"/>
        <v>CUST</v>
      </c>
      <c r="C94" s="55" t="s">
        <v>58</v>
      </c>
      <c r="D94" s="56" t="str">
        <f>RIGHT(C93,LEN(C93)-3)</f>
        <v>B0</v>
      </c>
      <c r="E94" s="57" t="str">
        <f ca="1">INDIRECT(ADDRESS(ROW()-1,COLUMN()))</f>
        <v>0x1024</v>
      </c>
      <c r="F94" s="57">
        <v>16</v>
      </c>
      <c r="G94" s="57">
        <v>0</v>
      </c>
      <c r="H94" s="57">
        <v>1</v>
      </c>
      <c r="I94" s="57" t="s">
        <v>76</v>
      </c>
      <c r="J94" s="50" t="str">
        <f t="shared" si="0"/>
        <v>[15:0]</v>
      </c>
      <c r="K94" s="50">
        <f t="shared" si="1"/>
        <v>-32768</v>
      </c>
      <c r="L94" s="50">
        <f t="shared" si="2"/>
        <v>32767</v>
      </c>
      <c r="M94" s="58" t="s">
        <v>82</v>
      </c>
      <c r="N94" s="28"/>
      <c r="O94" s="57">
        <v>15363</v>
      </c>
      <c r="P94" s="57">
        <f>O94</f>
        <v>15363</v>
      </c>
      <c r="Q94" s="57">
        <f>O94</f>
        <v>15363</v>
      </c>
      <c r="R94" s="57">
        <f>O94</f>
        <v>15363</v>
      </c>
      <c r="S94" s="163">
        <f>P94</f>
        <v>15363</v>
      </c>
      <c r="T94" s="163">
        <v>15363</v>
      </c>
      <c r="U94" s="163">
        <f>S94</f>
        <v>15363</v>
      </c>
      <c r="V94" s="163">
        <f t="shared" si="327"/>
        <v>15363</v>
      </c>
      <c r="W94" s="59"/>
      <c r="X94" s="57">
        <f t="shared" ca="1" si="3"/>
        <v>15363</v>
      </c>
      <c r="Y94" s="32"/>
      <c r="AC94" s="12" t="b">
        <f t="shared" si="461"/>
        <v>1</v>
      </c>
      <c r="AD94" s="12" t="str">
        <f t="shared" si="5"/>
        <v>-</v>
      </c>
      <c r="AE94" s="12" t="str">
        <f t="shared" si="6"/>
        <v>-</v>
      </c>
      <c r="AF94" s="12" t="str">
        <f t="shared" ca="1" si="7"/>
        <v>0x1024</v>
      </c>
      <c r="AG94" s="12" t="str">
        <f t="shared" si="8"/>
        <v>B0</v>
      </c>
      <c r="AH94" s="12">
        <f t="shared" si="9"/>
        <v>16</v>
      </c>
      <c r="AI94" s="12">
        <f t="shared" si="10"/>
        <v>15</v>
      </c>
      <c r="AJ94" s="12">
        <f t="shared" si="11"/>
        <v>0</v>
      </c>
      <c r="AK94" s="12">
        <f t="shared" si="12"/>
        <v>65535</v>
      </c>
      <c r="AL94" s="12" t="str">
        <f t="shared" si="13"/>
        <v>-</v>
      </c>
      <c r="AM94" s="22">
        <f t="shared" si="462"/>
        <v>15363</v>
      </c>
      <c r="AN94" s="12">
        <f t="shared" si="15"/>
        <v>15363</v>
      </c>
      <c r="AO94" s="22" t="str">
        <f ca="1">IF(AF94="-",VLOOKUP(AD94,MemoryView!$A$3:$F$108,6,0),MID(VLOOKUP(AF94,MemoryView!$BD$3:$BE$108,2,0),15-AI94+1,AH94))</f>
        <v>0011110000000011</v>
      </c>
      <c r="AP94" s="22">
        <f t="shared" ca="1" si="16"/>
        <v>15363</v>
      </c>
      <c r="AQ94" s="53" t="str">
        <f t="shared" si="17"/>
        <v>`EE_MNG.B0.SET(15363);        // [-32768..32767]</v>
      </c>
      <c r="AR94" s="54" t="str">
        <f t="shared" ca="1" si="18"/>
        <v>EE_MEM #(`PARAM(16'h1024, 0, 16, 1)) B0(); bit signed [16-1:0] B0_V; assign B0_V = B0.GET;</v>
      </c>
      <c r="AS94" s="12" t="str">
        <f t="shared" ca="1" si="19"/>
        <v>EE_B0</v>
      </c>
    </row>
    <row r="95" spans="2:45">
      <c r="B95" s="47" t="str">
        <f t="shared" ca="1" si="20"/>
        <v>CUST</v>
      </c>
      <c r="C95" s="47" t="s">
        <v>87</v>
      </c>
      <c r="D95" s="48" t="s">
        <v>58</v>
      </c>
      <c r="E95" s="60" t="str">
        <f ca="1">"0x"&amp;DEC2HEX(HEX2DEC(RIGHT(INDIRECT(ADDRESS(ROW()-1,COLUMN())),4))+2,4)</f>
        <v>0x1026</v>
      </c>
      <c r="F95" s="49">
        <v>16</v>
      </c>
      <c r="G95" s="49">
        <v>0</v>
      </c>
      <c r="H95" s="49">
        <v>1</v>
      </c>
      <c r="I95" s="49" t="s">
        <v>58</v>
      </c>
      <c r="J95" s="50" t="str">
        <f t="shared" si="0"/>
        <v>-</v>
      </c>
      <c r="K95" s="50">
        <f t="shared" si="1"/>
        <v>-32768</v>
      </c>
      <c r="L95" s="50">
        <f t="shared" si="2"/>
        <v>32767</v>
      </c>
      <c r="M95" s="51" t="s">
        <v>81</v>
      </c>
      <c r="N95" s="28"/>
      <c r="O95" s="52"/>
      <c r="P95" s="52"/>
      <c r="Q95" s="52"/>
      <c r="R95" s="52"/>
      <c r="S95" s="140"/>
      <c r="T95" s="165"/>
      <c r="U95" s="165"/>
      <c r="V95" s="165"/>
      <c r="W95" s="28"/>
      <c r="X95" s="52">
        <f t="shared" ca="1" si="3"/>
        <v>8499</v>
      </c>
      <c r="Y95" s="32"/>
      <c r="AC95" s="12">
        <f t="shared" si="461"/>
        <v>1</v>
      </c>
      <c r="AD95" s="12" t="str">
        <f t="shared" ca="1" si="5"/>
        <v>0x1026</v>
      </c>
      <c r="AE95" s="12" t="str">
        <f t="shared" si="6"/>
        <v>EE_B1</v>
      </c>
      <c r="AF95" s="12" t="str">
        <f t="shared" si="7"/>
        <v>-</v>
      </c>
      <c r="AG95" s="12" t="str">
        <f t="shared" si="8"/>
        <v>-</v>
      </c>
      <c r="AH95" s="12" t="str">
        <f t="shared" si="9"/>
        <v>-</v>
      </c>
      <c r="AI95" s="12" t="str">
        <f t="shared" si="10"/>
        <v>-</v>
      </c>
      <c r="AJ95" s="12" t="str">
        <f t="shared" si="11"/>
        <v>-</v>
      </c>
      <c r="AK95" s="12" t="str">
        <f t="shared" ca="1" si="12"/>
        <v>0x1026</v>
      </c>
      <c r="AL95" s="12" t="str">
        <f t="shared" ca="1" si="13"/>
        <v>CUST</v>
      </c>
      <c r="AM95" s="22">
        <f t="shared" si="462"/>
        <v>0</v>
      </c>
      <c r="AN95" s="12" t="str">
        <f t="shared" ca="1" si="15"/>
        <v>0x1026</v>
      </c>
      <c r="AO95" s="22" t="str">
        <f ca="1">IF(AF95="-",VLOOKUP(AD95,MemoryView!$A$3:$F$108,6,0),MID(VLOOKUP(AF95,MemoryView!$BD$3:$BE$108,2,0),15-AI95+1,AH95))</f>
        <v>2133</v>
      </c>
      <c r="AP95" s="22">
        <f t="shared" ca="1" si="16"/>
        <v>8499</v>
      </c>
      <c r="AQ95" s="53" t="str">
        <f t="shared" si="17"/>
        <v>-</v>
      </c>
      <c r="AR95" s="54" t="str">
        <f t="shared" ca="1" si="18"/>
        <v>EE_MEM #(`PARAM(16'h1026, 0, 16, 1)) EE_B1(); bit signed [16-1:0] EE_B1_V; assign EE_B1_V = EE_B1.GET;</v>
      </c>
      <c r="AS95" s="12" t="str">
        <f t="shared" ca="1" si="19"/>
        <v>EE_B1</v>
      </c>
    </row>
    <row r="96" spans="2:45">
      <c r="B96" s="55" t="str">
        <f t="shared" ca="1" si="20"/>
        <v>CUST</v>
      </c>
      <c r="C96" s="55" t="s">
        <v>58</v>
      </c>
      <c r="D96" s="56" t="str">
        <f>RIGHT(C95,LEN(C95)-3)</f>
        <v>B1</v>
      </c>
      <c r="E96" s="57" t="str">
        <f ca="1">INDIRECT(ADDRESS(ROW()-1,COLUMN()))</f>
        <v>0x1026</v>
      </c>
      <c r="F96" s="57">
        <v>16</v>
      </c>
      <c r="G96" s="57">
        <v>0</v>
      </c>
      <c r="H96" s="57">
        <v>1</v>
      </c>
      <c r="I96" s="57" t="s">
        <v>76</v>
      </c>
      <c r="J96" s="50" t="str">
        <f t="shared" si="0"/>
        <v>[15:0]</v>
      </c>
      <c r="K96" s="50">
        <f t="shared" si="1"/>
        <v>-32768</v>
      </c>
      <c r="L96" s="50">
        <f t="shared" si="2"/>
        <v>32767</v>
      </c>
      <c r="M96" s="58" t="s">
        <v>82</v>
      </c>
      <c r="N96" s="28"/>
      <c r="O96" s="57">
        <v>8499</v>
      </c>
      <c r="P96" s="57">
        <f>O96</f>
        <v>8499</v>
      </c>
      <c r="Q96" s="57">
        <f>O96</f>
        <v>8499</v>
      </c>
      <c r="R96" s="57">
        <f>O96</f>
        <v>8499</v>
      </c>
      <c r="S96" s="163">
        <f>P96</f>
        <v>8499</v>
      </c>
      <c r="T96" s="163">
        <v>8499</v>
      </c>
      <c r="U96" s="163">
        <f>S96</f>
        <v>8499</v>
      </c>
      <c r="V96" s="163">
        <f t="shared" si="327"/>
        <v>8499</v>
      </c>
      <c r="W96" s="59"/>
      <c r="X96" s="57">
        <f t="shared" ca="1" si="3"/>
        <v>8499</v>
      </c>
      <c r="Y96" s="32"/>
      <c r="AC96" s="12" t="b">
        <f t="shared" si="461"/>
        <v>1</v>
      </c>
      <c r="AD96" s="12" t="str">
        <f t="shared" si="5"/>
        <v>-</v>
      </c>
      <c r="AE96" s="12" t="str">
        <f t="shared" si="6"/>
        <v>-</v>
      </c>
      <c r="AF96" s="12" t="str">
        <f t="shared" ca="1" si="7"/>
        <v>0x1026</v>
      </c>
      <c r="AG96" s="12" t="str">
        <f t="shared" si="8"/>
        <v>B1</v>
      </c>
      <c r="AH96" s="12">
        <f t="shared" si="9"/>
        <v>16</v>
      </c>
      <c r="AI96" s="12">
        <f t="shared" si="10"/>
        <v>15</v>
      </c>
      <c r="AJ96" s="12">
        <f t="shared" si="11"/>
        <v>0</v>
      </c>
      <c r="AK96" s="12">
        <f t="shared" si="12"/>
        <v>65535</v>
      </c>
      <c r="AL96" s="12" t="str">
        <f t="shared" si="13"/>
        <v>-</v>
      </c>
      <c r="AM96" s="22">
        <f t="shared" si="462"/>
        <v>8499</v>
      </c>
      <c r="AN96" s="12">
        <f t="shared" si="15"/>
        <v>8499</v>
      </c>
      <c r="AO96" s="22" t="str">
        <f ca="1">IF(AF96="-",VLOOKUP(AD96,MemoryView!$A$3:$F$108,6,0),MID(VLOOKUP(AF96,MemoryView!$BD$3:$BE$108,2,0),15-AI96+1,AH96))</f>
        <v>0010000100110011</v>
      </c>
      <c r="AP96" s="22">
        <f t="shared" ca="1" si="16"/>
        <v>8499</v>
      </c>
      <c r="AQ96" s="53" t="str">
        <f t="shared" si="17"/>
        <v>`EE_MNG.B1.SET(8499);        // [-32768..32767]</v>
      </c>
      <c r="AR96" s="54" t="str">
        <f t="shared" ca="1" si="18"/>
        <v>EE_MEM #(`PARAM(16'h1026, 0, 16, 1)) B1(); bit signed [16-1:0] B1_V; assign B1_V = B1.GET;</v>
      </c>
      <c r="AS96" s="12" t="str">
        <f t="shared" ca="1" si="19"/>
        <v>EE_B1</v>
      </c>
    </row>
    <row r="97" spans="2:45">
      <c r="B97" s="47" t="str">
        <f t="shared" ca="1" si="20"/>
        <v>CUST</v>
      </c>
      <c r="C97" s="47" t="s">
        <v>88</v>
      </c>
      <c r="D97" s="48" t="s">
        <v>58</v>
      </c>
      <c r="E97" s="60" t="str">
        <f ca="1">"0x"&amp;DEC2HEX(HEX2DEC(RIGHT(INDIRECT(ADDRESS(ROW()-1,COLUMN())),4))+2,4)</f>
        <v>0x1028</v>
      </c>
      <c r="F97" s="49">
        <v>16</v>
      </c>
      <c r="G97" s="49">
        <v>0</v>
      </c>
      <c r="H97" s="49">
        <v>1</v>
      </c>
      <c r="I97" s="49" t="s">
        <v>58</v>
      </c>
      <c r="J97" s="50" t="str">
        <f t="shared" si="0"/>
        <v>-</v>
      </c>
      <c r="K97" s="50">
        <f t="shared" si="1"/>
        <v>-32768</v>
      </c>
      <c r="L97" s="50">
        <f t="shared" si="2"/>
        <v>32767</v>
      </c>
      <c r="M97" s="51" t="s">
        <v>81</v>
      </c>
      <c r="N97" s="28"/>
      <c r="O97" s="52"/>
      <c r="P97" s="52"/>
      <c r="Q97" s="52"/>
      <c r="R97" s="52"/>
      <c r="S97" s="140"/>
      <c r="T97" s="165"/>
      <c r="U97" s="165"/>
      <c r="V97" s="165"/>
      <c r="W97" s="28"/>
      <c r="X97" s="52">
        <f t="shared" ca="1" si="3"/>
        <v>-10063</v>
      </c>
      <c r="Y97" s="32"/>
      <c r="AC97" s="12">
        <f t="shared" si="461"/>
        <v>1</v>
      </c>
      <c r="AD97" s="12" t="str">
        <f t="shared" ca="1" si="5"/>
        <v>0x1028</v>
      </c>
      <c r="AE97" s="12" t="str">
        <f t="shared" si="6"/>
        <v>EE_B2</v>
      </c>
      <c r="AF97" s="12" t="str">
        <f t="shared" si="7"/>
        <v>-</v>
      </c>
      <c r="AG97" s="12" t="str">
        <f t="shared" si="8"/>
        <v>-</v>
      </c>
      <c r="AH97" s="12" t="str">
        <f t="shared" si="9"/>
        <v>-</v>
      </c>
      <c r="AI97" s="12" t="str">
        <f t="shared" si="10"/>
        <v>-</v>
      </c>
      <c r="AJ97" s="12" t="str">
        <f t="shared" si="11"/>
        <v>-</v>
      </c>
      <c r="AK97" s="12" t="str">
        <f t="shared" ca="1" si="12"/>
        <v>0x1028</v>
      </c>
      <c r="AL97" s="12" t="str">
        <f t="shared" ca="1" si="13"/>
        <v>CUST</v>
      </c>
      <c r="AM97" s="22">
        <f t="shared" si="462"/>
        <v>0</v>
      </c>
      <c r="AN97" s="12" t="str">
        <f t="shared" ca="1" si="15"/>
        <v>0x1028</v>
      </c>
      <c r="AO97" s="22" t="str">
        <f ca="1">IF(AF97="-",VLOOKUP(AD97,MemoryView!$A$3:$F$108,6,0),MID(VLOOKUP(AF97,MemoryView!$BD$3:$BE$108,2,0),15-AI97+1,AH97))</f>
        <v>D8B1</v>
      </c>
      <c r="AP97" s="22">
        <f t="shared" ca="1" si="16"/>
        <v>55473</v>
      </c>
      <c r="AQ97" s="53" t="str">
        <f t="shared" si="17"/>
        <v>-</v>
      </c>
      <c r="AR97" s="54" t="str">
        <f t="shared" ca="1" si="18"/>
        <v>EE_MEM #(`PARAM(16'h1028, 0, 16, 1)) EE_B2(); bit signed [16-1:0] EE_B2_V; assign EE_B2_V = EE_B2.GET;</v>
      </c>
      <c r="AS97" s="12" t="str">
        <f t="shared" ca="1" si="19"/>
        <v>EE_B2</v>
      </c>
    </row>
    <row r="98" spans="2:45">
      <c r="B98" s="55" t="str">
        <f t="shared" ca="1" si="20"/>
        <v>CUST</v>
      </c>
      <c r="C98" s="55" t="s">
        <v>58</v>
      </c>
      <c r="D98" s="56" t="str">
        <f>RIGHT(C97,LEN(C97)-3)</f>
        <v>B2</v>
      </c>
      <c r="E98" s="57" t="str">
        <f ca="1">INDIRECT(ADDRESS(ROW()-1,COLUMN()))</f>
        <v>0x1028</v>
      </c>
      <c r="F98" s="57">
        <v>16</v>
      </c>
      <c r="G98" s="57">
        <v>0</v>
      </c>
      <c r="H98" s="57">
        <v>1</v>
      </c>
      <c r="I98" s="57" t="s">
        <v>76</v>
      </c>
      <c r="J98" s="50" t="str">
        <f t="shared" si="0"/>
        <v>[15:0]</v>
      </c>
      <c r="K98" s="50">
        <f t="shared" si="1"/>
        <v>-32768</v>
      </c>
      <c r="L98" s="50">
        <f t="shared" si="2"/>
        <v>32767</v>
      </c>
      <c r="M98" s="58" t="s">
        <v>82</v>
      </c>
      <c r="N98" s="28"/>
      <c r="O98" s="57">
        <v>-10063</v>
      </c>
      <c r="P98" s="57">
        <f>O98</f>
        <v>-10063</v>
      </c>
      <c r="Q98" s="57">
        <f>O98</f>
        <v>-10063</v>
      </c>
      <c r="R98" s="57">
        <f>O98</f>
        <v>-10063</v>
      </c>
      <c r="S98" s="163">
        <f>P98</f>
        <v>-10063</v>
      </c>
      <c r="T98" s="163">
        <v>-10063</v>
      </c>
      <c r="U98" s="163">
        <f>S98</f>
        <v>-10063</v>
      </c>
      <c r="V98" s="163">
        <f t="shared" si="327"/>
        <v>-10063</v>
      </c>
      <c r="W98" s="59"/>
      <c r="X98" s="57">
        <f t="shared" ca="1" si="3"/>
        <v>-10063</v>
      </c>
      <c r="Y98" s="32"/>
      <c r="AC98" s="12" t="b">
        <f t="shared" si="461"/>
        <v>1</v>
      </c>
      <c r="AD98" s="12" t="str">
        <f t="shared" si="5"/>
        <v>-</v>
      </c>
      <c r="AE98" s="12" t="str">
        <f t="shared" si="6"/>
        <v>-</v>
      </c>
      <c r="AF98" s="12" t="str">
        <f t="shared" ca="1" si="7"/>
        <v>0x1028</v>
      </c>
      <c r="AG98" s="12" t="str">
        <f t="shared" si="8"/>
        <v>B2</v>
      </c>
      <c r="AH98" s="12">
        <f t="shared" si="9"/>
        <v>16</v>
      </c>
      <c r="AI98" s="12">
        <f t="shared" si="10"/>
        <v>15</v>
      </c>
      <c r="AJ98" s="12">
        <f t="shared" si="11"/>
        <v>0</v>
      </c>
      <c r="AK98" s="12">
        <f t="shared" si="12"/>
        <v>65535</v>
      </c>
      <c r="AL98" s="12" t="str">
        <f t="shared" si="13"/>
        <v>-</v>
      </c>
      <c r="AM98" s="22">
        <f t="shared" si="462"/>
        <v>-10063</v>
      </c>
      <c r="AN98" s="12">
        <f t="shared" si="15"/>
        <v>55473</v>
      </c>
      <c r="AO98" s="22" t="str">
        <f ca="1">IF(AF98="-",VLOOKUP(AD98,MemoryView!$A$3:$F$108,6,0),MID(VLOOKUP(AF98,MemoryView!$BD$3:$BE$108,2,0),15-AI98+1,AH98))</f>
        <v>1101100010110001</v>
      </c>
      <c r="AP98" s="22">
        <f t="shared" ca="1" si="16"/>
        <v>55473</v>
      </c>
      <c r="AQ98" s="53" t="str">
        <f t="shared" si="17"/>
        <v>`EE_MNG.B2.SET(-10063);        // [-32768..32767]</v>
      </c>
      <c r="AR98" s="54" t="str">
        <f t="shared" ca="1" si="18"/>
        <v>EE_MEM #(`PARAM(16'h1028, 0, 16, 1)) B2(); bit signed [16-1:0] B2_V; assign B2_V = B2.GET;</v>
      </c>
      <c r="AS98" s="12" t="str">
        <f t="shared" ca="1" si="19"/>
        <v>EE_B2</v>
      </c>
    </row>
    <row r="99" spans="2:45">
      <c r="B99" s="47" t="str">
        <f t="shared" ca="1" si="20"/>
        <v>CUST</v>
      </c>
      <c r="C99" s="47" t="s">
        <v>89</v>
      </c>
      <c r="D99" s="48" t="s">
        <v>58</v>
      </c>
      <c r="E99" s="60" t="str">
        <f ca="1">"0x"&amp;DEC2HEX(HEX2DEC(RIGHT(INDIRECT(ADDRESS(ROW()-1,COLUMN())),4))+2,4)</f>
        <v>0x102A</v>
      </c>
      <c r="F99" s="49">
        <v>16</v>
      </c>
      <c r="G99" s="49">
        <v>0</v>
      </c>
      <c r="H99" s="49">
        <v>1</v>
      </c>
      <c r="I99" s="49" t="s">
        <v>58</v>
      </c>
      <c r="J99" s="50" t="str">
        <f t="shared" si="0"/>
        <v>-</v>
      </c>
      <c r="K99" s="50">
        <f t="shared" si="1"/>
        <v>-32768</v>
      </c>
      <c r="L99" s="50">
        <f t="shared" si="2"/>
        <v>32767</v>
      </c>
      <c r="M99" s="51" t="s">
        <v>81</v>
      </c>
      <c r="N99" s="28"/>
      <c r="O99" s="52"/>
      <c r="P99" s="52"/>
      <c r="Q99" s="52"/>
      <c r="R99" s="52"/>
      <c r="S99" s="140"/>
      <c r="T99" s="165"/>
      <c r="U99" s="165"/>
      <c r="V99" s="165"/>
      <c r="W99" s="28"/>
      <c r="X99" s="52">
        <f t="shared" ca="1" si="3"/>
        <v>-10892</v>
      </c>
      <c r="Y99" s="32"/>
      <c r="AC99" s="12">
        <f t="shared" si="461"/>
        <v>1</v>
      </c>
      <c r="AD99" s="12" t="str">
        <f t="shared" ca="1" si="5"/>
        <v>0x102A</v>
      </c>
      <c r="AE99" s="12" t="str">
        <f t="shared" si="6"/>
        <v>EE_B3</v>
      </c>
      <c r="AF99" s="12" t="str">
        <f t="shared" si="7"/>
        <v>-</v>
      </c>
      <c r="AG99" s="12" t="str">
        <f t="shared" si="8"/>
        <v>-</v>
      </c>
      <c r="AH99" s="12" t="str">
        <f t="shared" si="9"/>
        <v>-</v>
      </c>
      <c r="AI99" s="12" t="str">
        <f t="shared" si="10"/>
        <v>-</v>
      </c>
      <c r="AJ99" s="12" t="str">
        <f t="shared" si="11"/>
        <v>-</v>
      </c>
      <c r="AK99" s="12" t="str">
        <f t="shared" ca="1" si="12"/>
        <v>0x102A</v>
      </c>
      <c r="AL99" s="12" t="str">
        <f t="shared" ca="1" si="13"/>
        <v>CUST</v>
      </c>
      <c r="AM99" s="22">
        <f t="shared" si="462"/>
        <v>0</v>
      </c>
      <c r="AN99" s="12" t="str">
        <f t="shared" ca="1" si="15"/>
        <v>0x102A</v>
      </c>
      <c r="AO99" s="22" t="str">
        <f ca="1">IF(AF99="-",VLOOKUP(AD99,MemoryView!$A$3:$F$108,6,0),MID(VLOOKUP(AF99,MemoryView!$BD$3:$BE$108,2,0),15-AI99+1,AH99))</f>
        <v>D574</v>
      </c>
      <c r="AP99" s="22">
        <f t="shared" ca="1" si="16"/>
        <v>54644</v>
      </c>
      <c r="AQ99" s="53" t="str">
        <f t="shared" si="17"/>
        <v>-</v>
      </c>
      <c r="AR99" s="54" t="str">
        <f t="shared" ca="1" si="18"/>
        <v>EE_MEM #(`PARAM(16'h102A, 0, 16, 1)) EE_B3(); bit signed [16-1:0] EE_B3_V; assign EE_B3_V = EE_B3.GET;</v>
      </c>
      <c r="AS99" s="12" t="str">
        <f t="shared" ca="1" si="19"/>
        <v>EE_B3</v>
      </c>
    </row>
    <row r="100" spans="2:45">
      <c r="B100" s="55" t="str">
        <f t="shared" ca="1" si="20"/>
        <v>CUST</v>
      </c>
      <c r="C100" s="55" t="s">
        <v>58</v>
      </c>
      <c r="D100" s="56" t="str">
        <f>RIGHT(C99,LEN(C99)-3)</f>
        <v>B3</v>
      </c>
      <c r="E100" s="57" t="str">
        <f ca="1">INDIRECT(ADDRESS(ROW()-1,COLUMN()))</f>
        <v>0x102A</v>
      </c>
      <c r="F100" s="57">
        <v>16</v>
      </c>
      <c r="G100" s="57">
        <v>0</v>
      </c>
      <c r="H100" s="57">
        <v>1</v>
      </c>
      <c r="I100" s="57" t="s">
        <v>76</v>
      </c>
      <c r="J100" s="50">
        <v>255</v>
      </c>
      <c r="K100" s="50">
        <f t="shared" si="1"/>
        <v>-32768</v>
      </c>
      <c r="L100" s="50">
        <f t="shared" si="2"/>
        <v>32767</v>
      </c>
      <c r="M100" s="58" t="s">
        <v>82</v>
      </c>
      <c r="N100" s="28"/>
      <c r="O100" s="57">
        <v>-10892</v>
      </c>
      <c r="P100" s="57">
        <f>O100</f>
        <v>-10892</v>
      </c>
      <c r="Q100" s="57">
        <f>O100</f>
        <v>-10892</v>
      </c>
      <c r="R100" s="57">
        <f>O100</f>
        <v>-10892</v>
      </c>
      <c r="S100" s="163">
        <f>P100</f>
        <v>-10892</v>
      </c>
      <c r="T100" s="163">
        <v>-10892</v>
      </c>
      <c r="U100" s="163">
        <f>S100</f>
        <v>-10892</v>
      </c>
      <c r="V100" s="163">
        <f t="shared" si="327"/>
        <v>-10892</v>
      </c>
      <c r="W100" s="59"/>
      <c r="X100" s="57">
        <f t="shared" ca="1" si="3"/>
        <v>-10892</v>
      </c>
      <c r="Y100" s="32"/>
      <c r="AC100" s="12" t="b">
        <f t="shared" si="461"/>
        <v>1</v>
      </c>
      <c r="AD100" s="12" t="str">
        <f t="shared" si="5"/>
        <v>-</v>
      </c>
      <c r="AE100" s="12" t="str">
        <f t="shared" si="6"/>
        <v>-</v>
      </c>
      <c r="AF100" s="12" t="str">
        <f t="shared" ca="1" si="7"/>
        <v>0x102A</v>
      </c>
      <c r="AG100" s="12" t="str">
        <f t="shared" si="8"/>
        <v>B3</v>
      </c>
      <c r="AH100" s="12">
        <f t="shared" si="9"/>
        <v>16</v>
      </c>
      <c r="AI100" s="12">
        <f t="shared" si="10"/>
        <v>15</v>
      </c>
      <c r="AJ100" s="12">
        <f t="shared" si="11"/>
        <v>0</v>
      </c>
      <c r="AK100" s="12">
        <f t="shared" si="12"/>
        <v>65535</v>
      </c>
      <c r="AL100" s="12" t="str">
        <f t="shared" si="13"/>
        <v>-</v>
      </c>
      <c r="AM100" s="22">
        <f t="shared" si="462"/>
        <v>-10892</v>
      </c>
      <c r="AN100" s="12">
        <f t="shared" si="15"/>
        <v>54644</v>
      </c>
      <c r="AO100" s="22" t="str">
        <f ca="1">IF(AF100="-",VLOOKUP(AD100,MemoryView!$A$3:$F$108,6,0),MID(VLOOKUP(AF100,MemoryView!$BD$3:$BE$108,2,0),15-AI100+1,AH100))</f>
        <v>1101010101110100</v>
      </c>
      <c r="AP100" s="22">
        <f t="shared" ca="1" si="16"/>
        <v>54644</v>
      </c>
      <c r="AQ100" s="53" t="str">
        <f t="shared" si="17"/>
        <v>`EE_MNG.B3.SET(-10892);        // [-32768..32767]</v>
      </c>
      <c r="AR100" s="54" t="str">
        <f t="shared" ca="1" si="18"/>
        <v>EE_MEM #(`PARAM(16'h102A, 0, 16, 1)) B3(); bit signed [16-1:0] B3_V; assign B3_V = B3.GET;</v>
      </c>
      <c r="AS100" s="12" t="str">
        <f t="shared" ca="1" si="19"/>
        <v>EE_B3</v>
      </c>
    </row>
    <row r="101" spans="2:45">
      <c r="B101" s="47" t="str">
        <f t="shared" ca="1" si="20"/>
        <v>CUST</v>
      </c>
      <c r="C101" s="47" t="s">
        <v>90</v>
      </c>
      <c r="D101" s="48" t="s">
        <v>58</v>
      </c>
      <c r="E101" s="60" t="str">
        <f ca="1">"0x"&amp;DEC2HEX(HEX2DEC(RIGHT(INDIRECT(ADDRESS(ROW()-1,COLUMN())),4))+2,4)</f>
        <v>0x102C</v>
      </c>
      <c r="F101" s="49">
        <v>16</v>
      </c>
      <c r="G101" s="49">
        <v>0</v>
      </c>
      <c r="H101" s="49">
        <v>1</v>
      </c>
      <c r="I101" s="49" t="s">
        <v>58</v>
      </c>
      <c r="J101" s="50" t="str">
        <f t="shared" si="0"/>
        <v>-</v>
      </c>
      <c r="K101" s="50">
        <f t="shared" si="1"/>
        <v>-32768</v>
      </c>
      <c r="L101" s="50">
        <f t="shared" si="2"/>
        <v>32767</v>
      </c>
      <c r="M101" s="51" t="s">
        <v>81</v>
      </c>
      <c r="N101" s="28"/>
      <c r="O101" s="52"/>
      <c r="P101" s="52"/>
      <c r="Q101" s="52"/>
      <c r="R101" s="52"/>
      <c r="S101" s="140"/>
      <c r="T101" s="165"/>
      <c r="U101" s="165"/>
      <c r="V101" s="165"/>
      <c r="W101" s="28"/>
      <c r="X101" s="52">
        <f t="shared" ca="1" si="3"/>
        <v>-2</v>
      </c>
      <c r="Y101" s="32"/>
      <c r="AC101" s="12">
        <f t="shared" si="461"/>
        <v>1</v>
      </c>
      <c r="AD101" s="12" t="str">
        <f t="shared" ca="1" si="5"/>
        <v>0x102C</v>
      </c>
      <c r="AE101" s="12" t="str">
        <f t="shared" si="6"/>
        <v>EE_C0</v>
      </c>
      <c r="AF101" s="12" t="str">
        <f t="shared" si="7"/>
        <v>-</v>
      </c>
      <c r="AG101" s="12" t="str">
        <f t="shared" si="8"/>
        <v>-</v>
      </c>
      <c r="AH101" s="12" t="str">
        <f t="shared" si="9"/>
        <v>-</v>
      </c>
      <c r="AI101" s="12" t="str">
        <f t="shared" si="10"/>
        <v>-</v>
      </c>
      <c r="AJ101" s="12" t="str">
        <f t="shared" si="11"/>
        <v>-</v>
      </c>
      <c r="AK101" s="12" t="str">
        <f t="shared" ca="1" si="12"/>
        <v>0x102C</v>
      </c>
      <c r="AL101" s="12" t="str">
        <f t="shared" ca="1" si="13"/>
        <v>CUST</v>
      </c>
      <c r="AM101" s="22">
        <f t="shared" si="462"/>
        <v>0</v>
      </c>
      <c r="AN101" s="12" t="str">
        <f t="shared" ca="1" si="15"/>
        <v>0x102C</v>
      </c>
      <c r="AO101" s="22" t="str">
        <f ca="1">IF(AF101="-",VLOOKUP(AD101,MemoryView!$A$3:$F$108,6,0),MID(VLOOKUP(AF101,MemoryView!$BD$3:$BE$108,2,0),15-AI101+1,AH101))</f>
        <v>FFFE</v>
      </c>
      <c r="AP101" s="22">
        <f t="shared" ca="1" si="16"/>
        <v>65534</v>
      </c>
      <c r="AQ101" s="53" t="str">
        <f t="shared" si="17"/>
        <v>-</v>
      </c>
      <c r="AR101" s="54" t="str">
        <f t="shared" ca="1" si="18"/>
        <v>EE_MEM #(`PARAM(16'h102C, 0, 16, 1)) EE_C0(); bit signed [16-1:0] EE_C0_V; assign EE_C0_V = EE_C0.GET;</v>
      </c>
      <c r="AS101" s="12" t="str">
        <f t="shared" ca="1" si="19"/>
        <v>EE_C0</v>
      </c>
    </row>
    <row r="102" spans="2:45">
      <c r="B102" s="55" t="str">
        <f t="shared" ca="1" si="20"/>
        <v>CUST</v>
      </c>
      <c r="C102" s="55" t="s">
        <v>58</v>
      </c>
      <c r="D102" s="56" t="str">
        <f>RIGHT(C101,LEN(C101)-3)</f>
        <v>C0</v>
      </c>
      <c r="E102" s="57" t="str">
        <f ca="1">INDIRECT(ADDRESS(ROW()-1,COLUMN()))</f>
        <v>0x102C</v>
      </c>
      <c r="F102" s="57">
        <v>16</v>
      </c>
      <c r="G102" s="57">
        <v>0</v>
      </c>
      <c r="H102" s="57">
        <v>1</v>
      </c>
      <c r="I102" s="57" t="s">
        <v>76</v>
      </c>
      <c r="J102" s="50" t="str">
        <f t="shared" si="0"/>
        <v>[15:0]</v>
      </c>
      <c r="K102" s="50">
        <f t="shared" si="1"/>
        <v>-32768</v>
      </c>
      <c r="L102" s="50">
        <f t="shared" si="2"/>
        <v>32767</v>
      </c>
      <c r="M102" s="58" t="s">
        <v>82</v>
      </c>
      <c r="N102" s="28"/>
      <c r="O102" s="57">
        <v>-2</v>
      </c>
      <c r="P102" s="57">
        <f>O102</f>
        <v>-2</v>
      </c>
      <c r="Q102" s="57">
        <f>O102</f>
        <v>-2</v>
      </c>
      <c r="R102" s="57">
        <f>O102</f>
        <v>-2</v>
      </c>
      <c r="S102" s="163">
        <f>P102</f>
        <v>-2</v>
      </c>
      <c r="T102" s="163">
        <v>-2</v>
      </c>
      <c r="U102" s="163">
        <f>S102</f>
        <v>-2</v>
      </c>
      <c r="V102" s="163">
        <f t="shared" si="327"/>
        <v>-2</v>
      </c>
      <c r="W102" s="59"/>
      <c r="X102" s="57">
        <f t="shared" ca="1" si="3"/>
        <v>-2</v>
      </c>
      <c r="Y102" s="32"/>
      <c r="AC102" s="12" t="b">
        <f t="shared" si="461"/>
        <v>1</v>
      </c>
      <c r="AD102" s="12" t="str">
        <f t="shared" si="5"/>
        <v>-</v>
      </c>
      <c r="AE102" s="12" t="str">
        <f t="shared" si="6"/>
        <v>-</v>
      </c>
      <c r="AF102" s="12" t="str">
        <f t="shared" ca="1" si="7"/>
        <v>0x102C</v>
      </c>
      <c r="AG102" s="12" t="str">
        <f t="shared" si="8"/>
        <v>C0</v>
      </c>
      <c r="AH102" s="12">
        <f t="shared" si="9"/>
        <v>16</v>
      </c>
      <c r="AI102" s="12">
        <f t="shared" si="10"/>
        <v>15</v>
      </c>
      <c r="AJ102" s="12">
        <f t="shared" si="11"/>
        <v>0</v>
      </c>
      <c r="AK102" s="12">
        <f t="shared" si="12"/>
        <v>65535</v>
      </c>
      <c r="AL102" s="12" t="str">
        <f t="shared" si="13"/>
        <v>-</v>
      </c>
      <c r="AM102" s="22">
        <f t="shared" si="462"/>
        <v>-2</v>
      </c>
      <c r="AN102" s="12">
        <f t="shared" si="15"/>
        <v>65534</v>
      </c>
      <c r="AO102" s="22" t="str">
        <f ca="1">IF(AF102="-",VLOOKUP(AD102,MemoryView!$A$3:$F$108,6,0),MID(VLOOKUP(AF102,MemoryView!$BD$3:$BE$108,2,0),15-AI102+1,AH102))</f>
        <v>1111111111111110</v>
      </c>
      <c r="AP102" s="22">
        <f t="shared" ca="1" si="16"/>
        <v>65534</v>
      </c>
      <c r="AQ102" s="53" t="str">
        <f t="shared" si="17"/>
        <v>`EE_MNG.C0.SET(-2);        // [-32768..32767]</v>
      </c>
      <c r="AR102" s="54" t="str">
        <f t="shared" ca="1" si="18"/>
        <v>EE_MEM #(`PARAM(16'h102C, 0, 16, 1)) C0(); bit signed [16-1:0] C0_V; assign C0_V = C0.GET;</v>
      </c>
      <c r="AS102" s="12" t="str">
        <f t="shared" ca="1" si="19"/>
        <v>EE_C0</v>
      </c>
    </row>
    <row r="103" spans="2:45">
      <c r="B103" s="47" t="str">
        <f t="shared" ca="1" si="20"/>
        <v>CUST</v>
      </c>
      <c r="C103" s="47" t="s">
        <v>91</v>
      </c>
      <c r="D103" s="48" t="s">
        <v>58</v>
      </c>
      <c r="E103" s="60" t="str">
        <f ca="1">"0x"&amp;DEC2HEX(HEX2DEC(RIGHT(INDIRECT(ADDRESS(ROW()-1,COLUMN())),4))+2,4)</f>
        <v>0x102E</v>
      </c>
      <c r="F103" s="49">
        <v>16</v>
      </c>
      <c r="G103" s="49">
        <v>0</v>
      </c>
      <c r="H103" s="49">
        <v>1</v>
      </c>
      <c r="I103" s="49" t="s">
        <v>58</v>
      </c>
      <c r="J103" s="50" t="str">
        <f t="shared" si="0"/>
        <v>-</v>
      </c>
      <c r="K103" s="50">
        <f t="shared" si="1"/>
        <v>-32768</v>
      </c>
      <c r="L103" s="50">
        <f t="shared" si="2"/>
        <v>32767</v>
      </c>
      <c r="M103" s="51" t="s">
        <v>81</v>
      </c>
      <c r="N103" s="28"/>
      <c r="O103" s="52"/>
      <c r="P103" s="52"/>
      <c r="Q103" s="52"/>
      <c r="R103" s="52"/>
      <c r="S103" s="140"/>
      <c r="T103" s="165"/>
      <c r="U103" s="165"/>
      <c r="V103" s="165"/>
      <c r="W103" s="28"/>
      <c r="X103" s="52">
        <f t="shared" ca="1" si="3"/>
        <v>0</v>
      </c>
      <c r="Y103" s="32"/>
      <c r="AC103" s="12">
        <f t="shared" si="461"/>
        <v>1</v>
      </c>
      <c r="AD103" s="12" t="str">
        <f t="shared" ca="1" si="5"/>
        <v>0x102E</v>
      </c>
      <c r="AE103" s="12" t="str">
        <f t="shared" si="6"/>
        <v>EE_C1</v>
      </c>
      <c r="AF103" s="12" t="str">
        <f t="shared" si="7"/>
        <v>-</v>
      </c>
      <c r="AG103" s="12" t="str">
        <f t="shared" si="8"/>
        <v>-</v>
      </c>
      <c r="AH103" s="12" t="str">
        <f t="shared" si="9"/>
        <v>-</v>
      </c>
      <c r="AI103" s="12" t="str">
        <f t="shared" si="10"/>
        <v>-</v>
      </c>
      <c r="AJ103" s="12" t="str">
        <f t="shared" si="11"/>
        <v>-</v>
      </c>
      <c r="AK103" s="12" t="str">
        <f t="shared" ca="1" si="12"/>
        <v>0x102E</v>
      </c>
      <c r="AL103" s="12" t="str">
        <f t="shared" ca="1" si="13"/>
        <v>CUST</v>
      </c>
      <c r="AM103" s="22">
        <f t="shared" si="462"/>
        <v>0</v>
      </c>
      <c r="AN103" s="12" t="str">
        <f t="shared" ca="1" si="15"/>
        <v>0x102E</v>
      </c>
      <c r="AO103" s="22" t="str">
        <f ca="1">IF(AF103="-",VLOOKUP(AD103,MemoryView!$A$3:$F$108,6,0),MID(VLOOKUP(AF103,MemoryView!$BD$3:$BE$108,2,0),15-AI103+1,AH103))</f>
        <v>0000</v>
      </c>
      <c r="AP103" s="22">
        <f t="shared" ca="1" si="16"/>
        <v>0</v>
      </c>
      <c r="AQ103" s="53" t="str">
        <f t="shared" si="17"/>
        <v>-</v>
      </c>
      <c r="AR103" s="54" t="str">
        <f t="shared" ca="1" si="18"/>
        <v>EE_MEM #(`PARAM(16'h102E, 0, 16, 1)) EE_C1(); bit signed [16-1:0] EE_C1_V; assign EE_C1_V = EE_C1.GET;</v>
      </c>
      <c r="AS103" s="12" t="str">
        <f t="shared" ca="1" si="19"/>
        <v>EE_C1</v>
      </c>
    </row>
    <row r="104" spans="2:45">
      <c r="B104" s="55" t="str">
        <f t="shared" ca="1" si="20"/>
        <v>CUST</v>
      </c>
      <c r="C104" s="55" t="s">
        <v>58</v>
      </c>
      <c r="D104" s="56" t="str">
        <f>RIGHT(C103,LEN(C103)-3)</f>
        <v>C1</v>
      </c>
      <c r="E104" s="57" t="str">
        <f ca="1">INDIRECT(ADDRESS(ROW()-1,COLUMN()))</f>
        <v>0x102E</v>
      </c>
      <c r="F104" s="57">
        <v>16</v>
      </c>
      <c r="G104" s="57">
        <v>0</v>
      </c>
      <c r="H104" s="57">
        <v>1</v>
      </c>
      <c r="I104" s="57" t="s">
        <v>76</v>
      </c>
      <c r="J104" s="50" t="str">
        <f t="shared" si="0"/>
        <v>[15:0]</v>
      </c>
      <c r="K104" s="50">
        <f t="shared" si="1"/>
        <v>-32768</v>
      </c>
      <c r="L104" s="50">
        <f t="shared" si="2"/>
        <v>32767</v>
      </c>
      <c r="M104" s="58" t="s">
        <v>82</v>
      </c>
      <c r="N104" s="28"/>
      <c r="O104" s="57">
        <v>0</v>
      </c>
      <c r="P104" s="57">
        <f>O104</f>
        <v>0</v>
      </c>
      <c r="Q104" s="57">
        <f>O104</f>
        <v>0</v>
      </c>
      <c r="R104" s="57">
        <f>O104</f>
        <v>0</v>
      </c>
      <c r="S104" s="163">
        <f>P104</f>
        <v>0</v>
      </c>
      <c r="T104" s="163">
        <v>0</v>
      </c>
      <c r="U104" s="163">
        <f>S104</f>
        <v>0</v>
      </c>
      <c r="V104" s="163">
        <f t="shared" si="327"/>
        <v>0</v>
      </c>
      <c r="W104" s="59"/>
      <c r="X104" s="57">
        <f t="shared" ca="1" si="3"/>
        <v>0</v>
      </c>
      <c r="Y104" s="32"/>
      <c r="AC104" s="12" t="b">
        <f t="shared" si="461"/>
        <v>1</v>
      </c>
      <c r="AD104" s="12" t="str">
        <f t="shared" si="5"/>
        <v>-</v>
      </c>
      <c r="AE104" s="12" t="str">
        <f t="shared" si="6"/>
        <v>-</v>
      </c>
      <c r="AF104" s="12" t="str">
        <f t="shared" ca="1" si="7"/>
        <v>0x102E</v>
      </c>
      <c r="AG104" s="12" t="str">
        <f t="shared" si="8"/>
        <v>C1</v>
      </c>
      <c r="AH104" s="12">
        <f t="shared" si="9"/>
        <v>16</v>
      </c>
      <c r="AI104" s="12">
        <f t="shared" si="10"/>
        <v>15</v>
      </c>
      <c r="AJ104" s="12">
        <f t="shared" si="11"/>
        <v>0</v>
      </c>
      <c r="AK104" s="12">
        <f t="shared" si="12"/>
        <v>65535</v>
      </c>
      <c r="AL104" s="12" t="str">
        <f t="shared" si="13"/>
        <v>-</v>
      </c>
      <c r="AM104" s="22">
        <f t="shared" si="462"/>
        <v>0</v>
      </c>
      <c r="AN104" s="12">
        <f t="shared" si="15"/>
        <v>0</v>
      </c>
      <c r="AO104" s="22" t="str">
        <f ca="1">IF(AF104="-",VLOOKUP(AD104,MemoryView!$A$3:$F$108,6,0),MID(VLOOKUP(AF104,MemoryView!$BD$3:$BE$108,2,0),15-AI104+1,AH104))</f>
        <v>0000000000000000</v>
      </c>
      <c r="AP104" s="22">
        <f t="shared" ca="1" si="16"/>
        <v>0</v>
      </c>
      <c r="AQ104" s="53" t="str">
        <f t="shared" si="17"/>
        <v>`EE_MNG.C1.SET(0);        // [-32768..32767]</v>
      </c>
      <c r="AR104" s="54" t="str">
        <f t="shared" ca="1" si="18"/>
        <v>EE_MEM #(`PARAM(16'h102E, 0, 16, 1)) C1(); bit signed [16-1:0] C1_V; assign C1_V = C1.GET;</v>
      </c>
      <c r="AS104" s="12" t="str">
        <f t="shared" ca="1" si="19"/>
        <v>EE_C1</v>
      </c>
    </row>
    <row r="105" spans="2:45">
      <c r="B105" s="47" t="str">
        <f t="shared" ca="1" si="20"/>
        <v>CUST</v>
      </c>
      <c r="C105" s="47" t="s">
        <v>92</v>
      </c>
      <c r="D105" s="48" t="s">
        <v>58</v>
      </c>
      <c r="E105" s="60" t="str">
        <f ca="1">"0x"&amp;DEC2HEX(HEX2DEC(RIGHT(INDIRECT(ADDRESS(ROW()-1,COLUMN())),4))+2,4)</f>
        <v>0x1030</v>
      </c>
      <c r="F105" s="49">
        <v>16</v>
      </c>
      <c r="G105" s="49">
        <v>0</v>
      </c>
      <c r="H105" s="49">
        <v>0</v>
      </c>
      <c r="I105" s="49" t="s">
        <v>58</v>
      </c>
      <c r="J105" s="50" t="str">
        <f t="shared" si="0"/>
        <v>-</v>
      </c>
      <c r="K105" s="50">
        <f t="shared" si="1"/>
        <v>0</v>
      </c>
      <c r="L105" s="50">
        <f t="shared" si="2"/>
        <v>65535</v>
      </c>
      <c r="M105" s="51" t="s">
        <v>93</v>
      </c>
      <c r="N105" s="28"/>
      <c r="O105" s="52"/>
      <c r="P105" s="52"/>
      <c r="Q105" s="52"/>
      <c r="R105" s="52"/>
      <c r="S105" s="140"/>
      <c r="T105" s="165"/>
      <c r="U105" s="165"/>
      <c r="V105" s="165"/>
      <c r="W105" s="28"/>
      <c r="X105" s="52">
        <f t="shared" ca="1" si="3"/>
        <v>32726</v>
      </c>
      <c r="Y105" s="32"/>
      <c r="AC105" s="12">
        <f t="shared" si="461"/>
        <v>1</v>
      </c>
      <c r="AD105" s="12" t="str">
        <f t="shared" ca="1" si="5"/>
        <v>0x1030</v>
      </c>
      <c r="AE105" s="12" t="str">
        <f t="shared" si="6"/>
        <v>EE_TINT_T0</v>
      </c>
      <c r="AF105" s="12" t="str">
        <f t="shared" si="7"/>
        <v>-</v>
      </c>
      <c r="AG105" s="12" t="str">
        <f t="shared" si="8"/>
        <v>-</v>
      </c>
      <c r="AH105" s="12" t="str">
        <f t="shared" si="9"/>
        <v>-</v>
      </c>
      <c r="AI105" s="12" t="str">
        <f t="shared" si="10"/>
        <v>-</v>
      </c>
      <c r="AJ105" s="12" t="str">
        <f t="shared" si="11"/>
        <v>-</v>
      </c>
      <c r="AK105" s="12" t="str">
        <f t="shared" ca="1" si="12"/>
        <v>0x1030</v>
      </c>
      <c r="AL105" s="12" t="str">
        <f t="shared" ca="1" si="13"/>
        <v>CUST</v>
      </c>
      <c r="AM105" s="22">
        <f t="shared" si="462"/>
        <v>0</v>
      </c>
      <c r="AN105" s="12" t="str">
        <f t="shared" ca="1" si="15"/>
        <v>0x1030</v>
      </c>
      <c r="AO105" s="22" t="str">
        <f ca="1">IF(AF105="-",VLOOKUP(AD105,MemoryView!$A$3:$F$108,6,0),MID(VLOOKUP(AF105,MemoryView!$BD$3:$BE$108,2,0),15-AI105+1,AH105))</f>
        <v>7FD6</v>
      </c>
      <c r="AP105" s="22">
        <f t="shared" ca="1" si="16"/>
        <v>32726</v>
      </c>
      <c r="AQ105" s="53" t="str">
        <f t="shared" si="17"/>
        <v>-</v>
      </c>
      <c r="AR105" s="54" t="str">
        <f t="shared" ca="1" si="18"/>
        <v>EE_MEM #(`PARAM(16'h1030, 0, 16, 0)) EE_TINT_T0(); bit unsigned [16-1:0] EE_TINT_T0_V; assign EE_TINT_T0_V = EE_TINT_T0.GET;</v>
      </c>
      <c r="AS105" s="12" t="str">
        <f t="shared" ca="1" si="19"/>
        <v>EE_TINT_T0</v>
      </c>
    </row>
    <row r="106" spans="2:45">
      <c r="B106" s="55" t="str">
        <f t="shared" ca="1" si="20"/>
        <v>CUST</v>
      </c>
      <c r="C106" s="55" t="s">
        <v>58</v>
      </c>
      <c r="D106" s="56" t="str">
        <f>RIGHT(C105,LEN(C105)-3)</f>
        <v>TINT_T0</v>
      </c>
      <c r="E106" s="57" t="str">
        <f ca="1">INDIRECT(ADDRESS(ROW()-1,COLUMN()))</f>
        <v>0x1030</v>
      </c>
      <c r="F106" s="57">
        <v>16</v>
      </c>
      <c r="G106" s="57">
        <v>0</v>
      </c>
      <c r="H106" s="57">
        <v>0</v>
      </c>
      <c r="I106" s="57" t="s">
        <v>76</v>
      </c>
      <c r="J106" s="50" t="str">
        <f t="shared" si="0"/>
        <v>[15:0]</v>
      </c>
      <c r="K106" s="50">
        <f t="shared" si="1"/>
        <v>0</v>
      </c>
      <c r="L106" s="50">
        <f t="shared" si="2"/>
        <v>65535</v>
      </c>
      <c r="M106" s="58" t="s">
        <v>94</v>
      </c>
      <c r="N106" s="28"/>
      <c r="O106" s="57">
        <v>32726</v>
      </c>
      <c r="P106" s="57">
        <f>O106</f>
        <v>32726</v>
      </c>
      <c r="Q106" s="57">
        <f>O106</f>
        <v>32726</v>
      </c>
      <c r="R106" s="57">
        <f>O106</f>
        <v>32726</v>
      </c>
      <c r="S106" s="163">
        <f>P106</f>
        <v>32726</v>
      </c>
      <c r="T106" s="163">
        <v>32726</v>
      </c>
      <c r="U106" s="163">
        <f>S106</f>
        <v>32726</v>
      </c>
      <c r="V106" s="163">
        <f t="shared" si="327"/>
        <v>32726</v>
      </c>
      <c r="W106" s="59"/>
      <c r="X106" s="57">
        <f t="shared" ca="1" si="3"/>
        <v>32726</v>
      </c>
      <c r="Y106" s="32"/>
      <c r="AC106" s="12" t="b">
        <f t="shared" si="461"/>
        <v>1</v>
      </c>
      <c r="AD106" s="12" t="str">
        <f t="shared" si="5"/>
        <v>-</v>
      </c>
      <c r="AE106" s="12" t="str">
        <f t="shared" si="6"/>
        <v>-</v>
      </c>
      <c r="AF106" s="12" t="str">
        <f t="shared" ca="1" si="7"/>
        <v>0x1030</v>
      </c>
      <c r="AG106" s="12" t="str">
        <f t="shared" si="8"/>
        <v>TINT_T0</v>
      </c>
      <c r="AH106" s="12">
        <f t="shared" si="9"/>
        <v>16</v>
      </c>
      <c r="AI106" s="12">
        <f t="shared" si="10"/>
        <v>15</v>
      </c>
      <c r="AJ106" s="12">
        <f t="shared" si="11"/>
        <v>0</v>
      </c>
      <c r="AK106" s="12">
        <f t="shared" si="12"/>
        <v>65535</v>
      </c>
      <c r="AL106" s="12" t="str">
        <f t="shared" si="13"/>
        <v>-</v>
      </c>
      <c r="AM106" s="22">
        <f t="shared" si="462"/>
        <v>32726</v>
      </c>
      <c r="AN106" s="12">
        <f t="shared" si="15"/>
        <v>32726</v>
      </c>
      <c r="AO106" s="22" t="str">
        <f ca="1">IF(AF106="-",VLOOKUP(AD106,MemoryView!$A$3:$F$108,6,0),MID(VLOOKUP(AF106,MemoryView!$BD$3:$BE$108,2,0),15-AI106+1,AH106))</f>
        <v>0111111111010110</v>
      </c>
      <c r="AP106" s="22">
        <f t="shared" ca="1" si="16"/>
        <v>32726</v>
      </c>
      <c r="AQ106" s="53" t="str">
        <f t="shared" si="17"/>
        <v>`EE_MNG.TINT_T0.SET(32726);        // [0..65535]</v>
      </c>
      <c r="AR106" s="54" t="str">
        <f t="shared" ca="1" si="18"/>
        <v>EE_MEM #(`PARAM(16'h1030, 0, 16, 0)) TINT_T0(); bit unsigned [16-1:0] TINT_T0_V; assign TINT_T0_V = TINT_T0.GET;</v>
      </c>
      <c r="AS106" s="12" t="str">
        <f t="shared" ca="1" si="19"/>
        <v>EE_TINT_T0</v>
      </c>
    </row>
    <row r="107" spans="2:45">
      <c r="B107" s="47" t="str">
        <f t="shared" ca="1" si="20"/>
        <v>CUST</v>
      </c>
      <c r="C107" s="47" t="s">
        <v>589</v>
      </c>
      <c r="D107" s="48" t="s">
        <v>58</v>
      </c>
      <c r="E107" s="60" t="str">
        <f ca="1">"0x"&amp;DEC2HEX(HEX2DEC(RIGHT(INDIRECT(ADDRESS(ROW()-1,COLUMN())),4))+2,4)</f>
        <v>0x1032</v>
      </c>
      <c r="F107" s="49">
        <v>16</v>
      </c>
      <c r="G107" s="49">
        <v>0</v>
      </c>
      <c r="H107" s="49">
        <v>1</v>
      </c>
      <c r="I107" s="49" t="s">
        <v>58</v>
      </c>
      <c r="J107" s="50" t="str">
        <f t="shared" si="0"/>
        <v>-</v>
      </c>
      <c r="K107" s="50">
        <f t="shared" si="1"/>
        <v>-32768</v>
      </c>
      <c r="L107" s="50">
        <f t="shared" si="2"/>
        <v>32767</v>
      </c>
      <c r="M107" s="51" t="s">
        <v>593</v>
      </c>
      <c r="N107" s="28"/>
      <c r="O107" s="52"/>
      <c r="P107" s="52"/>
      <c r="Q107" s="52"/>
      <c r="R107" s="52"/>
      <c r="S107" s="140"/>
      <c r="T107" s="165"/>
      <c r="U107" s="165"/>
      <c r="V107" s="165"/>
      <c r="W107" s="28"/>
      <c r="X107" s="52">
        <f t="shared" ca="1" si="3"/>
        <v>1707</v>
      </c>
      <c r="Y107" s="32"/>
      <c r="AC107" s="12">
        <f t="shared" si="461"/>
        <v>1</v>
      </c>
      <c r="AD107" s="12" t="str">
        <f t="shared" ca="1" si="5"/>
        <v>0x1032</v>
      </c>
      <c r="AE107" s="12" t="str">
        <f t="shared" si="6"/>
        <v>EE_TDEV_D0</v>
      </c>
      <c r="AF107" s="12" t="str">
        <f t="shared" si="7"/>
        <v>-</v>
      </c>
      <c r="AG107" s="12" t="str">
        <f t="shared" si="8"/>
        <v>-</v>
      </c>
      <c r="AH107" s="12" t="str">
        <f t="shared" si="9"/>
        <v>-</v>
      </c>
      <c r="AI107" s="12" t="str">
        <f t="shared" si="10"/>
        <v>-</v>
      </c>
      <c r="AJ107" s="12" t="str">
        <f t="shared" si="11"/>
        <v>-</v>
      </c>
      <c r="AK107" s="12" t="str">
        <f t="shared" ca="1" si="12"/>
        <v>0x1032</v>
      </c>
      <c r="AL107" s="12" t="str">
        <f t="shared" ca="1" si="13"/>
        <v>CUST</v>
      </c>
      <c r="AM107" s="22">
        <f t="shared" si="462"/>
        <v>0</v>
      </c>
      <c r="AN107" s="12" t="str">
        <f t="shared" ca="1" si="15"/>
        <v>0x1032</v>
      </c>
      <c r="AO107" s="22" t="str">
        <f ca="1">IF(AF107="-",VLOOKUP(AD107,MemoryView!$A$3:$F$108,6,0),MID(VLOOKUP(AF107,MemoryView!$BD$3:$BE$108,2,0),15-AI107+1,AH107))</f>
        <v>06AB</v>
      </c>
      <c r="AP107" s="22">
        <f t="shared" ca="1" si="16"/>
        <v>1707</v>
      </c>
      <c r="AQ107" s="53" t="str">
        <f t="shared" si="17"/>
        <v>-</v>
      </c>
      <c r="AR107" s="54" t="str">
        <f t="shared" ca="1" si="18"/>
        <v>EE_MEM #(`PARAM(16'h1032, 0, 16, 1)) EE_TDEV_D0(); bit signed [16-1:0] EE_TDEV_D0_V; assign EE_TDEV_D0_V = EE_TDEV_D0.GET;</v>
      </c>
      <c r="AS107" s="12" t="str">
        <f t="shared" ca="1" si="19"/>
        <v>EE_TDEV_D0</v>
      </c>
    </row>
    <row r="108" spans="2:45">
      <c r="B108" s="55" t="str">
        <f t="shared" ca="1" si="20"/>
        <v>CUST</v>
      </c>
      <c r="C108" s="55" t="s">
        <v>58</v>
      </c>
      <c r="D108" s="56" t="str">
        <f>RIGHT(C107,LEN(C107)-3)</f>
        <v>TDEV_D0</v>
      </c>
      <c r="E108" s="57" t="str">
        <f ca="1">INDIRECT(ADDRESS(ROW()-1,COLUMN()))</f>
        <v>0x1032</v>
      </c>
      <c r="F108" s="57">
        <v>16</v>
      </c>
      <c r="G108" s="57">
        <v>0</v>
      </c>
      <c r="H108" s="57">
        <v>1</v>
      </c>
      <c r="I108" s="57" t="s">
        <v>76</v>
      </c>
      <c r="J108" s="50" t="str">
        <f t="shared" si="0"/>
        <v>[15:0]</v>
      </c>
      <c r="K108" s="50">
        <f t="shared" si="1"/>
        <v>-32768</v>
      </c>
      <c r="L108" s="50">
        <f t="shared" si="2"/>
        <v>32767</v>
      </c>
      <c r="M108" s="58" t="s">
        <v>592</v>
      </c>
      <c r="N108" s="28"/>
      <c r="O108" s="57">
        <v>1707</v>
      </c>
      <c r="P108" s="57">
        <f>O108</f>
        <v>1707</v>
      </c>
      <c r="Q108" s="57">
        <f>O108</f>
        <v>1707</v>
      </c>
      <c r="R108" s="57">
        <f>O108</f>
        <v>1707</v>
      </c>
      <c r="S108" s="163">
        <f>P108</f>
        <v>1707</v>
      </c>
      <c r="T108" s="163">
        <v>1707</v>
      </c>
      <c r="U108" s="163">
        <f>S108</f>
        <v>1707</v>
      </c>
      <c r="V108" s="163">
        <f t="shared" si="327"/>
        <v>1707</v>
      </c>
      <c r="W108" s="59"/>
      <c r="X108" s="57">
        <f t="shared" ca="1" si="3"/>
        <v>1707</v>
      </c>
      <c r="Y108" s="32"/>
      <c r="AC108" s="12" t="b">
        <f t="shared" si="461"/>
        <v>1</v>
      </c>
      <c r="AD108" s="12" t="str">
        <f t="shared" si="5"/>
        <v>-</v>
      </c>
      <c r="AE108" s="12" t="str">
        <f t="shared" si="6"/>
        <v>-</v>
      </c>
      <c r="AF108" s="12" t="str">
        <f t="shared" ca="1" si="7"/>
        <v>0x1032</v>
      </c>
      <c r="AG108" s="12" t="str">
        <f t="shared" si="8"/>
        <v>TDEV_D0</v>
      </c>
      <c r="AH108" s="12">
        <f t="shared" si="9"/>
        <v>16</v>
      </c>
      <c r="AI108" s="12">
        <f t="shared" si="10"/>
        <v>15</v>
      </c>
      <c r="AJ108" s="12">
        <f t="shared" si="11"/>
        <v>0</v>
      </c>
      <c r="AK108" s="12">
        <f t="shared" si="12"/>
        <v>65535</v>
      </c>
      <c r="AL108" s="12" t="str">
        <f t="shared" si="13"/>
        <v>-</v>
      </c>
      <c r="AM108" s="22">
        <f t="shared" si="462"/>
        <v>1707</v>
      </c>
      <c r="AN108" s="12">
        <f t="shared" si="15"/>
        <v>1707</v>
      </c>
      <c r="AO108" s="22" t="str">
        <f ca="1">IF(AF108="-",VLOOKUP(AD108,MemoryView!$A$3:$F$108,6,0),MID(VLOOKUP(AF108,MemoryView!$BD$3:$BE$108,2,0),15-AI108+1,AH108))</f>
        <v>0000011010101011</v>
      </c>
      <c r="AP108" s="22">
        <f t="shared" ca="1" si="16"/>
        <v>1707</v>
      </c>
      <c r="AQ108" s="53" t="str">
        <f t="shared" si="17"/>
        <v>`EE_MNG.TDEV_D0.SET(1707);        // [-32768..32767]</v>
      </c>
      <c r="AR108" s="54" t="str">
        <f t="shared" ca="1" si="18"/>
        <v>EE_MEM #(`PARAM(16'h1032, 0, 16, 1)) TDEV_D0(); bit signed [16-1:0] TDEV_D0_V; assign TDEV_D0_V = TDEV_D0.GET;</v>
      </c>
      <c r="AS108" s="12" t="str">
        <f t="shared" ca="1" si="19"/>
        <v>EE_TDEV_D0</v>
      </c>
    </row>
    <row r="109" spans="2:45">
      <c r="B109" s="47" t="str">
        <f t="shared" ca="1" si="20"/>
        <v>CUST</v>
      </c>
      <c r="C109" s="47" t="s">
        <v>590</v>
      </c>
      <c r="D109" s="48" t="s">
        <v>58</v>
      </c>
      <c r="E109" s="60" t="str">
        <f ca="1">"0x"&amp;DEC2HEX(HEX2DEC(RIGHT(INDIRECT(ADDRESS(ROW()-1,COLUMN())),4))+2,4)</f>
        <v>0x1034</v>
      </c>
      <c r="F109" s="49">
        <v>16</v>
      </c>
      <c r="G109" s="49">
        <v>0</v>
      </c>
      <c r="H109" s="49">
        <v>1</v>
      </c>
      <c r="I109" s="49" t="s">
        <v>58</v>
      </c>
      <c r="J109" s="50" t="str">
        <f t="shared" si="0"/>
        <v>-</v>
      </c>
      <c r="K109" s="50">
        <f t="shared" si="1"/>
        <v>-32768</v>
      </c>
      <c r="L109" s="50">
        <f t="shared" si="2"/>
        <v>32767</v>
      </c>
      <c r="M109" s="51" t="s">
        <v>593</v>
      </c>
      <c r="N109" s="28"/>
      <c r="O109" s="52"/>
      <c r="P109" s="52"/>
      <c r="Q109" s="52"/>
      <c r="R109" s="52"/>
      <c r="S109" s="140"/>
      <c r="T109" s="165"/>
      <c r="U109" s="165"/>
      <c r="V109" s="165"/>
      <c r="W109" s="28"/>
      <c r="X109" s="52">
        <f t="shared" ca="1" si="3"/>
        <v>6082</v>
      </c>
      <c r="Y109" s="32"/>
      <c r="AC109" s="12">
        <f t="shared" si="461"/>
        <v>1</v>
      </c>
      <c r="AD109" s="12" t="str">
        <f t="shared" ca="1" si="5"/>
        <v>0x1034</v>
      </c>
      <c r="AE109" s="12" t="str">
        <f t="shared" si="6"/>
        <v>EE_TDEV_D1</v>
      </c>
      <c r="AF109" s="12" t="str">
        <f t="shared" si="7"/>
        <v>-</v>
      </c>
      <c r="AG109" s="12" t="str">
        <f t="shared" si="8"/>
        <v>-</v>
      </c>
      <c r="AH109" s="12" t="str">
        <f t="shared" si="9"/>
        <v>-</v>
      </c>
      <c r="AI109" s="12" t="str">
        <f t="shared" si="10"/>
        <v>-</v>
      </c>
      <c r="AJ109" s="12" t="str">
        <f t="shared" si="11"/>
        <v>-</v>
      </c>
      <c r="AK109" s="12" t="str">
        <f t="shared" ca="1" si="12"/>
        <v>0x1034</v>
      </c>
      <c r="AL109" s="12" t="str">
        <f t="shared" ca="1" si="13"/>
        <v>CUST</v>
      </c>
      <c r="AM109" s="22">
        <f t="shared" si="462"/>
        <v>0</v>
      </c>
      <c r="AN109" s="12" t="str">
        <f t="shared" ca="1" si="15"/>
        <v>0x1034</v>
      </c>
      <c r="AO109" s="22" t="str">
        <f ca="1">IF(AF109="-",VLOOKUP(AD109,MemoryView!$A$3:$F$108,6,0),MID(VLOOKUP(AF109,MemoryView!$BD$3:$BE$108,2,0),15-AI109+1,AH109))</f>
        <v>17C2</v>
      </c>
      <c r="AP109" s="22">
        <f t="shared" ca="1" si="16"/>
        <v>6082</v>
      </c>
      <c r="AQ109" s="53" t="str">
        <f t="shared" si="17"/>
        <v>-</v>
      </c>
      <c r="AR109" s="54" t="str">
        <f t="shared" ca="1" si="18"/>
        <v>EE_MEM #(`PARAM(16'h1034, 0, 16, 1)) EE_TDEV_D1(); bit signed [16-1:0] EE_TDEV_D1_V; assign EE_TDEV_D1_V = EE_TDEV_D1.GET;</v>
      </c>
      <c r="AS109" s="12" t="str">
        <f t="shared" ca="1" si="19"/>
        <v>EE_TDEV_D1</v>
      </c>
    </row>
    <row r="110" spans="2:45">
      <c r="B110" s="55" t="str">
        <f t="shared" ca="1" si="20"/>
        <v>CUST</v>
      </c>
      <c r="C110" s="55" t="s">
        <v>58</v>
      </c>
      <c r="D110" s="56" t="str">
        <f>RIGHT(C109,LEN(C109)-3)</f>
        <v>TDEV_D1</v>
      </c>
      <c r="E110" s="57" t="str">
        <f ca="1">INDIRECT(ADDRESS(ROW()-1,COLUMN()))</f>
        <v>0x1034</v>
      </c>
      <c r="F110" s="57">
        <v>16</v>
      </c>
      <c r="G110" s="57">
        <v>0</v>
      </c>
      <c r="H110" s="57">
        <v>1</v>
      </c>
      <c r="I110" s="57" t="s">
        <v>76</v>
      </c>
      <c r="J110" s="50" t="str">
        <f t="shared" si="0"/>
        <v>[15:0]</v>
      </c>
      <c r="K110" s="50">
        <f t="shared" si="1"/>
        <v>-32768</v>
      </c>
      <c r="L110" s="50">
        <f t="shared" si="2"/>
        <v>32767</v>
      </c>
      <c r="M110" s="58" t="s">
        <v>592</v>
      </c>
      <c r="N110" s="28"/>
      <c r="O110" s="57">
        <v>6082</v>
      </c>
      <c r="P110" s="57">
        <f>O110</f>
        <v>6082</v>
      </c>
      <c r="Q110" s="57">
        <f>O110</f>
        <v>6082</v>
      </c>
      <c r="R110" s="57">
        <f>O110</f>
        <v>6082</v>
      </c>
      <c r="S110" s="163">
        <f>P110</f>
        <v>6082</v>
      </c>
      <c r="T110" s="163">
        <v>6082</v>
      </c>
      <c r="U110" s="163">
        <f>S110</f>
        <v>6082</v>
      </c>
      <c r="V110" s="163">
        <f t="shared" si="327"/>
        <v>6082</v>
      </c>
      <c r="W110" s="59"/>
      <c r="X110" s="57">
        <f t="shared" ca="1" si="3"/>
        <v>6082</v>
      </c>
      <c r="Y110" s="32"/>
      <c r="AC110" s="12" t="b">
        <f t="shared" si="461"/>
        <v>1</v>
      </c>
      <c r="AD110" s="12" t="str">
        <f t="shared" si="5"/>
        <v>-</v>
      </c>
      <c r="AE110" s="12" t="str">
        <f t="shared" si="6"/>
        <v>-</v>
      </c>
      <c r="AF110" s="12" t="str">
        <f t="shared" ca="1" si="7"/>
        <v>0x1034</v>
      </c>
      <c r="AG110" s="12" t="str">
        <f t="shared" si="8"/>
        <v>TDEV_D1</v>
      </c>
      <c r="AH110" s="12">
        <f t="shared" si="9"/>
        <v>16</v>
      </c>
      <c r="AI110" s="12">
        <f t="shared" si="10"/>
        <v>15</v>
      </c>
      <c r="AJ110" s="12">
        <f t="shared" si="11"/>
        <v>0</v>
      </c>
      <c r="AK110" s="12">
        <f t="shared" si="12"/>
        <v>65535</v>
      </c>
      <c r="AL110" s="12" t="str">
        <f t="shared" si="13"/>
        <v>-</v>
      </c>
      <c r="AM110" s="22">
        <f t="shared" si="462"/>
        <v>6082</v>
      </c>
      <c r="AN110" s="12">
        <f t="shared" si="15"/>
        <v>6082</v>
      </c>
      <c r="AO110" s="22" t="str">
        <f ca="1">IF(AF110="-",VLOOKUP(AD110,MemoryView!$A$3:$F$108,6,0),MID(VLOOKUP(AF110,MemoryView!$BD$3:$BE$108,2,0),15-AI110+1,AH110))</f>
        <v>0001011111000010</v>
      </c>
      <c r="AP110" s="22">
        <f t="shared" ca="1" si="16"/>
        <v>6082</v>
      </c>
      <c r="AQ110" s="53" t="str">
        <f t="shared" si="17"/>
        <v>`EE_MNG.TDEV_D1.SET(6082);        // [-32768..32767]</v>
      </c>
      <c r="AR110" s="54" t="str">
        <f t="shared" ca="1" si="18"/>
        <v>EE_MEM #(`PARAM(16'h1034, 0, 16, 1)) TDEV_D1(); bit signed [16-1:0] TDEV_D1_V; assign TDEV_D1_V = TDEV_D1.GET;</v>
      </c>
      <c r="AS110" s="12" t="str">
        <f t="shared" ca="1" si="19"/>
        <v>EE_TDEV_D1</v>
      </c>
    </row>
    <row r="111" spans="2:45">
      <c r="B111" s="47" t="str">
        <f t="shared" ref="B111:B170" ca="1" si="560">INDIRECT(ADDRESS(ROW()-1,COLUMN()))</f>
        <v>CUST</v>
      </c>
      <c r="C111" s="47" t="s">
        <v>591</v>
      </c>
      <c r="D111" s="48" t="s">
        <v>58</v>
      </c>
      <c r="E111" s="60" t="str">
        <f ca="1">"0x"&amp;DEC2HEX(HEX2DEC(RIGHT(INDIRECT(ADDRESS(ROW()-1,COLUMN())),4))+2,4)</f>
        <v>0x1036</v>
      </c>
      <c r="F111" s="49">
        <v>16</v>
      </c>
      <c r="G111" s="49">
        <v>0</v>
      </c>
      <c r="H111" s="49">
        <v>1</v>
      </c>
      <c r="I111" s="49" t="s">
        <v>58</v>
      </c>
      <c r="J111" s="50" t="str">
        <f t="shared" ref="J111:J170" si="561">IF(D111&lt;&gt;"-","["&amp;AI111&amp;":"&amp;AJ111&amp;"]","-")</f>
        <v>-</v>
      </c>
      <c r="K111" s="50">
        <f t="shared" ref="K111:K170" si="562">IF(H111,-L111-1,0)</f>
        <v>-32768</v>
      </c>
      <c r="L111" s="50">
        <f t="shared" ref="L111:L170" si="563">IF(H111,FLOOR((2^F111-1)/2,1),2^F111-1)</f>
        <v>32767</v>
      </c>
      <c r="M111" s="51" t="s">
        <v>593</v>
      </c>
      <c r="N111" s="28"/>
      <c r="O111" s="52"/>
      <c r="P111" s="52"/>
      <c r="Q111" s="52"/>
      <c r="R111" s="52"/>
      <c r="S111" s="140"/>
      <c r="T111" s="165"/>
      <c r="U111" s="165"/>
      <c r="V111" s="165"/>
      <c r="W111" s="28"/>
      <c r="X111" s="52">
        <f t="shared" ref="X111:X170" ca="1" si="564">IF(H111=0,AP111,    IF(AP111&lt;=2^(F111-1)-1,AP111,AP111-2^F111)  )</f>
        <v>-150</v>
      </c>
      <c r="Y111" s="32"/>
      <c r="AC111" s="12">
        <f t="shared" si="461"/>
        <v>1</v>
      </c>
      <c r="AD111" s="12" t="str">
        <f t="shared" ref="AD111:AD170" ca="1" si="565">IF(AND(D111="-",C111&lt;&gt;"-"),E111,"-")</f>
        <v>0x1036</v>
      </c>
      <c r="AE111" s="12" t="str">
        <f t="shared" ref="AE111:AE170" si="566">IF(D111="-",C111,"-")</f>
        <v>EE_TDEV_D2</v>
      </c>
      <c r="AF111" s="12" t="str">
        <f t="shared" ref="AF111:AF170" si="567">IF(AND(D111&lt;&gt;"-",ISTEXT(D111)),E111,"-")</f>
        <v>-</v>
      </c>
      <c r="AG111" s="12" t="str">
        <f t="shared" ref="AG111:AG170" si="568">IF(AND(D111&lt;&gt;"-",ISTEXT(D111)),D111,"-")</f>
        <v>-</v>
      </c>
      <c r="AH111" s="12" t="str">
        <f t="shared" ref="AH111:AH170" si="569">IF(D111&lt;&gt;"-",F111,"-")</f>
        <v>-</v>
      </c>
      <c r="AI111" s="12" t="str">
        <f t="shared" ref="AI111:AI170" si="570">IF(D111&lt;&gt;"-",G111+F111-1,"-")</f>
        <v>-</v>
      </c>
      <c r="AJ111" s="12" t="str">
        <f t="shared" ref="AJ111:AJ170" si="571">IF(D111&lt;&gt;"-",G111,"-")</f>
        <v>-</v>
      </c>
      <c r="AK111" s="12" t="str">
        <f t="shared" ref="AK111:AK170" ca="1" si="572">IF(OR(AH111="-",AJ111="-"),AD111,(2^AH111-1)*2^AJ111)</f>
        <v>0x1036</v>
      </c>
      <c r="AL111" s="12" t="str">
        <f t="shared" ref="AL111:AL170" ca="1" si="573">IF(D111="-",B111,"-")</f>
        <v>CUST</v>
      </c>
      <c r="AM111" s="22">
        <f t="shared" si="462"/>
        <v>0</v>
      </c>
      <c r="AN111" s="12" t="str">
        <f t="shared" ref="AN111:AN170" ca="1" si="574">IF(OR(AH111="-",AJ111="-"),AD111,IF(AM111&lt;0,AM111+2^AH111,AM111)*2^AJ111)</f>
        <v>0x1036</v>
      </c>
      <c r="AO111" s="22" t="str">
        <f ca="1">IF(AF111="-",VLOOKUP(AD111,MemoryView!$A$3:$F$108,6,0),MID(VLOOKUP(AF111,MemoryView!$BD$3:$BE$108,2,0),15-AI111+1,AH111))</f>
        <v>FF6A</v>
      </c>
      <c r="AP111" s="22">
        <f t="shared" ref="AP111:AP170" ca="1" si="575">IF(AF111="-",HEX2DEC(AO111),IF(LEN(AO111)&gt;8,BIN2DEC(LEFT(AO111,LEN(AO111)-8))*2^8+BIN2DEC(RIGHT(AO111,8)),BIN2DEC(AO111)))</f>
        <v>65386</v>
      </c>
      <c r="AQ111" s="53" t="str">
        <f t="shared" ref="AQ111:AQ170" si="576">IF(AG111&lt;&gt;"-",CONCATENATE("`EE_MNG.",AG111,".SET(",AM111,");        // [",K111,"..",L111,"]"),"-")</f>
        <v>-</v>
      </c>
      <c r="AR111" s="54" t="str">
        <f t="shared" ref="AR111:AR170" ca="1" si="577">IF(AND(AD111="-",AE111="-",AF111="-",AG111="-"),"-",IF(AG111&lt;&gt;"-",CONCATENATE("EE_MEM #(`PARAM(16'h",RIGHT(AF111,4),", ",G111,", ",F111,", ",H111,")) ",AG111,"(); bit ",IF(H111=0,"unsigned [","signed ["),F111,"-1:0] ", AG111,"_V; assign ",AG111,"_V = ",AG111,".GET;"), CONCATENATE("EE_MEM #(`PARAM(16'h",RIGHT(AD111,4),", ",G111,", ",F111,", ",H111,")) ",AE111,"(); bit ",IF(H111=0,"unsigned [","signed ["),F111,"-1:0] ", AE111,"_V; assign ",AE111,"_V = ",AE111,".GET;")))</f>
        <v>EE_MEM #(`PARAM(16'h1036, 0, 16, 1)) EE_TDEV_D2(); bit signed [16-1:0] EE_TDEV_D2_V; assign EE_TDEV_D2_V = EE_TDEV_D2.GET;</v>
      </c>
      <c r="AS111" s="12" t="str">
        <f t="shared" ref="AS111:AS170" ca="1" si="578">IF(AG111="-",AE111,INDIRECT(ADDRESS(ROW()-1,COLUMN())))</f>
        <v>EE_TDEV_D2</v>
      </c>
    </row>
    <row r="112" spans="2:45">
      <c r="B112" s="55" t="str">
        <f t="shared" ca="1" si="560"/>
        <v>CUST</v>
      </c>
      <c r="C112" s="55" t="s">
        <v>58</v>
      </c>
      <c r="D112" s="56" t="str">
        <f>RIGHT(C111,LEN(C111)-3)</f>
        <v>TDEV_D2</v>
      </c>
      <c r="E112" s="57" t="str">
        <f ca="1">INDIRECT(ADDRESS(ROW()-1,COLUMN()))</f>
        <v>0x1036</v>
      </c>
      <c r="F112" s="57">
        <v>16</v>
      </c>
      <c r="G112" s="57">
        <v>0</v>
      </c>
      <c r="H112" s="57">
        <v>1</v>
      </c>
      <c r="I112" s="57" t="s">
        <v>76</v>
      </c>
      <c r="J112" s="50" t="str">
        <f t="shared" si="561"/>
        <v>[15:0]</v>
      </c>
      <c r="K112" s="50">
        <f t="shared" si="562"/>
        <v>-32768</v>
      </c>
      <c r="L112" s="50">
        <f t="shared" si="563"/>
        <v>32767</v>
      </c>
      <c r="M112" s="58" t="s">
        <v>592</v>
      </c>
      <c r="N112" s="28"/>
      <c r="O112" s="57">
        <v>-150</v>
      </c>
      <c r="P112" s="57">
        <f>O112</f>
        <v>-150</v>
      </c>
      <c r="Q112" s="57">
        <f>O112</f>
        <v>-150</v>
      </c>
      <c r="R112" s="57">
        <f>O112</f>
        <v>-150</v>
      </c>
      <c r="S112" s="163">
        <f>P112</f>
        <v>-150</v>
      </c>
      <c r="T112" s="163">
        <v>-150</v>
      </c>
      <c r="U112" s="163">
        <f>S112</f>
        <v>-150</v>
      </c>
      <c r="V112" s="163">
        <f t="shared" si="327"/>
        <v>-150</v>
      </c>
      <c r="W112" s="59"/>
      <c r="X112" s="57">
        <f t="shared" ca="1" si="564"/>
        <v>-150</v>
      </c>
      <c r="Y112" s="32"/>
      <c r="AC112" s="12" t="b">
        <f t="shared" si="461"/>
        <v>1</v>
      </c>
      <c r="AD112" s="12" t="str">
        <f t="shared" si="565"/>
        <v>-</v>
      </c>
      <c r="AE112" s="12" t="str">
        <f t="shared" si="566"/>
        <v>-</v>
      </c>
      <c r="AF112" s="12" t="str">
        <f t="shared" ca="1" si="567"/>
        <v>0x1036</v>
      </c>
      <c r="AG112" s="12" t="str">
        <f t="shared" si="568"/>
        <v>TDEV_D2</v>
      </c>
      <c r="AH112" s="12">
        <f t="shared" si="569"/>
        <v>16</v>
      </c>
      <c r="AI112" s="12">
        <f t="shared" si="570"/>
        <v>15</v>
      </c>
      <c r="AJ112" s="12">
        <f t="shared" si="571"/>
        <v>0</v>
      </c>
      <c r="AK112" s="12">
        <f t="shared" si="572"/>
        <v>65535</v>
      </c>
      <c r="AL112" s="12" t="str">
        <f t="shared" si="573"/>
        <v>-</v>
      </c>
      <c r="AM112" s="22">
        <f t="shared" si="462"/>
        <v>-150</v>
      </c>
      <c r="AN112" s="12">
        <f t="shared" si="574"/>
        <v>65386</v>
      </c>
      <c r="AO112" s="22" t="str">
        <f ca="1">IF(AF112="-",VLOOKUP(AD112,MemoryView!$A$3:$F$108,6,0),MID(VLOOKUP(AF112,MemoryView!$BD$3:$BE$108,2,0),15-AI112+1,AH112))</f>
        <v>1111111101101010</v>
      </c>
      <c r="AP112" s="22">
        <f t="shared" ca="1" si="575"/>
        <v>65386</v>
      </c>
      <c r="AQ112" s="53" t="str">
        <f t="shared" si="576"/>
        <v>`EE_MNG.TDEV_D2.SET(-150);        // [-32768..32767]</v>
      </c>
      <c r="AR112" s="54" t="str">
        <f t="shared" ca="1" si="577"/>
        <v>EE_MEM #(`PARAM(16'h1036, 0, 16, 1)) TDEV_D2(); bit signed [16-1:0] TDEV_D2_V; assign TDEV_D2_V = TDEV_D2.GET;</v>
      </c>
      <c r="AS112" s="12" t="str">
        <f t="shared" ca="1" si="578"/>
        <v>EE_TDEV_D2</v>
      </c>
    </row>
    <row r="113" spans="2:45">
      <c r="B113" s="47" t="str">
        <f t="shared" ca="1" si="560"/>
        <v>CUST</v>
      </c>
      <c r="C113" s="47" t="s">
        <v>95</v>
      </c>
      <c r="D113" s="48" t="s">
        <v>58</v>
      </c>
      <c r="E113" s="60" t="str">
        <f ca="1">"0x"&amp;DEC2HEX(HEX2DEC(RIGHT(INDIRECT(ADDRESS(ROW()-1,COLUMN())),4))+2,4)</f>
        <v>0x1038</v>
      </c>
      <c r="F113" s="49">
        <v>16</v>
      </c>
      <c r="G113" s="49">
        <v>0</v>
      </c>
      <c r="H113" s="49">
        <v>0</v>
      </c>
      <c r="I113" s="49" t="s">
        <v>58</v>
      </c>
      <c r="J113" s="50" t="str">
        <f t="shared" si="561"/>
        <v>-</v>
      </c>
      <c r="K113" s="50">
        <f t="shared" si="562"/>
        <v>0</v>
      </c>
      <c r="L113" s="50">
        <f t="shared" si="563"/>
        <v>65535</v>
      </c>
      <c r="M113" s="51" t="s">
        <v>96</v>
      </c>
      <c r="N113" s="28"/>
      <c r="O113" s="52"/>
      <c r="P113" s="52"/>
      <c r="Q113" s="52"/>
      <c r="R113" s="52"/>
      <c r="S113" s="140"/>
      <c r="T113" s="165"/>
      <c r="U113" s="165"/>
      <c r="V113" s="165"/>
      <c r="W113" s="28"/>
      <c r="X113" s="52">
        <f t="shared" ca="1" si="564"/>
        <v>13500</v>
      </c>
      <c r="Y113" s="32"/>
      <c r="AC113" s="12">
        <f t="shared" si="461"/>
        <v>1</v>
      </c>
      <c r="AD113" s="12" t="str">
        <f t="shared" ca="1" si="565"/>
        <v>0x1038</v>
      </c>
      <c r="AE113" s="12" t="str">
        <f t="shared" si="566"/>
        <v>EE_TMEMS_T0</v>
      </c>
      <c r="AF113" s="12" t="str">
        <f t="shared" si="567"/>
        <v>-</v>
      </c>
      <c r="AG113" s="12" t="str">
        <f t="shared" si="568"/>
        <v>-</v>
      </c>
      <c r="AH113" s="12" t="str">
        <f t="shared" si="569"/>
        <v>-</v>
      </c>
      <c r="AI113" s="12" t="str">
        <f t="shared" si="570"/>
        <v>-</v>
      </c>
      <c r="AJ113" s="12" t="str">
        <f t="shared" si="571"/>
        <v>-</v>
      </c>
      <c r="AK113" s="12" t="str">
        <f t="shared" ca="1" si="572"/>
        <v>0x1038</v>
      </c>
      <c r="AL113" s="12" t="str">
        <f t="shared" ca="1" si="573"/>
        <v>CUST</v>
      </c>
      <c r="AM113" s="22">
        <f t="shared" si="462"/>
        <v>0</v>
      </c>
      <c r="AN113" s="12" t="str">
        <f t="shared" ca="1" si="574"/>
        <v>0x1038</v>
      </c>
      <c r="AO113" s="22" t="str">
        <f ca="1">IF(AF113="-",VLOOKUP(AD113,MemoryView!$A$3:$F$108,6,0),MID(VLOOKUP(AF113,MemoryView!$BD$3:$BE$108,2,0),15-AI113+1,AH113))</f>
        <v>34BC</v>
      </c>
      <c r="AP113" s="22">
        <f t="shared" ca="1" si="575"/>
        <v>13500</v>
      </c>
      <c r="AQ113" s="53" t="str">
        <f t="shared" si="576"/>
        <v>-</v>
      </c>
      <c r="AR113" s="54" t="str">
        <f t="shared" ca="1" si="577"/>
        <v>EE_MEM #(`PARAM(16'h1038, 0, 16, 0)) EE_TMEMS_T0(); bit unsigned [16-1:0] EE_TMEMS_T0_V; assign EE_TMEMS_T0_V = EE_TMEMS_T0.GET;</v>
      </c>
      <c r="AS113" s="12" t="str">
        <f t="shared" ca="1" si="578"/>
        <v>EE_TMEMS_T0</v>
      </c>
    </row>
    <row r="114" spans="2:45" ht="51">
      <c r="B114" s="55" t="str">
        <f t="shared" ca="1" si="560"/>
        <v>CUST</v>
      </c>
      <c r="C114" s="55" t="s">
        <v>58</v>
      </c>
      <c r="D114" s="56" t="str">
        <f>RIGHT(C113,LEN(C113)-3)</f>
        <v>TMEMS_T0</v>
      </c>
      <c r="E114" s="57" t="str">
        <f ca="1">INDIRECT(ADDRESS(ROW()-1,COLUMN()))</f>
        <v>0x1038</v>
      </c>
      <c r="F114" s="57">
        <v>16</v>
      </c>
      <c r="G114" s="57">
        <v>0</v>
      </c>
      <c r="H114" s="57">
        <v>0</v>
      </c>
      <c r="I114" s="57" t="s">
        <v>76</v>
      </c>
      <c r="J114" s="50" t="str">
        <f t="shared" si="561"/>
        <v>[15:0]</v>
      </c>
      <c r="K114" s="50">
        <f t="shared" si="562"/>
        <v>0</v>
      </c>
      <c r="L114" s="50">
        <f t="shared" si="563"/>
        <v>65535</v>
      </c>
      <c r="M114" s="58" t="s">
        <v>433</v>
      </c>
      <c r="N114" s="28"/>
      <c r="O114" s="57">
        <v>17865</v>
      </c>
      <c r="P114" s="57">
        <f>O114</f>
        <v>17865</v>
      </c>
      <c r="Q114" s="57">
        <v>23000</v>
      </c>
      <c r="R114" s="57">
        <v>13500</v>
      </c>
      <c r="S114" s="163">
        <v>13500</v>
      </c>
      <c r="T114" s="163">
        <v>17865</v>
      </c>
      <c r="U114" s="163">
        <f>S114</f>
        <v>13500</v>
      </c>
      <c r="V114" s="163">
        <f t="shared" si="327"/>
        <v>13500</v>
      </c>
      <c r="W114" s="59"/>
      <c r="X114" s="57">
        <f t="shared" ca="1" si="564"/>
        <v>13500</v>
      </c>
      <c r="Y114" s="32"/>
      <c r="AC114" s="12" t="b">
        <f t="shared" si="461"/>
        <v>1</v>
      </c>
      <c r="AD114" s="12" t="str">
        <f t="shared" si="565"/>
        <v>-</v>
      </c>
      <c r="AE114" s="12" t="str">
        <f t="shared" si="566"/>
        <v>-</v>
      </c>
      <c r="AF114" s="12" t="str">
        <f t="shared" ca="1" si="567"/>
        <v>0x1038</v>
      </c>
      <c r="AG114" s="12" t="str">
        <f t="shared" si="568"/>
        <v>TMEMS_T0</v>
      </c>
      <c r="AH114" s="12">
        <f t="shared" si="569"/>
        <v>16</v>
      </c>
      <c r="AI114" s="12">
        <f t="shared" si="570"/>
        <v>15</v>
      </c>
      <c r="AJ114" s="12">
        <f t="shared" si="571"/>
        <v>0</v>
      </c>
      <c r="AK114" s="12">
        <f t="shared" si="572"/>
        <v>65535</v>
      </c>
      <c r="AL114" s="12" t="str">
        <f t="shared" si="573"/>
        <v>-</v>
      </c>
      <c r="AM114" s="22">
        <f t="shared" si="462"/>
        <v>13500</v>
      </c>
      <c r="AN114" s="12">
        <f t="shared" si="574"/>
        <v>13500</v>
      </c>
      <c r="AO114" s="22" t="str">
        <f ca="1">IF(AF114="-",VLOOKUP(AD114,MemoryView!$A$3:$F$108,6,0),MID(VLOOKUP(AF114,MemoryView!$BD$3:$BE$108,2,0),15-AI114+1,AH114))</f>
        <v>0011010010111100</v>
      </c>
      <c r="AP114" s="22">
        <f t="shared" ca="1" si="575"/>
        <v>13500</v>
      </c>
      <c r="AQ114" s="53" t="str">
        <f t="shared" si="576"/>
        <v>`EE_MNG.TMEMS_T0.SET(13500);        // [0..65535]</v>
      </c>
      <c r="AR114" s="54" t="str">
        <f t="shared" ca="1" si="577"/>
        <v>EE_MEM #(`PARAM(16'h1038, 0, 16, 0)) TMEMS_T0(); bit unsigned [16-1:0] TMEMS_T0_V; assign TMEMS_T0_V = TMEMS_T0.GET;</v>
      </c>
      <c r="AS114" s="12" t="str">
        <f t="shared" ca="1" si="578"/>
        <v>EE_TMEMS_T0</v>
      </c>
    </row>
    <row r="115" spans="2:45">
      <c r="B115" s="47" t="str">
        <f t="shared" ca="1" si="560"/>
        <v>CUST</v>
      </c>
      <c r="C115" s="47" t="s">
        <v>97</v>
      </c>
      <c r="D115" s="48" t="s">
        <v>58</v>
      </c>
      <c r="E115" s="60" t="str">
        <f ca="1">"0x"&amp;DEC2HEX(HEX2DEC(RIGHT(INDIRECT(ADDRESS(ROW()-1,COLUMN())),4))+2,4)</f>
        <v>0x103A</v>
      </c>
      <c r="F115" s="49">
        <v>16</v>
      </c>
      <c r="G115" s="49">
        <v>0</v>
      </c>
      <c r="H115" s="49">
        <v>1</v>
      </c>
      <c r="I115" s="49" t="s">
        <v>58</v>
      </c>
      <c r="J115" s="50" t="str">
        <f t="shared" si="561"/>
        <v>-</v>
      </c>
      <c r="K115" s="50">
        <f t="shared" si="562"/>
        <v>-32768</v>
      </c>
      <c r="L115" s="50">
        <f t="shared" si="563"/>
        <v>32767</v>
      </c>
      <c r="M115" s="51" t="s">
        <v>98</v>
      </c>
      <c r="N115" s="28"/>
      <c r="O115" s="52"/>
      <c r="P115" s="52"/>
      <c r="Q115" s="52"/>
      <c r="R115" s="52"/>
      <c r="S115" s="140"/>
      <c r="T115" s="165"/>
      <c r="U115" s="165"/>
      <c r="V115" s="165"/>
      <c r="W115" s="28"/>
      <c r="X115" s="52">
        <f t="shared" ca="1" si="564"/>
        <v>-6732</v>
      </c>
      <c r="Y115" s="32"/>
      <c r="AC115" s="12">
        <f t="shared" si="461"/>
        <v>1</v>
      </c>
      <c r="AD115" s="12" t="str">
        <f t="shared" ca="1" si="565"/>
        <v>0x103A</v>
      </c>
      <c r="AE115" s="12" t="str">
        <f t="shared" si="566"/>
        <v>EE_TMEMS_D0</v>
      </c>
      <c r="AF115" s="12" t="str">
        <f t="shared" si="567"/>
        <v>-</v>
      </c>
      <c r="AG115" s="12" t="str">
        <f t="shared" si="568"/>
        <v>-</v>
      </c>
      <c r="AH115" s="12" t="str">
        <f t="shared" si="569"/>
        <v>-</v>
      </c>
      <c r="AI115" s="12" t="str">
        <f t="shared" si="570"/>
        <v>-</v>
      </c>
      <c r="AJ115" s="12" t="str">
        <f t="shared" si="571"/>
        <v>-</v>
      </c>
      <c r="AK115" s="12" t="str">
        <f t="shared" ca="1" si="572"/>
        <v>0x103A</v>
      </c>
      <c r="AL115" s="12" t="str">
        <f t="shared" ca="1" si="573"/>
        <v>CUST</v>
      </c>
      <c r="AM115" s="22">
        <f t="shared" si="462"/>
        <v>0</v>
      </c>
      <c r="AN115" s="12" t="str">
        <f t="shared" ca="1" si="574"/>
        <v>0x103A</v>
      </c>
      <c r="AO115" s="22" t="str">
        <f ca="1">IF(AF115="-",VLOOKUP(AD115,MemoryView!$A$3:$F$108,6,0),MID(VLOOKUP(AF115,MemoryView!$BD$3:$BE$108,2,0),15-AI115+1,AH115))</f>
        <v>E5B4</v>
      </c>
      <c r="AP115" s="22">
        <f t="shared" ca="1" si="575"/>
        <v>58804</v>
      </c>
      <c r="AQ115" s="53" t="str">
        <f t="shared" si="576"/>
        <v>-</v>
      </c>
      <c r="AR115" s="54" t="str">
        <f t="shared" ca="1" si="577"/>
        <v>EE_MEM #(`PARAM(16'h103A, 0, 16, 1)) EE_TMEMS_D0(); bit signed [16-1:0] EE_TMEMS_D0_V; assign EE_TMEMS_D0_V = EE_TMEMS_D0.GET;</v>
      </c>
      <c r="AS115" s="12" t="str">
        <f t="shared" ca="1" si="578"/>
        <v>EE_TMEMS_D0</v>
      </c>
    </row>
    <row r="116" spans="2:45">
      <c r="B116" s="55" t="str">
        <f t="shared" ca="1" si="560"/>
        <v>CUST</v>
      </c>
      <c r="C116" s="55" t="s">
        <v>58</v>
      </c>
      <c r="D116" s="56" t="str">
        <f>RIGHT(C115,LEN(C115)-3)</f>
        <v>TMEMS_D0</v>
      </c>
      <c r="E116" s="57" t="str">
        <f ca="1">INDIRECT(ADDRESS(ROW()-1,COLUMN()))</f>
        <v>0x103A</v>
      </c>
      <c r="F116" s="57">
        <v>16</v>
      </c>
      <c r="G116" s="57">
        <v>0</v>
      </c>
      <c r="H116" s="57">
        <v>1</v>
      </c>
      <c r="I116" s="57" t="s">
        <v>76</v>
      </c>
      <c r="J116" s="50" t="str">
        <f t="shared" si="561"/>
        <v>[15:0]</v>
      </c>
      <c r="K116" s="50">
        <f t="shared" si="562"/>
        <v>-32768</v>
      </c>
      <c r="L116" s="50">
        <f t="shared" si="563"/>
        <v>32767</v>
      </c>
      <c r="M116" s="58" t="s">
        <v>99</v>
      </c>
      <c r="N116" s="28"/>
      <c r="O116" s="57">
        <v>6616</v>
      </c>
      <c r="P116" s="157">
        <v>6616</v>
      </c>
      <c r="Q116" s="57">
        <v>2442</v>
      </c>
      <c r="R116" s="57">
        <v>-6732</v>
      </c>
      <c r="S116" s="163">
        <v>-6732</v>
      </c>
      <c r="T116" s="163">
        <v>6616</v>
      </c>
      <c r="U116" s="163">
        <f>S116</f>
        <v>-6732</v>
      </c>
      <c r="V116" s="163">
        <f t="shared" si="327"/>
        <v>-6732</v>
      </c>
      <c r="W116" s="59"/>
      <c r="X116" s="57">
        <f t="shared" ca="1" si="564"/>
        <v>-6732</v>
      </c>
      <c r="Y116" s="32"/>
      <c r="AC116" s="12" t="b">
        <f t="shared" si="461"/>
        <v>1</v>
      </c>
      <c r="AD116" s="12" t="str">
        <f t="shared" si="565"/>
        <v>-</v>
      </c>
      <c r="AE116" s="12" t="str">
        <f t="shared" si="566"/>
        <v>-</v>
      </c>
      <c r="AF116" s="12" t="str">
        <f t="shared" ca="1" si="567"/>
        <v>0x103A</v>
      </c>
      <c r="AG116" s="12" t="str">
        <f t="shared" si="568"/>
        <v>TMEMS_D0</v>
      </c>
      <c r="AH116" s="12">
        <f t="shared" si="569"/>
        <v>16</v>
      </c>
      <c r="AI116" s="12">
        <f t="shared" si="570"/>
        <v>15</v>
      </c>
      <c r="AJ116" s="12">
        <f t="shared" si="571"/>
        <v>0</v>
      </c>
      <c r="AK116" s="12">
        <f t="shared" si="572"/>
        <v>65535</v>
      </c>
      <c r="AL116" s="12" t="str">
        <f t="shared" si="573"/>
        <v>-</v>
      </c>
      <c r="AM116" s="22">
        <f t="shared" si="462"/>
        <v>-6732</v>
      </c>
      <c r="AN116" s="12">
        <f t="shared" si="574"/>
        <v>58804</v>
      </c>
      <c r="AO116" s="22" t="str">
        <f ca="1">IF(AF116="-",VLOOKUP(AD116,MemoryView!$A$3:$F$108,6,0),MID(VLOOKUP(AF116,MemoryView!$BD$3:$BE$108,2,0),15-AI116+1,AH116))</f>
        <v>1110010110110100</v>
      </c>
      <c r="AP116" s="22">
        <f t="shared" ca="1" si="575"/>
        <v>58804</v>
      </c>
      <c r="AQ116" s="53" t="str">
        <f t="shared" si="576"/>
        <v>`EE_MNG.TMEMS_D0.SET(-6732);        // [-32768..32767]</v>
      </c>
      <c r="AR116" s="54" t="str">
        <f t="shared" ca="1" si="577"/>
        <v>EE_MEM #(`PARAM(16'h103A, 0, 16, 1)) TMEMS_D0(); bit signed [16-1:0] TMEMS_D0_V; assign TMEMS_D0_V = TMEMS_D0.GET;</v>
      </c>
      <c r="AS116" s="12" t="str">
        <f t="shared" ca="1" si="578"/>
        <v>EE_TMEMS_D0</v>
      </c>
    </row>
    <row r="117" spans="2:45">
      <c r="B117" s="47" t="str">
        <f t="shared" ca="1" si="560"/>
        <v>CUST</v>
      </c>
      <c r="C117" s="47" t="s">
        <v>100</v>
      </c>
      <c r="D117" s="48" t="s">
        <v>58</v>
      </c>
      <c r="E117" s="60" t="str">
        <f ca="1">"0x"&amp;DEC2HEX(HEX2DEC(RIGHT(INDIRECT(ADDRESS(ROW()-1,COLUMN())),4))+2,4)</f>
        <v>0x103C</v>
      </c>
      <c r="F117" s="49">
        <v>16</v>
      </c>
      <c r="G117" s="49">
        <v>0</v>
      </c>
      <c r="H117" s="49">
        <v>1</v>
      </c>
      <c r="I117" s="49" t="s">
        <v>58</v>
      </c>
      <c r="J117" s="50" t="str">
        <f t="shared" si="561"/>
        <v>-</v>
      </c>
      <c r="K117" s="50">
        <f t="shared" si="562"/>
        <v>-32768</v>
      </c>
      <c r="L117" s="50">
        <f t="shared" si="563"/>
        <v>32767</v>
      </c>
      <c r="M117" s="51" t="s">
        <v>98</v>
      </c>
      <c r="N117" s="28"/>
      <c r="O117" s="52"/>
      <c r="P117" s="140"/>
      <c r="Q117" s="52"/>
      <c r="R117" s="52"/>
      <c r="S117" s="140"/>
      <c r="T117" s="165"/>
      <c r="U117" s="165"/>
      <c r="V117" s="165"/>
      <c r="W117" s="28"/>
      <c r="X117" s="52">
        <f t="shared" ca="1" si="564"/>
        <v>19594</v>
      </c>
      <c r="Y117" s="32"/>
      <c r="AC117" s="12">
        <f t="shared" si="461"/>
        <v>1</v>
      </c>
      <c r="AD117" s="12" t="str">
        <f t="shared" ca="1" si="565"/>
        <v>0x103C</v>
      </c>
      <c r="AE117" s="12" t="str">
        <f t="shared" si="566"/>
        <v>EE_TMEMS_D1</v>
      </c>
      <c r="AF117" s="12" t="str">
        <f t="shared" si="567"/>
        <v>-</v>
      </c>
      <c r="AG117" s="12" t="str">
        <f t="shared" si="568"/>
        <v>-</v>
      </c>
      <c r="AH117" s="12" t="str">
        <f t="shared" si="569"/>
        <v>-</v>
      </c>
      <c r="AI117" s="12" t="str">
        <f t="shared" si="570"/>
        <v>-</v>
      </c>
      <c r="AJ117" s="12" t="str">
        <f t="shared" si="571"/>
        <v>-</v>
      </c>
      <c r="AK117" s="12" t="str">
        <f t="shared" ca="1" si="572"/>
        <v>0x103C</v>
      </c>
      <c r="AL117" s="12" t="str">
        <f t="shared" ca="1" si="573"/>
        <v>CUST</v>
      </c>
      <c r="AM117" s="22">
        <f t="shared" si="462"/>
        <v>0</v>
      </c>
      <c r="AN117" s="12" t="str">
        <f t="shared" ca="1" si="574"/>
        <v>0x103C</v>
      </c>
      <c r="AO117" s="22" t="str">
        <f ca="1">IF(AF117="-",VLOOKUP(AD117,MemoryView!$A$3:$F$108,6,0),MID(VLOOKUP(AF117,MemoryView!$BD$3:$BE$108,2,0),15-AI117+1,AH117))</f>
        <v>4C8A</v>
      </c>
      <c r="AP117" s="22">
        <f t="shared" ca="1" si="575"/>
        <v>19594</v>
      </c>
      <c r="AQ117" s="53" t="str">
        <f t="shared" si="576"/>
        <v>-</v>
      </c>
      <c r="AR117" s="54" t="str">
        <f t="shared" ca="1" si="577"/>
        <v>EE_MEM #(`PARAM(16'h103C, 0, 16, 1)) EE_TMEMS_D1(); bit signed [16-1:0] EE_TMEMS_D1_V; assign EE_TMEMS_D1_V = EE_TMEMS_D1.GET;</v>
      </c>
      <c r="AS117" s="12" t="str">
        <f t="shared" ca="1" si="578"/>
        <v>EE_TMEMS_D1</v>
      </c>
    </row>
    <row r="118" spans="2:45">
      <c r="B118" s="55" t="str">
        <f t="shared" ca="1" si="560"/>
        <v>CUST</v>
      </c>
      <c r="C118" s="55" t="s">
        <v>58</v>
      </c>
      <c r="D118" s="56" t="str">
        <f>RIGHT(C117,LEN(C117)-3)</f>
        <v>TMEMS_D1</v>
      </c>
      <c r="E118" s="57" t="str">
        <f ca="1">INDIRECT(ADDRESS(ROW()-1,COLUMN()))</f>
        <v>0x103C</v>
      </c>
      <c r="F118" s="57">
        <v>16</v>
      </c>
      <c r="G118" s="57">
        <v>0</v>
      </c>
      <c r="H118" s="57">
        <v>1</v>
      </c>
      <c r="I118" s="57" t="s">
        <v>76</v>
      </c>
      <c r="J118" s="50" t="str">
        <f t="shared" si="561"/>
        <v>[15:0]</v>
      </c>
      <c r="K118" s="50">
        <f t="shared" si="562"/>
        <v>-32768</v>
      </c>
      <c r="L118" s="50">
        <f t="shared" si="563"/>
        <v>32767</v>
      </c>
      <c r="M118" s="58" t="s">
        <v>99</v>
      </c>
      <c r="N118" s="28"/>
      <c r="O118" s="57">
        <v>17287</v>
      </c>
      <c r="P118" s="157">
        <v>17287</v>
      </c>
      <c r="Q118" s="57">
        <v>26095</v>
      </c>
      <c r="R118" s="57">
        <v>19594</v>
      </c>
      <c r="S118" s="163">
        <v>19594</v>
      </c>
      <c r="T118" s="163">
        <v>17287</v>
      </c>
      <c r="U118" s="163">
        <f>S118</f>
        <v>19594</v>
      </c>
      <c r="V118" s="163">
        <f t="shared" si="327"/>
        <v>19594</v>
      </c>
      <c r="W118" s="59"/>
      <c r="X118" s="57">
        <f t="shared" ca="1" si="564"/>
        <v>19594</v>
      </c>
      <c r="Y118" s="32"/>
      <c r="AC118" s="12" t="b">
        <f t="shared" si="461"/>
        <v>1</v>
      </c>
      <c r="AD118" s="12" t="str">
        <f t="shared" si="565"/>
        <v>-</v>
      </c>
      <c r="AE118" s="12" t="str">
        <f t="shared" si="566"/>
        <v>-</v>
      </c>
      <c r="AF118" s="12" t="str">
        <f t="shared" ca="1" si="567"/>
        <v>0x103C</v>
      </c>
      <c r="AG118" s="12" t="str">
        <f t="shared" si="568"/>
        <v>TMEMS_D1</v>
      </c>
      <c r="AH118" s="12">
        <f t="shared" si="569"/>
        <v>16</v>
      </c>
      <c r="AI118" s="12">
        <f t="shared" si="570"/>
        <v>15</v>
      </c>
      <c r="AJ118" s="12">
        <f t="shared" si="571"/>
        <v>0</v>
      </c>
      <c r="AK118" s="12">
        <f t="shared" si="572"/>
        <v>65535</v>
      </c>
      <c r="AL118" s="12" t="str">
        <f t="shared" si="573"/>
        <v>-</v>
      </c>
      <c r="AM118" s="22">
        <f t="shared" si="462"/>
        <v>19594</v>
      </c>
      <c r="AN118" s="12">
        <f t="shared" si="574"/>
        <v>19594</v>
      </c>
      <c r="AO118" s="22" t="str">
        <f ca="1">IF(AF118="-",VLOOKUP(AD118,MemoryView!$A$3:$F$108,6,0),MID(VLOOKUP(AF118,MemoryView!$BD$3:$BE$108,2,0),15-AI118+1,AH118))</f>
        <v>0100110010001010</v>
      </c>
      <c r="AP118" s="22">
        <f t="shared" ca="1" si="575"/>
        <v>19594</v>
      </c>
      <c r="AQ118" s="53" t="str">
        <f t="shared" si="576"/>
        <v>`EE_MNG.TMEMS_D1.SET(19594);        // [-32768..32767]</v>
      </c>
      <c r="AR118" s="54" t="str">
        <f t="shared" ca="1" si="577"/>
        <v>EE_MEM #(`PARAM(16'h103C, 0, 16, 1)) TMEMS_D1(); bit signed [16-1:0] TMEMS_D1_V; assign TMEMS_D1_V = TMEMS_D1.GET;</v>
      </c>
      <c r="AS118" s="12" t="str">
        <f t="shared" ca="1" si="578"/>
        <v>EE_TMEMS_D1</v>
      </c>
    </row>
    <row r="119" spans="2:45">
      <c r="B119" s="47" t="str">
        <f t="shared" ca="1" si="560"/>
        <v>CUST</v>
      </c>
      <c r="C119" s="47" t="s">
        <v>101</v>
      </c>
      <c r="D119" s="48" t="s">
        <v>58</v>
      </c>
      <c r="E119" s="60" t="str">
        <f ca="1">"0x"&amp;DEC2HEX(HEX2DEC(RIGHT(INDIRECT(ADDRESS(ROW()-1,COLUMN())),4))+2,4)</f>
        <v>0x103E</v>
      </c>
      <c r="F119" s="49">
        <v>16</v>
      </c>
      <c r="G119" s="49">
        <v>0</v>
      </c>
      <c r="H119" s="49">
        <v>1</v>
      </c>
      <c r="I119" s="49" t="s">
        <v>58</v>
      </c>
      <c r="J119" s="50" t="str">
        <f t="shared" si="561"/>
        <v>-</v>
      </c>
      <c r="K119" s="50">
        <f t="shared" si="562"/>
        <v>-32768</v>
      </c>
      <c r="L119" s="50">
        <f t="shared" si="563"/>
        <v>32767</v>
      </c>
      <c r="M119" s="51" t="s">
        <v>98</v>
      </c>
      <c r="N119" s="28"/>
      <c r="O119" s="52"/>
      <c r="P119" s="140"/>
      <c r="Q119" s="52"/>
      <c r="R119" s="52"/>
      <c r="S119" s="140"/>
      <c r="T119" s="165"/>
      <c r="U119" s="165"/>
      <c r="V119" s="165"/>
      <c r="W119" s="28"/>
      <c r="X119" s="52">
        <f t="shared" ca="1" si="564"/>
        <v>118</v>
      </c>
      <c r="Y119" s="32"/>
      <c r="AC119" s="12">
        <f t="shared" si="461"/>
        <v>1</v>
      </c>
      <c r="AD119" s="12" t="str">
        <f t="shared" ca="1" si="565"/>
        <v>0x103E</v>
      </c>
      <c r="AE119" s="12" t="str">
        <f t="shared" si="566"/>
        <v>EE_TMEMS_D2</v>
      </c>
      <c r="AF119" s="12" t="str">
        <f t="shared" si="567"/>
        <v>-</v>
      </c>
      <c r="AG119" s="12" t="str">
        <f t="shared" si="568"/>
        <v>-</v>
      </c>
      <c r="AH119" s="12" t="str">
        <f t="shared" si="569"/>
        <v>-</v>
      </c>
      <c r="AI119" s="12" t="str">
        <f t="shared" si="570"/>
        <v>-</v>
      </c>
      <c r="AJ119" s="12" t="str">
        <f t="shared" si="571"/>
        <v>-</v>
      </c>
      <c r="AK119" s="12" t="str">
        <f t="shared" ca="1" si="572"/>
        <v>0x103E</v>
      </c>
      <c r="AL119" s="12" t="str">
        <f t="shared" ca="1" si="573"/>
        <v>CUST</v>
      </c>
      <c r="AM119" s="22">
        <f t="shared" si="462"/>
        <v>0</v>
      </c>
      <c r="AN119" s="12" t="str">
        <f t="shared" ca="1" si="574"/>
        <v>0x103E</v>
      </c>
      <c r="AO119" s="22" t="str">
        <f ca="1">IF(AF119="-",VLOOKUP(AD119,MemoryView!$A$3:$F$108,6,0),MID(VLOOKUP(AF119,MemoryView!$BD$3:$BE$108,2,0),15-AI119+1,AH119))</f>
        <v>0076</v>
      </c>
      <c r="AP119" s="22">
        <f t="shared" ca="1" si="575"/>
        <v>118</v>
      </c>
      <c r="AQ119" s="53" t="str">
        <f t="shared" si="576"/>
        <v>-</v>
      </c>
      <c r="AR119" s="54" t="str">
        <f t="shared" ca="1" si="577"/>
        <v>EE_MEM #(`PARAM(16'h103E, 0, 16, 1)) EE_TMEMS_D2(); bit signed [16-1:0] EE_TMEMS_D2_V; assign EE_TMEMS_D2_V = EE_TMEMS_D2.GET;</v>
      </c>
      <c r="AS119" s="12" t="str">
        <f t="shared" ca="1" si="578"/>
        <v>EE_TMEMS_D2</v>
      </c>
    </row>
    <row r="120" spans="2:45">
      <c r="B120" s="55" t="str">
        <f t="shared" ca="1" si="560"/>
        <v>CUST</v>
      </c>
      <c r="C120" s="55" t="s">
        <v>58</v>
      </c>
      <c r="D120" s="56" t="str">
        <f>RIGHT(C119,LEN(C119)-3)</f>
        <v>TMEMS_D2</v>
      </c>
      <c r="E120" s="57" t="str">
        <f ca="1">INDIRECT(ADDRESS(ROW()-1,COLUMN()))</f>
        <v>0x103E</v>
      </c>
      <c r="F120" s="57">
        <v>16</v>
      </c>
      <c r="G120" s="57">
        <v>0</v>
      </c>
      <c r="H120" s="57">
        <v>1</v>
      </c>
      <c r="I120" s="57" t="s">
        <v>76</v>
      </c>
      <c r="J120" s="50" t="str">
        <f t="shared" si="561"/>
        <v>[15:0]</v>
      </c>
      <c r="K120" s="50">
        <f t="shared" si="562"/>
        <v>-32768</v>
      </c>
      <c r="L120" s="50">
        <f t="shared" si="563"/>
        <v>32767</v>
      </c>
      <c r="M120" s="58" t="s">
        <v>99</v>
      </c>
      <c r="N120" s="28"/>
      <c r="O120" s="57">
        <v>-2456</v>
      </c>
      <c r="P120" s="157">
        <v>-2456</v>
      </c>
      <c r="Q120" s="57">
        <v>1604</v>
      </c>
      <c r="R120" s="57">
        <v>118</v>
      </c>
      <c r="S120" s="163">
        <v>118</v>
      </c>
      <c r="T120" s="163">
        <v>-2456</v>
      </c>
      <c r="U120" s="163">
        <f>S120</f>
        <v>118</v>
      </c>
      <c r="V120" s="163">
        <f t="shared" si="327"/>
        <v>118</v>
      </c>
      <c r="W120" s="59"/>
      <c r="X120" s="57">
        <f t="shared" ca="1" si="564"/>
        <v>118</v>
      </c>
      <c r="Y120" s="32"/>
      <c r="AC120" s="12" t="b">
        <f t="shared" si="461"/>
        <v>1</v>
      </c>
      <c r="AD120" s="12" t="str">
        <f t="shared" si="565"/>
        <v>-</v>
      </c>
      <c r="AE120" s="12" t="str">
        <f t="shared" si="566"/>
        <v>-</v>
      </c>
      <c r="AF120" s="12" t="str">
        <f t="shared" ca="1" si="567"/>
        <v>0x103E</v>
      </c>
      <c r="AG120" s="12" t="str">
        <f t="shared" si="568"/>
        <v>TMEMS_D2</v>
      </c>
      <c r="AH120" s="12">
        <f t="shared" si="569"/>
        <v>16</v>
      </c>
      <c r="AI120" s="12">
        <f t="shared" si="570"/>
        <v>15</v>
      </c>
      <c r="AJ120" s="12">
        <f t="shared" si="571"/>
        <v>0</v>
      </c>
      <c r="AK120" s="12">
        <f t="shared" si="572"/>
        <v>65535</v>
      </c>
      <c r="AL120" s="12" t="str">
        <f t="shared" si="573"/>
        <v>-</v>
      </c>
      <c r="AM120" s="22">
        <f t="shared" si="462"/>
        <v>118</v>
      </c>
      <c r="AN120" s="12">
        <f t="shared" si="574"/>
        <v>118</v>
      </c>
      <c r="AO120" s="22" t="str">
        <f ca="1">IF(AF120="-",VLOOKUP(AD120,MemoryView!$A$3:$F$108,6,0),MID(VLOOKUP(AF120,MemoryView!$BD$3:$BE$108,2,0),15-AI120+1,AH120))</f>
        <v>0000000001110110</v>
      </c>
      <c r="AP120" s="22">
        <f t="shared" ca="1" si="575"/>
        <v>118</v>
      </c>
      <c r="AQ120" s="53" t="str">
        <f t="shared" si="576"/>
        <v>`EE_MNG.TMEMS_D2.SET(118);        // [-32768..32767]</v>
      </c>
      <c r="AR120" s="54" t="str">
        <f t="shared" ca="1" si="577"/>
        <v>EE_MEM #(`PARAM(16'h103E, 0, 16, 1)) TMEMS_D2(); bit signed [16-1:0] TMEMS_D2_V; assign TMEMS_D2_V = TMEMS_D2.GET;</v>
      </c>
      <c r="AS120" s="12" t="str">
        <f t="shared" ca="1" si="578"/>
        <v>EE_TMEMS_D2</v>
      </c>
    </row>
    <row r="121" spans="2:45">
      <c r="B121" s="47" t="str">
        <f t="shared" ca="1" si="560"/>
        <v>CUST</v>
      </c>
      <c r="C121" s="47" t="s">
        <v>102</v>
      </c>
      <c r="D121" s="48" t="s">
        <v>58</v>
      </c>
      <c r="E121" s="60" t="str">
        <f ca="1">"0x"&amp;DEC2HEX(HEX2DEC(RIGHT(INDIRECT(ADDRESS(ROW()-1,COLUMN())),4))+2,4)</f>
        <v>0x1040</v>
      </c>
      <c r="F121" s="49">
        <v>16</v>
      </c>
      <c r="G121" s="49">
        <v>0</v>
      </c>
      <c r="H121" s="49">
        <v>1</v>
      </c>
      <c r="I121" s="49" t="s">
        <v>58</v>
      </c>
      <c r="J121" s="50" t="str">
        <f t="shared" si="561"/>
        <v>-</v>
      </c>
      <c r="K121" s="50">
        <f t="shared" si="562"/>
        <v>-32768</v>
      </c>
      <c r="L121" s="50">
        <f t="shared" si="563"/>
        <v>32767</v>
      </c>
      <c r="M121" s="51" t="s">
        <v>98</v>
      </c>
      <c r="N121" s="28"/>
      <c r="O121" s="52"/>
      <c r="P121" s="140"/>
      <c r="Q121" s="52"/>
      <c r="R121" s="52"/>
      <c r="S121" s="140"/>
      <c r="T121" s="165"/>
      <c r="U121" s="165"/>
      <c r="V121" s="165"/>
      <c r="W121" s="28"/>
      <c r="X121" s="52">
        <f t="shared" ca="1" si="564"/>
        <v>771</v>
      </c>
      <c r="Y121" s="32"/>
      <c r="AC121" s="12">
        <f t="shared" si="461"/>
        <v>1</v>
      </c>
      <c r="AD121" s="12" t="str">
        <f t="shared" ca="1" si="565"/>
        <v>0x1040</v>
      </c>
      <c r="AE121" s="12" t="str">
        <f t="shared" si="566"/>
        <v>EE_TMEMS_D3</v>
      </c>
      <c r="AF121" s="12" t="str">
        <f t="shared" si="567"/>
        <v>-</v>
      </c>
      <c r="AG121" s="12" t="str">
        <f t="shared" si="568"/>
        <v>-</v>
      </c>
      <c r="AH121" s="12" t="str">
        <f t="shared" si="569"/>
        <v>-</v>
      </c>
      <c r="AI121" s="12" t="str">
        <f t="shared" si="570"/>
        <v>-</v>
      </c>
      <c r="AJ121" s="12" t="str">
        <f t="shared" si="571"/>
        <v>-</v>
      </c>
      <c r="AK121" s="12" t="str">
        <f t="shared" ca="1" si="572"/>
        <v>0x1040</v>
      </c>
      <c r="AL121" s="12" t="str">
        <f t="shared" ca="1" si="573"/>
        <v>CUST</v>
      </c>
      <c r="AM121" s="22">
        <f t="shared" si="462"/>
        <v>0</v>
      </c>
      <c r="AN121" s="12" t="str">
        <f t="shared" ca="1" si="574"/>
        <v>0x1040</v>
      </c>
      <c r="AO121" s="22" t="str">
        <f ca="1">IF(AF121="-",VLOOKUP(AD121,MemoryView!$A$3:$F$108,6,0),MID(VLOOKUP(AF121,MemoryView!$BD$3:$BE$108,2,0),15-AI121+1,AH121))</f>
        <v>0303</v>
      </c>
      <c r="AP121" s="22">
        <f t="shared" ca="1" si="575"/>
        <v>771</v>
      </c>
      <c r="AQ121" s="53" t="str">
        <f t="shared" si="576"/>
        <v>-</v>
      </c>
      <c r="AR121" s="54" t="str">
        <f t="shared" ca="1" si="577"/>
        <v>EE_MEM #(`PARAM(16'h1040, 0, 16, 1)) EE_TMEMS_D3(); bit signed [16-1:0] EE_TMEMS_D3_V; assign EE_TMEMS_D3_V = EE_TMEMS_D3.GET;</v>
      </c>
      <c r="AS121" s="12" t="str">
        <f t="shared" ca="1" si="578"/>
        <v>EE_TMEMS_D3</v>
      </c>
    </row>
    <row r="122" spans="2:45">
      <c r="B122" s="55" t="str">
        <f t="shared" ca="1" si="560"/>
        <v>CUST</v>
      </c>
      <c r="C122" s="55" t="s">
        <v>58</v>
      </c>
      <c r="D122" s="56" t="str">
        <f>RIGHT(C121,LEN(C121)-3)</f>
        <v>TMEMS_D3</v>
      </c>
      <c r="E122" s="57" t="str">
        <f ca="1">INDIRECT(ADDRESS(ROW()-1,COLUMN()))</f>
        <v>0x1040</v>
      </c>
      <c r="F122" s="57">
        <v>16</v>
      </c>
      <c r="G122" s="57">
        <v>0</v>
      </c>
      <c r="H122" s="57">
        <v>1</v>
      </c>
      <c r="I122" s="57" t="s">
        <v>76</v>
      </c>
      <c r="J122" s="50" t="str">
        <f t="shared" si="561"/>
        <v>[15:0]</v>
      </c>
      <c r="K122" s="50">
        <f t="shared" si="562"/>
        <v>-32768</v>
      </c>
      <c r="L122" s="50">
        <f t="shared" si="563"/>
        <v>32767</v>
      </c>
      <c r="M122" s="58" t="s">
        <v>99</v>
      </c>
      <c r="N122" s="28"/>
      <c r="O122" s="57">
        <v>913</v>
      </c>
      <c r="P122" s="157">
        <v>913</v>
      </c>
      <c r="Q122" s="57">
        <v>581</v>
      </c>
      <c r="R122" s="57">
        <v>771</v>
      </c>
      <c r="S122" s="163">
        <v>771</v>
      </c>
      <c r="T122" s="163">
        <v>913</v>
      </c>
      <c r="U122" s="163">
        <f>S122</f>
        <v>771</v>
      </c>
      <c r="V122" s="163">
        <f t="shared" si="327"/>
        <v>771</v>
      </c>
      <c r="W122" s="59"/>
      <c r="X122" s="57">
        <f t="shared" ca="1" si="564"/>
        <v>771</v>
      </c>
      <c r="Y122" s="32"/>
      <c r="AC122" s="12" t="b">
        <f t="shared" si="461"/>
        <v>1</v>
      </c>
      <c r="AD122" s="12" t="str">
        <f t="shared" si="565"/>
        <v>-</v>
      </c>
      <c r="AE122" s="12" t="str">
        <f t="shared" si="566"/>
        <v>-</v>
      </c>
      <c r="AF122" s="12" t="str">
        <f t="shared" ca="1" si="567"/>
        <v>0x1040</v>
      </c>
      <c r="AG122" s="12" t="str">
        <f t="shared" si="568"/>
        <v>TMEMS_D3</v>
      </c>
      <c r="AH122" s="12">
        <f t="shared" si="569"/>
        <v>16</v>
      </c>
      <c r="AI122" s="12">
        <f t="shared" si="570"/>
        <v>15</v>
      </c>
      <c r="AJ122" s="12">
        <f t="shared" si="571"/>
        <v>0</v>
      </c>
      <c r="AK122" s="12">
        <f t="shared" si="572"/>
        <v>65535</v>
      </c>
      <c r="AL122" s="12" t="str">
        <f t="shared" si="573"/>
        <v>-</v>
      </c>
      <c r="AM122" s="22">
        <f t="shared" si="462"/>
        <v>771</v>
      </c>
      <c r="AN122" s="12">
        <f t="shared" si="574"/>
        <v>771</v>
      </c>
      <c r="AO122" s="22" t="str">
        <f ca="1">IF(AF122="-",VLOOKUP(AD122,MemoryView!$A$3:$F$108,6,0),MID(VLOOKUP(AF122,MemoryView!$BD$3:$BE$108,2,0),15-AI122+1,AH122))</f>
        <v>0000001100000011</v>
      </c>
      <c r="AP122" s="22">
        <f t="shared" ca="1" si="575"/>
        <v>771</v>
      </c>
      <c r="AQ122" s="53" t="str">
        <f t="shared" si="576"/>
        <v>`EE_MNG.TMEMS_D3.SET(771);        // [-32768..32767]</v>
      </c>
      <c r="AR122" s="54" t="str">
        <f t="shared" ca="1" si="577"/>
        <v>EE_MEM #(`PARAM(16'h1040, 0, 16, 1)) TMEMS_D3(); bit signed [16-1:0] TMEMS_D3_V; assign TMEMS_D3_V = TMEMS_D3.GET;</v>
      </c>
      <c r="AS122" s="12" t="str">
        <f t="shared" ca="1" si="578"/>
        <v>EE_TMEMS_D3</v>
      </c>
    </row>
    <row r="123" spans="2:45">
      <c r="B123" s="47" t="str">
        <f t="shared" ca="1" si="560"/>
        <v>CUST</v>
      </c>
      <c r="C123" s="47" t="s">
        <v>547</v>
      </c>
      <c r="D123" s="48" t="s">
        <v>58</v>
      </c>
      <c r="E123" s="60" t="str">
        <f ca="1">"0x"&amp;DEC2HEX(HEX2DEC(RIGHT(INDIRECT(ADDRESS(ROW()-1,COLUMN())),4))+2,4)</f>
        <v>0x1042</v>
      </c>
      <c r="F123" s="49">
        <v>16</v>
      </c>
      <c r="G123" s="49">
        <v>0</v>
      </c>
      <c r="H123" s="49">
        <v>1</v>
      </c>
      <c r="I123" s="49" t="s">
        <v>58</v>
      </c>
      <c r="J123" s="50" t="str">
        <f t="shared" ref="J123:J124" si="579">IF(D123&lt;&gt;"-","["&amp;AI123&amp;":"&amp;AJ123&amp;"]","-")</f>
        <v>-</v>
      </c>
      <c r="K123" s="50">
        <f t="shared" ref="K123:K124" si="580">IF(H123,-L123-1,0)</f>
        <v>-32768</v>
      </c>
      <c r="L123" s="50">
        <f t="shared" ref="L123:L124" si="581">IF(H123,FLOOR((2^F123-1)/2,1),2^F123-1)</f>
        <v>32767</v>
      </c>
      <c r="M123" s="51" t="s">
        <v>98</v>
      </c>
      <c r="N123" s="28"/>
      <c r="O123" s="52"/>
      <c r="P123" s="140"/>
      <c r="Q123" s="52"/>
      <c r="R123" s="52"/>
      <c r="S123" s="140"/>
      <c r="T123" s="165"/>
      <c r="U123" s="165"/>
      <c r="V123" s="165"/>
      <c r="W123" s="28"/>
      <c r="X123" s="52">
        <f t="shared" ref="X123:X124" ca="1" si="582">IF(H123=0,AP123,    IF(AP123&lt;=2^(F123-1)-1,AP123,AP123-2^F123)  )</f>
        <v>97</v>
      </c>
      <c r="Y123" s="32"/>
      <c r="AC123" s="12">
        <f t="shared" si="461"/>
        <v>1</v>
      </c>
      <c r="AD123" s="12" t="str">
        <f t="shared" ref="AD123:AD124" ca="1" si="583">IF(AND(D123="-",C123&lt;&gt;"-"),E123,"-")</f>
        <v>0x1042</v>
      </c>
      <c r="AE123" s="12" t="str">
        <f t="shared" ref="AE123:AE124" si="584">IF(D123="-",C123,"-")</f>
        <v>EE_TMEMS_D4</v>
      </c>
      <c r="AF123" s="12" t="str">
        <f t="shared" ref="AF123:AF124" si="585">IF(AND(D123&lt;&gt;"-",ISTEXT(D123)),E123,"-")</f>
        <v>-</v>
      </c>
      <c r="AG123" s="12" t="str">
        <f t="shared" ref="AG123:AG124" si="586">IF(AND(D123&lt;&gt;"-",ISTEXT(D123)),D123,"-")</f>
        <v>-</v>
      </c>
      <c r="AH123" s="12" t="str">
        <f t="shared" ref="AH123:AH124" si="587">IF(D123&lt;&gt;"-",F123,"-")</f>
        <v>-</v>
      </c>
      <c r="AI123" s="12" t="str">
        <f t="shared" ref="AI123:AI124" si="588">IF(D123&lt;&gt;"-",G123+F123-1,"-")</f>
        <v>-</v>
      </c>
      <c r="AJ123" s="12" t="str">
        <f t="shared" ref="AJ123:AJ124" si="589">IF(D123&lt;&gt;"-",G123,"-")</f>
        <v>-</v>
      </c>
      <c r="AK123" s="12" t="str">
        <f t="shared" ref="AK123:AK124" ca="1" si="590">IF(OR(AH123="-",AJ123="-"),AD123,(2^AH123-1)*2^AJ123)</f>
        <v>0x1042</v>
      </c>
      <c r="AL123" s="12" t="str">
        <f t="shared" ref="AL123:AL124" ca="1" si="591">IF(D123="-",B123,"-")</f>
        <v>CUST</v>
      </c>
      <c r="AM123" s="22">
        <f t="shared" si="462"/>
        <v>0</v>
      </c>
      <c r="AN123" s="12" t="str">
        <f t="shared" ref="AN123:AN124" ca="1" si="592">IF(OR(AH123="-",AJ123="-"),AD123,IF(AM123&lt;0,AM123+2^AH123,AM123)*2^AJ123)</f>
        <v>0x1042</v>
      </c>
      <c r="AO123" s="22" t="str">
        <f ca="1">IF(AF123="-",VLOOKUP(AD123,MemoryView!$A$3:$F$108,6,0),MID(VLOOKUP(AF123,MemoryView!$BD$3:$BE$108,2,0),15-AI123+1,AH123))</f>
        <v>0061</v>
      </c>
      <c r="AP123" s="22">
        <f t="shared" ref="AP123:AP124" ca="1" si="593">IF(AF123="-",HEX2DEC(AO123),IF(LEN(AO123)&gt;8,BIN2DEC(LEFT(AO123,LEN(AO123)-8))*2^8+BIN2DEC(RIGHT(AO123,8)),BIN2DEC(AO123)))</f>
        <v>97</v>
      </c>
      <c r="AQ123" s="53" t="str">
        <f t="shared" ref="AQ123:AQ124" si="594">IF(AG123&lt;&gt;"-",CONCATENATE("`EE_MNG.",AG123,".SET(",AM123,");        // [",K123,"..",L123,"]"),"-")</f>
        <v>-</v>
      </c>
      <c r="AR123" s="54" t="str">
        <f t="shared" ref="AR123:AR124" ca="1" si="595">IF(AND(AD123="-",AE123="-",AF123="-",AG123="-"),"-",IF(AG123&lt;&gt;"-",CONCATENATE("EE_MEM #(`PARAM(16'h",RIGHT(AF123,4),", ",G123,", ",F123,", ",H123,")) ",AG123,"(); bit ",IF(H123=0,"unsigned [","signed ["),F123,"-1:0] ", AG123,"_V; assign ",AG123,"_V = ",AG123,".GET;"), CONCATENATE("EE_MEM #(`PARAM(16'h",RIGHT(AD123,4),", ",G123,", ",F123,", ",H123,")) ",AE123,"(); bit ",IF(H123=0,"unsigned [","signed ["),F123,"-1:0] ", AE123,"_V; assign ",AE123,"_V = ",AE123,".GET;")))</f>
        <v>EE_MEM #(`PARAM(16'h1042, 0, 16, 1)) EE_TMEMS_D4(); bit signed [16-1:0] EE_TMEMS_D4_V; assign EE_TMEMS_D4_V = EE_TMEMS_D4.GET;</v>
      </c>
      <c r="AS123" s="12" t="str">
        <f t="shared" ref="AS123:AS124" ca="1" si="596">IF(AG123="-",AE123,INDIRECT(ADDRESS(ROW()-1,COLUMN())))</f>
        <v>EE_TMEMS_D4</v>
      </c>
    </row>
    <row r="124" spans="2:45">
      <c r="B124" s="55" t="str">
        <f t="shared" ca="1" si="560"/>
        <v>CUST</v>
      </c>
      <c r="C124" s="55" t="s">
        <v>58</v>
      </c>
      <c r="D124" s="56" t="str">
        <f>RIGHT(C123,LEN(C123)-3)</f>
        <v>TMEMS_D4</v>
      </c>
      <c r="E124" s="57" t="str">
        <f ca="1">INDIRECT(ADDRESS(ROW()-1,COLUMN()))</f>
        <v>0x1042</v>
      </c>
      <c r="F124" s="57">
        <v>16</v>
      </c>
      <c r="G124" s="57">
        <v>0</v>
      </c>
      <c r="H124" s="57">
        <v>1</v>
      </c>
      <c r="I124" s="57" t="s">
        <v>76</v>
      </c>
      <c r="J124" s="50" t="str">
        <f t="shared" si="579"/>
        <v>[15:0]</v>
      </c>
      <c r="K124" s="50">
        <f t="shared" si="580"/>
        <v>-32768</v>
      </c>
      <c r="L124" s="50">
        <f t="shared" si="581"/>
        <v>32767</v>
      </c>
      <c r="M124" s="58" t="s">
        <v>99</v>
      </c>
      <c r="N124" s="28"/>
      <c r="O124" s="57">
        <v>-1426</v>
      </c>
      <c r="P124" s="157">
        <v>-1426</v>
      </c>
      <c r="Q124" s="57">
        <v>486</v>
      </c>
      <c r="R124" s="57">
        <v>97</v>
      </c>
      <c r="S124" s="163">
        <v>97</v>
      </c>
      <c r="T124" s="163">
        <v>-1426</v>
      </c>
      <c r="U124" s="163">
        <f>S124</f>
        <v>97</v>
      </c>
      <c r="V124" s="163">
        <f t="shared" si="327"/>
        <v>97</v>
      </c>
      <c r="W124" s="59"/>
      <c r="X124" s="57">
        <f t="shared" ca="1" si="582"/>
        <v>97</v>
      </c>
      <c r="Y124" s="32"/>
      <c r="AC124" s="12" t="b">
        <f t="shared" si="461"/>
        <v>1</v>
      </c>
      <c r="AD124" s="12" t="str">
        <f t="shared" si="583"/>
        <v>-</v>
      </c>
      <c r="AE124" s="12" t="str">
        <f t="shared" si="584"/>
        <v>-</v>
      </c>
      <c r="AF124" s="12" t="str">
        <f t="shared" ca="1" si="585"/>
        <v>0x1042</v>
      </c>
      <c r="AG124" s="12" t="str">
        <f t="shared" si="586"/>
        <v>TMEMS_D4</v>
      </c>
      <c r="AH124" s="12">
        <f t="shared" si="587"/>
        <v>16</v>
      </c>
      <c r="AI124" s="12">
        <f t="shared" si="588"/>
        <v>15</v>
      </c>
      <c r="AJ124" s="12">
        <f t="shared" si="589"/>
        <v>0</v>
      </c>
      <c r="AK124" s="12">
        <f t="shared" si="590"/>
        <v>65535</v>
      </c>
      <c r="AL124" s="12" t="str">
        <f t="shared" si="591"/>
        <v>-</v>
      </c>
      <c r="AM124" s="22">
        <f t="shared" si="462"/>
        <v>97</v>
      </c>
      <c r="AN124" s="12">
        <f t="shared" si="592"/>
        <v>97</v>
      </c>
      <c r="AO124" s="22" t="str">
        <f ca="1">IF(AF124="-",VLOOKUP(AD124,MemoryView!$A$3:$F$108,6,0),MID(VLOOKUP(AF124,MemoryView!$BD$3:$BE$108,2,0),15-AI124+1,AH124))</f>
        <v>0000000001100001</v>
      </c>
      <c r="AP124" s="22">
        <f t="shared" ca="1" si="593"/>
        <v>97</v>
      </c>
      <c r="AQ124" s="53" t="str">
        <f t="shared" si="594"/>
        <v>`EE_MNG.TMEMS_D4.SET(97);        // [-32768..32767]</v>
      </c>
      <c r="AR124" s="54" t="str">
        <f t="shared" ca="1" si="595"/>
        <v>EE_MEM #(`PARAM(16'h1042, 0, 16, 1)) TMEMS_D4(); bit signed [16-1:0] TMEMS_D4_V; assign TMEMS_D4_V = TMEMS_D4.GET;</v>
      </c>
      <c r="AS124" s="12" t="str">
        <f t="shared" ca="1" si="596"/>
        <v>EE_TMEMS_D4</v>
      </c>
    </row>
    <row r="125" spans="2:45" ht="11.25" customHeight="1">
      <c r="B125" s="47" t="str">
        <f t="shared" ca="1" si="560"/>
        <v>CUST</v>
      </c>
      <c r="C125" s="47" t="s">
        <v>106</v>
      </c>
      <c r="D125" s="48" t="s">
        <v>58</v>
      </c>
      <c r="E125" s="60" t="str">
        <f ca="1">"0x"&amp;DEC2HEX(HEX2DEC(RIGHT(INDIRECT(ADDRESS(ROW()-1,COLUMN())),4))+2,4)</f>
        <v>0x1044</v>
      </c>
      <c r="F125" s="49">
        <v>16</v>
      </c>
      <c r="G125" s="49">
        <v>0</v>
      </c>
      <c r="H125" s="49">
        <v>0</v>
      </c>
      <c r="I125" s="49" t="s">
        <v>58</v>
      </c>
      <c r="J125" s="50" t="str">
        <f t="shared" si="561"/>
        <v>-</v>
      </c>
      <c r="K125" s="50">
        <f t="shared" si="562"/>
        <v>0</v>
      </c>
      <c r="L125" s="50">
        <f t="shared" si="563"/>
        <v>65535</v>
      </c>
      <c r="M125" s="51" t="s">
        <v>107</v>
      </c>
      <c r="N125" s="28"/>
      <c r="O125" s="52"/>
      <c r="P125" s="52"/>
      <c r="Q125" s="52"/>
      <c r="R125" s="52"/>
      <c r="S125" s="140"/>
      <c r="T125" s="165"/>
      <c r="U125" s="165"/>
      <c r="V125" s="165"/>
      <c r="W125" s="28"/>
      <c r="X125" s="52">
        <f t="shared" ca="1" si="564"/>
        <v>38091</v>
      </c>
      <c r="Y125" s="32"/>
      <c r="AC125" s="12">
        <f t="shared" si="461"/>
        <v>1</v>
      </c>
      <c r="AD125" s="12" t="str">
        <f t="shared" ca="1" si="565"/>
        <v>0x1044</v>
      </c>
      <c r="AE125" s="12" t="str">
        <f t="shared" si="566"/>
        <v>EE_PSFT1_BASE</v>
      </c>
      <c r="AF125" s="12" t="str">
        <f t="shared" si="567"/>
        <v>-</v>
      </c>
      <c r="AG125" s="12" t="str">
        <f t="shared" si="568"/>
        <v>-</v>
      </c>
      <c r="AH125" s="12" t="str">
        <f t="shared" si="569"/>
        <v>-</v>
      </c>
      <c r="AI125" s="12" t="str">
        <f t="shared" si="570"/>
        <v>-</v>
      </c>
      <c r="AJ125" s="12" t="str">
        <f t="shared" si="571"/>
        <v>-</v>
      </c>
      <c r="AK125" s="12" t="str">
        <f t="shared" ca="1" si="572"/>
        <v>0x1044</v>
      </c>
      <c r="AL125" s="12" t="str">
        <f t="shared" ca="1" si="573"/>
        <v>CUST</v>
      </c>
      <c r="AM125" s="22">
        <f t="shared" si="462"/>
        <v>0</v>
      </c>
      <c r="AN125" s="12" t="str">
        <f t="shared" ca="1" si="574"/>
        <v>0x1044</v>
      </c>
      <c r="AO125" s="22" t="str">
        <f ca="1">IF(AF125="-",VLOOKUP(AD125,MemoryView!$A$3:$F$108,6,0),MID(VLOOKUP(AF125,MemoryView!$BD$3:$BE$108,2,0),15-AI125+1,AH125))</f>
        <v>94CB</v>
      </c>
      <c r="AP125" s="22">
        <f t="shared" ca="1" si="575"/>
        <v>38091</v>
      </c>
      <c r="AQ125" s="53" t="str">
        <f t="shared" si="576"/>
        <v>-</v>
      </c>
      <c r="AR125" s="54" t="str">
        <f t="shared" ca="1" si="577"/>
        <v>EE_MEM #(`PARAM(16'h1044, 0, 16, 0)) EE_PSFT1_BASE(); bit unsigned [16-1:0] EE_PSFT1_BASE_V; assign EE_PSFT1_BASE_V = EE_PSFT1_BASE.GET;</v>
      </c>
      <c r="AS125" s="12" t="str">
        <f t="shared" ca="1" si="578"/>
        <v>EE_PSFT1_BASE</v>
      </c>
    </row>
    <row r="126" spans="2:45" ht="114.75">
      <c r="B126" s="55" t="str">
        <f t="shared" ca="1" si="560"/>
        <v>CUST</v>
      </c>
      <c r="C126" s="55" t="s">
        <v>58</v>
      </c>
      <c r="D126" s="56" t="s">
        <v>653</v>
      </c>
      <c r="E126" s="57" t="str">
        <f ca="1">INDIRECT(ADDRESS(ROW()-1,COLUMN()))</f>
        <v>0x1044</v>
      </c>
      <c r="F126" s="57">
        <v>5</v>
      </c>
      <c r="G126" s="57">
        <v>11</v>
      </c>
      <c r="H126" s="57">
        <v>0</v>
      </c>
      <c r="I126" s="57" t="s">
        <v>68</v>
      </c>
      <c r="J126" s="50" t="str">
        <f t="shared" si="561"/>
        <v>[15:11]</v>
      </c>
      <c r="K126" s="50">
        <f t="shared" si="562"/>
        <v>0</v>
      </c>
      <c r="L126" s="50">
        <f t="shared" si="563"/>
        <v>31</v>
      </c>
      <c r="M126" s="61" t="s">
        <v>660</v>
      </c>
      <c r="N126" s="28"/>
      <c r="O126" s="57">
        <v>18</v>
      </c>
      <c r="P126" s="57">
        <f t="shared" ref="P126:P127" si="597">O126</f>
        <v>18</v>
      </c>
      <c r="Q126" s="57">
        <f t="shared" ref="Q126:Q127" si="598">O126</f>
        <v>18</v>
      </c>
      <c r="R126" s="57">
        <f t="shared" ref="R126:S127" si="599">O126</f>
        <v>18</v>
      </c>
      <c r="S126" s="163">
        <f t="shared" si="599"/>
        <v>18</v>
      </c>
      <c r="T126" s="163">
        <v>18</v>
      </c>
      <c r="U126" s="163">
        <f>S126</f>
        <v>18</v>
      </c>
      <c r="V126" s="163">
        <f t="shared" si="327"/>
        <v>18</v>
      </c>
      <c r="W126" s="59"/>
      <c r="X126" s="57">
        <f t="shared" ca="1" si="564"/>
        <v>18</v>
      </c>
      <c r="Y126" s="32"/>
      <c r="AC126" s="12" t="b">
        <f t="shared" si="461"/>
        <v>1</v>
      </c>
      <c r="AD126" s="12" t="str">
        <f t="shared" si="565"/>
        <v>-</v>
      </c>
      <c r="AE126" s="12" t="str">
        <f t="shared" si="566"/>
        <v>-</v>
      </c>
      <c r="AF126" s="12" t="str">
        <f t="shared" ca="1" si="567"/>
        <v>0x1044</v>
      </c>
      <c r="AG126" s="12" t="str">
        <f t="shared" si="568"/>
        <v>TEMP_MISMATCH_DIAG_THRD</v>
      </c>
      <c r="AH126" s="12">
        <f t="shared" si="569"/>
        <v>5</v>
      </c>
      <c r="AI126" s="12">
        <f t="shared" si="570"/>
        <v>15</v>
      </c>
      <c r="AJ126" s="12">
        <f t="shared" si="571"/>
        <v>11</v>
      </c>
      <c r="AK126" s="12">
        <f t="shared" si="572"/>
        <v>63488</v>
      </c>
      <c r="AL126" s="12" t="str">
        <f t="shared" si="573"/>
        <v>-</v>
      </c>
      <c r="AM126" s="22">
        <f t="shared" si="462"/>
        <v>18</v>
      </c>
      <c r="AN126" s="12">
        <f t="shared" si="574"/>
        <v>36864</v>
      </c>
      <c r="AO126" s="22" t="str">
        <f ca="1">IF(AF126="-",VLOOKUP(AD126,MemoryView!$A$3:$F$108,6,0),MID(VLOOKUP(AF126,MemoryView!$BD$3:$BE$108,2,0),15-AI126+1,AH126))</f>
        <v>10010</v>
      </c>
      <c r="AP126" s="22">
        <f t="shared" ca="1" si="575"/>
        <v>18</v>
      </c>
      <c r="AQ126" s="53" t="str">
        <f t="shared" si="576"/>
        <v>`EE_MNG.TEMP_MISMATCH_DIAG_THRD.SET(18);        // [0..31]</v>
      </c>
      <c r="AR126" s="54" t="str">
        <f t="shared" ca="1" si="577"/>
        <v>EE_MEM #(`PARAM(16'h1044, 11, 5, 0)) TEMP_MISMATCH_DIAG_THRD(); bit unsigned [5-1:0] TEMP_MISMATCH_DIAG_THRD_V; assign TEMP_MISMATCH_DIAG_THRD_V = TEMP_MISMATCH_DIAG_THRD.GET;</v>
      </c>
      <c r="AS126" s="12" t="str">
        <f t="shared" ca="1" si="578"/>
        <v>EE_PSFT1_BASE</v>
      </c>
    </row>
    <row r="127" spans="2:45" ht="153">
      <c r="B127" s="55" t="str">
        <f t="shared" ca="1" si="560"/>
        <v>CUST</v>
      </c>
      <c r="C127" s="55" t="s">
        <v>58</v>
      </c>
      <c r="D127" s="56" t="str">
        <f>RIGHT(C125,LEN(C125)-3)</f>
        <v>PSFT1_BASE</v>
      </c>
      <c r="E127" s="57" t="str">
        <f ca="1">INDIRECT(ADDRESS(ROW()-1,COLUMN()))</f>
        <v>0x1044</v>
      </c>
      <c r="F127" s="57">
        <v>11</v>
      </c>
      <c r="G127" s="57">
        <v>0</v>
      </c>
      <c r="H127" s="57">
        <v>0</v>
      </c>
      <c r="I127" s="57" t="s">
        <v>76</v>
      </c>
      <c r="J127" s="50" t="str">
        <f t="shared" si="561"/>
        <v>[10:0]</v>
      </c>
      <c r="K127" s="50">
        <f t="shared" si="562"/>
        <v>0</v>
      </c>
      <c r="L127" s="50">
        <f t="shared" si="563"/>
        <v>2047</v>
      </c>
      <c r="M127" s="58" t="s">
        <v>108</v>
      </c>
      <c r="N127" s="28"/>
      <c r="O127" s="57">
        <v>1227</v>
      </c>
      <c r="P127" s="57">
        <f t="shared" si="597"/>
        <v>1227</v>
      </c>
      <c r="Q127" s="57">
        <f t="shared" si="598"/>
        <v>1227</v>
      </c>
      <c r="R127" s="57">
        <f t="shared" si="599"/>
        <v>1227</v>
      </c>
      <c r="S127" s="163">
        <f t="shared" si="599"/>
        <v>1227</v>
      </c>
      <c r="T127" s="163">
        <v>1227</v>
      </c>
      <c r="U127" s="163">
        <f>S127</f>
        <v>1227</v>
      </c>
      <c r="V127" s="163">
        <f t="shared" si="327"/>
        <v>1227</v>
      </c>
      <c r="W127" s="59"/>
      <c r="X127" s="57">
        <f t="shared" ca="1" si="564"/>
        <v>1227</v>
      </c>
      <c r="Y127" s="32"/>
      <c r="AC127" s="12" t="b">
        <f t="shared" si="461"/>
        <v>1</v>
      </c>
      <c r="AD127" s="12" t="str">
        <f t="shared" si="565"/>
        <v>-</v>
      </c>
      <c r="AE127" s="12" t="str">
        <f t="shared" si="566"/>
        <v>-</v>
      </c>
      <c r="AF127" s="12" t="str">
        <f t="shared" ca="1" si="567"/>
        <v>0x1044</v>
      </c>
      <c r="AG127" s="12" t="str">
        <f t="shared" si="568"/>
        <v>PSFT1_BASE</v>
      </c>
      <c r="AH127" s="12">
        <f t="shared" si="569"/>
        <v>11</v>
      </c>
      <c r="AI127" s="12">
        <f t="shared" si="570"/>
        <v>10</v>
      </c>
      <c r="AJ127" s="12">
        <f t="shared" si="571"/>
        <v>0</v>
      </c>
      <c r="AK127" s="12">
        <f t="shared" si="572"/>
        <v>2047</v>
      </c>
      <c r="AL127" s="12" t="str">
        <f t="shared" si="573"/>
        <v>-</v>
      </c>
      <c r="AM127" s="22">
        <f t="shared" si="462"/>
        <v>1227</v>
      </c>
      <c r="AN127" s="12">
        <f t="shared" si="574"/>
        <v>1227</v>
      </c>
      <c r="AO127" s="22" t="str">
        <f ca="1">IF(AF127="-",VLOOKUP(AD127,MemoryView!$A$3:$F$108,6,0),MID(VLOOKUP(AF127,MemoryView!$BD$3:$BE$108,2,0),15-AI127+1,AH127))</f>
        <v>10011001011</v>
      </c>
      <c r="AP127" s="22">
        <f t="shared" ca="1" si="575"/>
        <v>1227</v>
      </c>
      <c r="AQ127" s="53" t="str">
        <f t="shared" si="576"/>
        <v>`EE_MNG.PSFT1_BASE.SET(1227);        // [0..2047]</v>
      </c>
      <c r="AR127" s="54" t="str">
        <f t="shared" ca="1" si="577"/>
        <v>EE_MEM #(`PARAM(16'h1044, 0, 11, 0)) PSFT1_BASE(); bit unsigned [11-1:0] PSFT1_BASE_V; assign PSFT1_BASE_V = PSFT1_BASE.GET;</v>
      </c>
      <c r="AS127" s="12" t="str">
        <f t="shared" ca="1" si="578"/>
        <v>EE_PSFT1_BASE</v>
      </c>
    </row>
    <row r="128" spans="2:45">
      <c r="B128" s="47" t="str">
        <f t="shared" ca="1" si="560"/>
        <v>CUST</v>
      </c>
      <c r="C128" s="47" t="s">
        <v>109</v>
      </c>
      <c r="D128" s="48" t="s">
        <v>58</v>
      </c>
      <c r="E128" s="60" t="str">
        <f ca="1">"0x"&amp;DEC2HEX(HEX2DEC(RIGHT(INDIRECT(ADDRESS(ROW()-1,COLUMN())),4))+2,4)</f>
        <v>0x1046</v>
      </c>
      <c r="F128" s="49">
        <v>16</v>
      </c>
      <c r="G128" s="49">
        <v>0</v>
      </c>
      <c r="H128" s="49">
        <v>0</v>
      </c>
      <c r="I128" s="49" t="s">
        <v>58</v>
      </c>
      <c r="J128" s="50" t="str">
        <f t="shared" si="561"/>
        <v>-</v>
      </c>
      <c r="K128" s="50">
        <f t="shared" si="562"/>
        <v>0</v>
      </c>
      <c r="L128" s="50">
        <f t="shared" si="563"/>
        <v>65535</v>
      </c>
      <c r="M128" s="51" t="s">
        <v>107</v>
      </c>
      <c r="N128" s="28"/>
      <c r="O128" s="52"/>
      <c r="P128" s="52"/>
      <c r="Q128" s="52"/>
      <c r="R128" s="52"/>
      <c r="S128" s="140"/>
      <c r="T128" s="165"/>
      <c r="U128" s="165"/>
      <c r="V128" s="165"/>
      <c r="W128" s="28"/>
      <c r="X128" s="52">
        <f t="shared" ca="1" si="564"/>
        <v>2</v>
      </c>
      <c r="Y128" s="32"/>
      <c r="AC128" s="12">
        <f t="shared" si="461"/>
        <v>1</v>
      </c>
      <c r="AD128" s="12" t="str">
        <f t="shared" ca="1" si="565"/>
        <v>0x1046</v>
      </c>
      <c r="AE128" s="12" t="str">
        <f t="shared" si="566"/>
        <v>EE_PSFT1_LIMITS</v>
      </c>
      <c r="AF128" s="12" t="str">
        <f t="shared" si="567"/>
        <v>-</v>
      </c>
      <c r="AG128" s="12" t="str">
        <f t="shared" si="568"/>
        <v>-</v>
      </c>
      <c r="AH128" s="12" t="str">
        <f t="shared" si="569"/>
        <v>-</v>
      </c>
      <c r="AI128" s="12" t="str">
        <f t="shared" si="570"/>
        <v>-</v>
      </c>
      <c r="AJ128" s="12" t="str">
        <f t="shared" si="571"/>
        <v>-</v>
      </c>
      <c r="AK128" s="12" t="str">
        <f t="shared" ca="1" si="572"/>
        <v>0x1046</v>
      </c>
      <c r="AL128" s="12" t="str">
        <f t="shared" ca="1" si="573"/>
        <v>CUST</v>
      </c>
      <c r="AM128" s="22">
        <f t="shared" si="462"/>
        <v>0</v>
      </c>
      <c r="AN128" s="12" t="str">
        <f t="shared" ca="1" si="574"/>
        <v>0x1046</v>
      </c>
      <c r="AO128" s="22" t="str">
        <f ca="1">IF(AF128="-",VLOOKUP(AD128,MemoryView!$A$3:$F$108,6,0),MID(VLOOKUP(AF128,MemoryView!$BD$3:$BE$108,2,0),15-AI128+1,AH128))</f>
        <v>0002</v>
      </c>
      <c r="AP128" s="22">
        <f t="shared" ca="1" si="575"/>
        <v>2</v>
      </c>
      <c r="AQ128" s="53" t="str">
        <f t="shared" si="576"/>
        <v>-</v>
      </c>
      <c r="AR128" s="54" t="str">
        <f t="shared" ca="1" si="577"/>
        <v>EE_MEM #(`PARAM(16'h1046, 0, 16, 0)) EE_PSFT1_LIMITS(); bit unsigned [16-1:0] EE_PSFT1_LIMITS_V; assign EE_PSFT1_LIMITS_V = EE_PSFT1_LIMITS.GET;</v>
      </c>
      <c r="AS128" s="12" t="str">
        <f t="shared" ca="1" si="578"/>
        <v>EE_PSFT1_LIMITS</v>
      </c>
    </row>
    <row r="129" spans="2:45" ht="153">
      <c r="B129" s="55" t="str">
        <f t="shared" ca="1" si="560"/>
        <v>CUST</v>
      </c>
      <c r="C129" s="55" t="s">
        <v>58</v>
      </c>
      <c r="D129" s="56" t="s">
        <v>110</v>
      </c>
      <c r="E129" s="57" t="str">
        <f ca="1">INDIRECT(ADDRESS(ROW()-1,COLUMN()))</f>
        <v>0x1046</v>
      </c>
      <c r="F129" s="57">
        <v>8</v>
      </c>
      <c r="G129" s="57">
        <v>8</v>
      </c>
      <c r="H129" s="57">
        <v>1</v>
      </c>
      <c r="I129" s="57" t="s">
        <v>76</v>
      </c>
      <c r="J129" s="50" t="str">
        <f t="shared" si="561"/>
        <v>[15:8]</v>
      </c>
      <c r="K129" s="50">
        <f t="shared" si="562"/>
        <v>-128</v>
      </c>
      <c r="L129" s="50">
        <f t="shared" si="563"/>
        <v>127</v>
      </c>
      <c r="M129" s="58" t="s">
        <v>111</v>
      </c>
      <c r="N129" s="28"/>
      <c r="O129" s="57">
        <v>0</v>
      </c>
      <c r="P129" s="57">
        <f t="shared" ref="P129:P131" si="600">O129</f>
        <v>0</v>
      </c>
      <c r="Q129" s="57">
        <f t="shared" ref="Q129:Q131" si="601">O129</f>
        <v>0</v>
      </c>
      <c r="R129" s="57">
        <f t="shared" ref="R129:S131" si="602">O129</f>
        <v>0</v>
      </c>
      <c r="S129" s="163">
        <f t="shared" si="602"/>
        <v>0</v>
      </c>
      <c r="T129" s="163">
        <v>0</v>
      </c>
      <c r="U129" s="163">
        <f>S129</f>
        <v>0</v>
      </c>
      <c r="V129" s="163">
        <f t="shared" si="327"/>
        <v>0</v>
      </c>
      <c r="W129" s="59"/>
      <c r="X129" s="57">
        <f t="shared" ca="1" si="564"/>
        <v>0</v>
      </c>
      <c r="Y129" s="32"/>
      <c r="AC129" s="12" t="b">
        <f t="shared" si="461"/>
        <v>1</v>
      </c>
      <c r="AD129" s="12" t="str">
        <f t="shared" si="565"/>
        <v>-</v>
      </c>
      <c r="AE129" s="12" t="str">
        <f t="shared" si="566"/>
        <v>-</v>
      </c>
      <c r="AF129" s="12" t="str">
        <f t="shared" ca="1" si="567"/>
        <v>0x1046</v>
      </c>
      <c r="AG129" s="12" t="str">
        <f t="shared" si="568"/>
        <v>PSFT1_SLOPE</v>
      </c>
      <c r="AH129" s="12">
        <f t="shared" si="569"/>
        <v>8</v>
      </c>
      <c r="AI129" s="12">
        <f t="shared" si="570"/>
        <v>15</v>
      </c>
      <c r="AJ129" s="12">
        <f t="shared" si="571"/>
        <v>8</v>
      </c>
      <c r="AK129" s="12">
        <f t="shared" si="572"/>
        <v>65280</v>
      </c>
      <c r="AL129" s="12" t="str">
        <f t="shared" si="573"/>
        <v>-</v>
      </c>
      <c r="AM129" s="22">
        <f t="shared" si="462"/>
        <v>0</v>
      </c>
      <c r="AN129" s="12">
        <f t="shared" si="574"/>
        <v>0</v>
      </c>
      <c r="AO129" s="22" t="str">
        <f ca="1">IF(AF129="-",VLOOKUP(AD129,MemoryView!$A$3:$F$108,6,0),MID(VLOOKUP(AF129,MemoryView!$BD$3:$BE$108,2,0),15-AI129+1,AH129))</f>
        <v>00000000</v>
      </c>
      <c r="AP129" s="22">
        <f t="shared" ca="1" si="575"/>
        <v>0</v>
      </c>
      <c r="AQ129" s="53" t="str">
        <f t="shared" si="576"/>
        <v>`EE_MNG.PSFT1_SLOPE.SET(0);        // [-128..127]</v>
      </c>
      <c r="AR129" s="54" t="str">
        <f t="shared" ca="1" si="577"/>
        <v>EE_MEM #(`PARAM(16'h1046, 8, 8, 1)) PSFT1_SLOPE(); bit signed [8-1:0] PSFT1_SLOPE_V; assign PSFT1_SLOPE_V = PSFT1_SLOPE.GET;</v>
      </c>
      <c r="AS129" s="12" t="str">
        <f t="shared" ca="1" si="578"/>
        <v>EE_PSFT1_LIMITS</v>
      </c>
    </row>
    <row r="130" spans="2:45">
      <c r="B130" s="55" t="str">
        <f t="shared" ca="1" si="560"/>
        <v>CUST</v>
      </c>
      <c r="C130" s="55" t="s">
        <v>58</v>
      </c>
      <c r="D130" s="56" t="s">
        <v>112</v>
      </c>
      <c r="E130" s="57" t="str">
        <f ca="1">INDIRECT(ADDRESS(ROW()-1,COLUMN()))</f>
        <v>0x1046</v>
      </c>
      <c r="F130" s="57">
        <v>1</v>
      </c>
      <c r="G130" s="57">
        <v>7</v>
      </c>
      <c r="H130" s="57">
        <v>0</v>
      </c>
      <c r="I130" s="57" t="s">
        <v>68</v>
      </c>
      <c r="J130" s="50" t="str">
        <f t="shared" si="561"/>
        <v>[7:7]</v>
      </c>
      <c r="K130" s="50">
        <f t="shared" si="562"/>
        <v>0</v>
      </c>
      <c r="L130" s="50">
        <f t="shared" si="563"/>
        <v>1</v>
      </c>
      <c r="M130" s="58"/>
      <c r="N130" s="28"/>
      <c r="O130" s="57">
        <v>0</v>
      </c>
      <c r="P130" s="57">
        <f t="shared" si="600"/>
        <v>0</v>
      </c>
      <c r="Q130" s="57">
        <f t="shared" si="601"/>
        <v>0</v>
      </c>
      <c r="R130" s="57">
        <f t="shared" si="602"/>
        <v>0</v>
      </c>
      <c r="S130" s="163">
        <f t="shared" si="602"/>
        <v>0</v>
      </c>
      <c r="T130" s="163">
        <v>0</v>
      </c>
      <c r="U130" s="163">
        <f>S130</f>
        <v>0</v>
      </c>
      <c r="V130" s="163">
        <f t="shared" si="327"/>
        <v>0</v>
      </c>
      <c r="W130" s="59"/>
      <c r="X130" s="57">
        <f t="shared" ca="1" si="564"/>
        <v>0</v>
      </c>
      <c r="Y130" s="32"/>
      <c r="AC130" s="12" t="b">
        <f t="shared" si="461"/>
        <v>1</v>
      </c>
      <c r="AD130" s="12" t="str">
        <f t="shared" si="565"/>
        <v>-</v>
      </c>
      <c r="AE130" s="12" t="str">
        <f t="shared" si="566"/>
        <v>-</v>
      </c>
      <c r="AF130" s="12" t="str">
        <f t="shared" ca="1" si="567"/>
        <v>0x1046</v>
      </c>
      <c r="AG130" s="12" t="str">
        <f t="shared" si="568"/>
        <v>PSFT1_LIMITS_RESERVED</v>
      </c>
      <c r="AH130" s="12">
        <f t="shared" si="569"/>
        <v>1</v>
      </c>
      <c r="AI130" s="12">
        <f t="shared" si="570"/>
        <v>7</v>
      </c>
      <c r="AJ130" s="12">
        <f t="shared" si="571"/>
        <v>7</v>
      </c>
      <c r="AK130" s="12">
        <f t="shared" si="572"/>
        <v>128</v>
      </c>
      <c r="AL130" s="12" t="str">
        <f t="shared" si="573"/>
        <v>-</v>
      </c>
      <c r="AM130" s="22">
        <f t="shared" si="462"/>
        <v>0</v>
      </c>
      <c r="AN130" s="12">
        <f t="shared" si="574"/>
        <v>0</v>
      </c>
      <c r="AO130" s="22" t="str">
        <f ca="1">IF(AF130="-",VLOOKUP(AD130,MemoryView!$A$3:$F$108,6,0),MID(VLOOKUP(AF130,MemoryView!$BD$3:$BE$108,2,0),15-AI130+1,AH130))</f>
        <v>0</v>
      </c>
      <c r="AP130" s="22">
        <f t="shared" ca="1" si="575"/>
        <v>0</v>
      </c>
      <c r="AQ130" s="53" t="str">
        <f t="shared" si="576"/>
        <v>`EE_MNG.PSFT1_LIMITS_RESERVED.SET(0);        // [0..1]</v>
      </c>
      <c r="AR130" s="54" t="str">
        <f t="shared" ca="1" si="577"/>
        <v>EE_MEM #(`PARAM(16'h1046, 7, 1, 0)) PSFT1_LIMITS_RESERVED(); bit unsigned [1-1:0] PSFT1_LIMITS_RESERVED_V; assign PSFT1_LIMITS_RESERVED_V = PSFT1_LIMITS_RESERVED.GET;</v>
      </c>
      <c r="AS130" s="12" t="str">
        <f t="shared" ca="1" si="578"/>
        <v>EE_PSFT1_LIMITS</v>
      </c>
    </row>
    <row r="131" spans="2:45" ht="153">
      <c r="B131" s="55" t="str">
        <f t="shared" ca="1" si="560"/>
        <v>CUST</v>
      </c>
      <c r="C131" s="55" t="s">
        <v>58</v>
      </c>
      <c r="D131" s="56" t="s">
        <v>113</v>
      </c>
      <c r="E131" s="57" t="str">
        <f ca="1">INDIRECT(ADDRESS(ROW()-1,COLUMN()))</f>
        <v>0x1046</v>
      </c>
      <c r="F131" s="57">
        <v>7</v>
      </c>
      <c r="G131" s="57">
        <v>0</v>
      </c>
      <c r="H131" s="57">
        <v>0</v>
      </c>
      <c r="I131" s="57" t="s">
        <v>68</v>
      </c>
      <c r="J131" s="50" t="str">
        <f t="shared" si="561"/>
        <v>[6:0]</v>
      </c>
      <c r="K131" s="50">
        <f t="shared" si="562"/>
        <v>0</v>
      </c>
      <c r="L131" s="50">
        <f t="shared" si="563"/>
        <v>127</v>
      </c>
      <c r="M131" s="58" t="s">
        <v>114</v>
      </c>
      <c r="N131" s="28"/>
      <c r="O131" s="57">
        <v>2</v>
      </c>
      <c r="P131" s="57">
        <f t="shared" si="600"/>
        <v>2</v>
      </c>
      <c r="Q131" s="57">
        <f t="shared" si="601"/>
        <v>2</v>
      </c>
      <c r="R131" s="57">
        <f t="shared" si="602"/>
        <v>2</v>
      </c>
      <c r="S131" s="163">
        <f t="shared" si="602"/>
        <v>2</v>
      </c>
      <c r="T131" s="163">
        <v>2</v>
      </c>
      <c r="U131" s="163">
        <f>S131</f>
        <v>2</v>
      </c>
      <c r="V131" s="163">
        <f t="shared" si="327"/>
        <v>2</v>
      </c>
      <c r="W131" s="59"/>
      <c r="X131" s="57">
        <f t="shared" ca="1" si="564"/>
        <v>2</v>
      </c>
      <c r="Y131" s="32"/>
      <c r="AC131" s="12" t="b">
        <f t="shared" si="461"/>
        <v>1</v>
      </c>
      <c r="AD131" s="12" t="str">
        <f t="shared" si="565"/>
        <v>-</v>
      </c>
      <c r="AE131" s="12" t="str">
        <f t="shared" si="566"/>
        <v>-</v>
      </c>
      <c r="AF131" s="12" t="str">
        <f t="shared" ca="1" si="567"/>
        <v>0x1046</v>
      </c>
      <c r="AG131" s="12" t="str">
        <f t="shared" si="568"/>
        <v>PSFT1_THRESHOLD</v>
      </c>
      <c r="AH131" s="12">
        <f t="shared" si="569"/>
        <v>7</v>
      </c>
      <c r="AI131" s="12">
        <f t="shared" si="570"/>
        <v>6</v>
      </c>
      <c r="AJ131" s="12">
        <f t="shared" si="571"/>
        <v>0</v>
      </c>
      <c r="AK131" s="12">
        <f t="shared" si="572"/>
        <v>127</v>
      </c>
      <c r="AL131" s="12" t="str">
        <f t="shared" si="573"/>
        <v>-</v>
      </c>
      <c r="AM131" s="22">
        <f t="shared" si="462"/>
        <v>2</v>
      </c>
      <c r="AN131" s="12">
        <f t="shared" si="574"/>
        <v>2</v>
      </c>
      <c r="AO131" s="22" t="str">
        <f ca="1">IF(AF131="-",VLOOKUP(AD131,MemoryView!$A$3:$F$108,6,0),MID(VLOOKUP(AF131,MemoryView!$BD$3:$BE$108,2,0),15-AI131+1,AH131))</f>
        <v>0000010</v>
      </c>
      <c r="AP131" s="22">
        <f t="shared" ca="1" si="575"/>
        <v>2</v>
      </c>
      <c r="AQ131" s="53" t="str">
        <f t="shared" si="576"/>
        <v>`EE_MNG.PSFT1_THRESHOLD.SET(2);        // [0..127]</v>
      </c>
      <c r="AR131" s="54" t="str">
        <f t="shared" ca="1" si="577"/>
        <v>EE_MEM #(`PARAM(16'h1046, 0, 7, 0)) PSFT1_THRESHOLD(); bit unsigned [7-1:0] PSFT1_THRESHOLD_V; assign PSFT1_THRESHOLD_V = PSFT1_THRESHOLD.GET;</v>
      </c>
      <c r="AS131" s="12" t="str">
        <f t="shared" ca="1" si="578"/>
        <v>EE_PSFT1_LIMITS</v>
      </c>
    </row>
    <row r="132" spans="2:45" ht="11.25" customHeight="1">
      <c r="B132" s="47" t="str">
        <f t="shared" ca="1" si="560"/>
        <v>CUST</v>
      </c>
      <c r="C132" s="47" t="s">
        <v>603</v>
      </c>
      <c r="D132" s="48" t="s">
        <v>58</v>
      </c>
      <c r="E132" s="60" t="str">
        <f ca="1">"0x"&amp;DEC2HEX(HEX2DEC(RIGHT(INDIRECT(ADDRESS(ROW()-1,COLUMN())),4))+2,4)</f>
        <v>0x1048</v>
      </c>
      <c r="F132" s="49">
        <v>16</v>
      </c>
      <c r="G132" s="49">
        <v>0</v>
      </c>
      <c r="H132" s="49">
        <v>0</v>
      </c>
      <c r="I132" s="49" t="s">
        <v>58</v>
      </c>
      <c r="J132" s="50" t="str">
        <f t="shared" ref="J132:J133" si="603">IF(D132&lt;&gt;"-","["&amp;AI132&amp;":"&amp;AJ132&amp;"]","-")</f>
        <v>-</v>
      </c>
      <c r="K132" s="50">
        <f t="shared" ref="K132:K134" si="604">IF(H132,-L132-1,0)</f>
        <v>0</v>
      </c>
      <c r="L132" s="50">
        <f t="shared" ref="L132:L134" si="605">IF(H132,FLOOR((2^F132-1)/2,1),2^F132-1)</f>
        <v>65535</v>
      </c>
      <c r="M132" s="51" t="s">
        <v>103</v>
      </c>
      <c r="N132" s="28"/>
      <c r="O132" s="52"/>
      <c r="P132" s="52"/>
      <c r="Q132" s="52"/>
      <c r="R132" s="52"/>
      <c r="S132" s="140"/>
      <c r="T132" s="165"/>
      <c r="U132" s="165"/>
      <c r="V132" s="165"/>
      <c r="W132" s="28"/>
      <c r="X132" s="52">
        <f t="shared" ref="X132:X134" ca="1" si="606">IF(H132=0,AP132,    IF(AP132&lt;=2^(F132-1)-1,AP132,AP132-2^F132)  )</f>
        <v>5120</v>
      </c>
      <c r="Y132" s="32"/>
      <c r="AC132" s="12">
        <f t="shared" ref="AC132:AC195" si="607">IF($AG132="-",1,COUNTIF($AG$3:$AG$319,$AG132)&lt;2)</f>
        <v>1</v>
      </c>
      <c r="AD132" s="12" t="str">
        <f t="shared" ref="AD132:AD134" ca="1" si="608">IF(AND(D132="-",C132&lt;&gt;"-"),E132,"-")</f>
        <v>0x1048</v>
      </c>
      <c r="AE132" s="12" t="str">
        <f t="shared" ref="AE132:AE134" si="609">IF(D132="-",C132,"-")</f>
        <v>EE_GLBL_ERR_MSK0_PSFT0</v>
      </c>
      <c r="AF132" s="12" t="str">
        <f t="shared" ref="AF132:AF134" si="610">IF(AND(D132&lt;&gt;"-",ISTEXT(D132)),E132,"-")</f>
        <v>-</v>
      </c>
      <c r="AG132" s="12" t="str">
        <f t="shared" ref="AG132:AG134" si="611">IF(AND(D132&lt;&gt;"-",ISTEXT(D132)),D132,"-")</f>
        <v>-</v>
      </c>
      <c r="AH132" s="12" t="str">
        <f t="shared" ref="AH132:AH134" si="612">IF(D132&lt;&gt;"-",F132,"-")</f>
        <v>-</v>
      </c>
      <c r="AI132" s="12" t="str">
        <f t="shared" ref="AI132:AI134" si="613">IF(D132&lt;&gt;"-",G132+F132-1,"-")</f>
        <v>-</v>
      </c>
      <c r="AJ132" s="12" t="str">
        <f t="shared" ref="AJ132:AJ134" si="614">IF(D132&lt;&gt;"-",G132,"-")</f>
        <v>-</v>
      </c>
      <c r="AK132" s="12" t="str">
        <f t="shared" ref="AK132:AK134" ca="1" si="615">IF(OR(AH132="-",AJ132="-"),AD132,(2^AH132-1)*2^AJ132)</f>
        <v>0x1048</v>
      </c>
      <c r="AL132" s="12" t="str">
        <f t="shared" ref="AL132:AL134" ca="1" si="616">IF(D132="-",B132,"-")</f>
        <v>CUST</v>
      </c>
      <c r="AM132" s="22">
        <f t="shared" ref="AM132:AM195" si="617">HLOOKUP($AM$2,$N$2:$W$319,ROW()-ROW($AM$2)+1,0)</f>
        <v>0</v>
      </c>
      <c r="AN132" s="12" t="str">
        <f t="shared" ref="AN132:AN134" ca="1" si="618">IF(OR(AH132="-",AJ132="-"),AD132,IF(AM132&lt;0,AM132+2^AH132,AM132)*2^AJ132)</f>
        <v>0x1048</v>
      </c>
      <c r="AO132" s="22" t="str">
        <f ca="1">IF(AF132="-",VLOOKUP(AD132,MemoryView!$A$3:$F$108,6,0),MID(VLOOKUP(AF132,MemoryView!$BD$3:$BE$108,2,0),15-AI132+1,AH132))</f>
        <v>1400</v>
      </c>
      <c r="AP132" s="22">
        <f t="shared" ref="AP132:AP134" ca="1" si="619">IF(AF132="-",HEX2DEC(AO132),IF(LEN(AO132)&gt;8,BIN2DEC(LEFT(AO132,LEN(AO132)-8))*2^8+BIN2DEC(RIGHT(AO132,8)),BIN2DEC(AO132)))</f>
        <v>5120</v>
      </c>
      <c r="AQ132" s="53" t="str">
        <f t="shared" ref="AQ132:AQ134" si="620">IF(AG132&lt;&gt;"-",CONCATENATE("`EE_MNG.",AG132,".SET(",AM132,");        // [",K132,"..",L132,"]"),"-")</f>
        <v>-</v>
      </c>
      <c r="AR132" s="54" t="str">
        <f t="shared" ref="AR132:AR134" ca="1" si="621">IF(AND(AD132="-",AE132="-",AF132="-",AG132="-"),"-",IF(AG132&lt;&gt;"-",CONCATENATE("EE_MEM #(`PARAM(16'h",RIGHT(AF132,4),", ",G132,", ",F132,", ",H132,")) ",AG132,"(); bit ",IF(H132=0,"unsigned [","signed ["),F132,"-1:0] ", AG132,"_V; assign ",AG132,"_V = ",AG132,".GET;"), CONCATENATE("EE_MEM #(`PARAM(16'h",RIGHT(AD132,4),", ",G132,", ",F132,", ",H132,")) ",AE132,"(); bit ",IF(H132=0,"unsigned [","signed ["),F132,"-1:0] ", AE132,"_V; assign ",AE132,"_V = ",AE132,".GET;")))</f>
        <v>EE_MEM #(`PARAM(16'h1048, 0, 16, 0)) EE_GLBL_ERR_MSK0_PSFT0(); bit unsigned [16-1:0] EE_GLBL_ERR_MSK0_PSFT0_V; assign EE_GLBL_ERR_MSK0_PSFT0_V = EE_GLBL_ERR_MSK0_PSFT0.GET;</v>
      </c>
      <c r="AS132" s="12" t="str">
        <f t="shared" ref="AS132:AS134" ca="1" si="622">IF(AG132="-",AE132,INDIRECT(ADDRESS(ROW()-1,COLUMN())))</f>
        <v>EE_GLBL_ERR_MSK0_PSFT0</v>
      </c>
    </row>
    <row r="133" spans="2:45">
      <c r="B133" s="55" t="str">
        <f t="shared" ca="1" si="560"/>
        <v>CUST</v>
      </c>
      <c r="C133" s="55" t="s">
        <v>58</v>
      </c>
      <c r="D133" s="56" t="s">
        <v>104</v>
      </c>
      <c r="E133" s="57" t="str">
        <f ca="1">INDIRECT(ADDRESS(ROW()-1,COLUMN()))</f>
        <v>0x1048</v>
      </c>
      <c r="F133" s="57">
        <v>1</v>
      </c>
      <c r="G133" s="57">
        <v>15</v>
      </c>
      <c r="H133" s="57">
        <v>0</v>
      </c>
      <c r="I133" s="57" t="s">
        <v>68</v>
      </c>
      <c r="J133" s="50" t="str">
        <f t="shared" si="603"/>
        <v>[15:15]</v>
      </c>
      <c r="K133" s="50">
        <f t="shared" si="604"/>
        <v>0</v>
      </c>
      <c r="L133" s="50">
        <f t="shared" si="605"/>
        <v>1</v>
      </c>
      <c r="M133" s="58"/>
      <c r="N133" s="28"/>
      <c r="O133" s="57">
        <v>0</v>
      </c>
      <c r="P133" s="57">
        <f t="shared" ref="P133:P136" si="623">O133</f>
        <v>0</v>
      </c>
      <c r="Q133" s="57">
        <f t="shared" ref="Q133:Q136" si="624">O133</f>
        <v>0</v>
      </c>
      <c r="R133" s="57">
        <f t="shared" ref="R133:S136" si="625">O133</f>
        <v>0</v>
      </c>
      <c r="S133" s="163">
        <f t="shared" si="625"/>
        <v>0</v>
      </c>
      <c r="T133" s="163">
        <v>0</v>
      </c>
      <c r="U133" s="163">
        <f>S133</f>
        <v>0</v>
      </c>
      <c r="V133" s="163">
        <f t="shared" si="327"/>
        <v>0</v>
      </c>
      <c r="W133" s="59"/>
      <c r="X133" s="57">
        <f t="shared" ca="1" si="606"/>
        <v>0</v>
      </c>
      <c r="Y133" s="32"/>
      <c r="AC133" s="12" t="b">
        <f t="shared" si="607"/>
        <v>1</v>
      </c>
      <c r="AD133" s="12" t="str">
        <f t="shared" si="608"/>
        <v>-</v>
      </c>
      <c r="AE133" s="12" t="str">
        <f t="shared" si="609"/>
        <v>-</v>
      </c>
      <c r="AF133" s="12" t="str">
        <f t="shared" ca="1" si="610"/>
        <v>0x1048</v>
      </c>
      <c r="AG133" s="12" t="str">
        <f t="shared" si="611"/>
        <v>PSFT0_THRESHOLD_RESERVED</v>
      </c>
      <c r="AH133" s="12">
        <f t="shared" si="612"/>
        <v>1</v>
      </c>
      <c r="AI133" s="12">
        <f t="shared" si="613"/>
        <v>15</v>
      </c>
      <c r="AJ133" s="12">
        <f t="shared" si="614"/>
        <v>15</v>
      </c>
      <c r="AK133" s="12">
        <f t="shared" si="615"/>
        <v>32768</v>
      </c>
      <c r="AL133" s="12" t="str">
        <f t="shared" si="616"/>
        <v>-</v>
      </c>
      <c r="AM133" s="22">
        <f t="shared" si="617"/>
        <v>0</v>
      </c>
      <c r="AN133" s="12">
        <f t="shared" si="618"/>
        <v>0</v>
      </c>
      <c r="AO133" s="22" t="str">
        <f ca="1">IF(AF133="-",VLOOKUP(AD133,MemoryView!$A$3:$F$108,6,0),MID(VLOOKUP(AF133,MemoryView!$BD$3:$BE$108,2,0),15-AI133+1,AH133))</f>
        <v>0</v>
      </c>
      <c r="AP133" s="22">
        <f t="shared" ca="1" si="619"/>
        <v>0</v>
      </c>
      <c r="AQ133" s="53" t="str">
        <f t="shared" si="620"/>
        <v>`EE_MNG.PSFT0_THRESHOLD_RESERVED.SET(0);        // [0..1]</v>
      </c>
      <c r="AR133" s="54" t="str">
        <f t="shared" ca="1" si="621"/>
        <v>EE_MEM #(`PARAM(16'h1048, 15, 1, 0)) PSFT0_THRESHOLD_RESERVED(); bit unsigned [1-1:0] PSFT0_THRESHOLD_RESERVED_V; assign PSFT0_THRESHOLD_RESERVED_V = PSFT0_THRESHOLD_RESERVED.GET;</v>
      </c>
      <c r="AS133" s="12" t="str">
        <f t="shared" ca="1" si="622"/>
        <v>EE_GLBL_ERR_MSK0_PSFT0</v>
      </c>
    </row>
    <row r="134" spans="2:45" ht="102">
      <c r="B134" s="55" t="str">
        <f t="shared" ca="1" si="560"/>
        <v>CUST</v>
      </c>
      <c r="C134" s="55" t="s">
        <v>58</v>
      </c>
      <c r="D134" s="56" t="s">
        <v>616</v>
      </c>
      <c r="E134" s="57" t="str">
        <f ca="1">INDIRECT(ADDRESS(ROW()-1,COLUMN()))</f>
        <v>0x1048</v>
      </c>
      <c r="F134" s="57">
        <v>7</v>
      </c>
      <c r="G134" s="57">
        <v>8</v>
      </c>
      <c r="H134" s="57">
        <v>0</v>
      </c>
      <c r="I134" s="57" t="s">
        <v>68</v>
      </c>
      <c r="J134" s="50" t="str">
        <f>IF(D134&lt;&gt;"-","["&amp;AI134&amp;":"&amp;AJ134&amp;"]","-")</f>
        <v>[14:8]</v>
      </c>
      <c r="K134" s="50">
        <f t="shared" si="604"/>
        <v>0</v>
      </c>
      <c r="L134" s="50">
        <f t="shared" si="605"/>
        <v>127</v>
      </c>
      <c r="M134" s="58" t="s">
        <v>105</v>
      </c>
      <c r="N134" s="28"/>
      <c r="O134" s="57">
        <v>1</v>
      </c>
      <c r="P134" s="57">
        <f t="shared" si="623"/>
        <v>1</v>
      </c>
      <c r="Q134" s="57">
        <f t="shared" si="624"/>
        <v>1</v>
      </c>
      <c r="R134" s="57">
        <f t="shared" si="625"/>
        <v>1</v>
      </c>
      <c r="S134" s="163">
        <v>20</v>
      </c>
      <c r="T134" s="163">
        <v>20</v>
      </c>
      <c r="U134" s="163">
        <f>S134</f>
        <v>20</v>
      </c>
      <c r="V134" s="163">
        <f t="shared" si="327"/>
        <v>20</v>
      </c>
      <c r="W134" s="59"/>
      <c r="X134" s="57">
        <f t="shared" ca="1" si="606"/>
        <v>20</v>
      </c>
      <c r="Y134" s="32"/>
      <c r="AC134" s="12" t="b">
        <f t="shared" si="607"/>
        <v>1</v>
      </c>
      <c r="AD134" s="12" t="str">
        <f t="shared" si="608"/>
        <v>-</v>
      </c>
      <c r="AE134" s="12" t="str">
        <f t="shared" si="609"/>
        <v>-</v>
      </c>
      <c r="AF134" s="12" t="str">
        <f t="shared" ca="1" si="610"/>
        <v>0x1048</v>
      </c>
      <c r="AG134" s="12" t="str">
        <f t="shared" si="611"/>
        <v>PSFT0_THRESHOLD</v>
      </c>
      <c r="AH134" s="12">
        <f t="shared" si="612"/>
        <v>7</v>
      </c>
      <c r="AI134" s="12">
        <f t="shared" si="613"/>
        <v>14</v>
      </c>
      <c r="AJ134" s="12">
        <f t="shared" si="614"/>
        <v>8</v>
      </c>
      <c r="AK134" s="12">
        <f t="shared" si="615"/>
        <v>32512</v>
      </c>
      <c r="AL134" s="12" t="str">
        <f t="shared" si="616"/>
        <v>-</v>
      </c>
      <c r="AM134" s="22">
        <f t="shared" si="617"/>
        <v>20</v>
      </c>
      <c r="AN134" s="12">
        <f t="shared" si="618"/>
        <v>5120</v>
      </c>
      <c r="AO134" s="22" t="str">
        <f ca="1">IF(AF134="-",VLOOKUP(AD134,MemoryView!$A$3:$F$108,6,0),MID(VLOOKUP(AF134,MemoryView!$BD$3:$BE$108,2,0),15-AI134+1,AH134))</f>
        <v>0010100</v>
      </c>
      <c r="AP134" s="22">
        <f t="shared" ca="1" si="619"/>
        <v>20</v>
      </c>
      <c r="AQ134" s="53" t="str">
        <f t="shared" si="620"/>
        <v>`EE_MNG.PSFT0_THRESHOLD.SET(20);        // [0..127]</v>
      </c>
      <c r="AR134" s="54" t="str">
        <f t="shared" ca="1" si="621"/>
        <v>EE_MEM #(`PARAM(16'h1048, 8, 7, 0)) PSFT0_THRESHOLD(); bit unsigned [7-1:0] PSFT0_THRESHOLD_V; assign PSFT0_THRESHOLD_V = PSFT0_THRESHOLD.GET;</v>
      </c>
      <c r="AS134" s="12" t="str">
        <f t="shared" ca="1" si="622"/>
        <v>EE_GLBL_ERR_MSK0_PSFT0</v>
      </c>
    </row>
    <row r="135" spans="2:45" ht="76.5">
      <c r="B135" s="55" t="str">
        <f t="shared" ca="1" si="560"/>
        <v>CUST</v>
      </c>
      <c r="C135" s="55" t="s">
        <v>58</v>
      </c>
      <c r="D135" s="128" t="s">
        <v>604</v>
      </c>
      <c r="E135" s="57" t="str">
        <f ca="1">INDIRECT(ADDRESS(ROW()-1,COLUMN()))</f>
        <v>0x1048</v>
      </c>
      <c r="F135" s="57">
        <v>4</v>
      </c>
      <c r="G135" s="57">
        <v>4</v>
      </c>
      <c r="H135" s="57">
        <v>0</v>
      </c>
      <c r="I135" s="57" t="s">
        <v>68</v>
      </c>
      <c r="J135" s="50" t="str">
        <f>IF(D135&lt;&gt;"-","["&amp;AI135&amp;":"&amp;AJ135&amp;"]","-")</f>
        <v>[7:4]</v>
      </c>
      <c r="K135" s="50">
        <f t="shared" ref="K135:K136" si="626">IF(H135,-L135-1,0)</f>
        <v>0</v>
      </c>
      <c r="L135" s="50">
        <f t="shared" ref="L135:L136" si="627">IF(H135,FLOOR((2^F135-1)/2,1),2^F135-1)</f>
        <v>15</v>
      </c>
      <c r="M135" s="61" t="s">
        <v>606</v>
      </c>
      <c r="N135" s="28"/>
      <c r="O135" s="57">
        <v>0</v>
      </c>
      <c r="P135" s="57">
        <f t="shared" si="623"/>
        <v>0</v>
      </c>
      <c r="Q135" s="57">
        <f t="shared" si="624"/>
        <v>0</v>
      </c>
      <c r="R135" s="57">
        <f t="shared" si="625"/>
        <v>0</v>
      </c>
      <c r="S135" s="163">
        <f t="shared" si="625"/>
        <v>0</v>
      </c>
      <c r="T135" s="163">
        <v>0</v>
      </c>
      <c r="U135" s="163">
        <f>S135</f>
        <v>0</v>
      </c>
      <c r="V135" s="163">
        <f t="shared" si="327"/>
        <v>0</v>
      </c>
      <c r="W135" s="59"/>
      <c r="X135" s="57">
        <f t="shared" ref="X135:X136" ca="1" si="628">IF(H135=0,AP135,    IF(AP135&lt;=2^(F135-1)-1,AP135,AP135-2^F135)  )</f>
        <v>0</v>
      </c>
      <c r="Y135" s="32"/>
      <c r="AC135" s="12" t="b">
        <f t="shared" si="607"/>
        <v>1</v>
      </c>
      <c r="AD135" s="12" t="str">
        <f t="shared" ref="AD135:AD136" si="629">IF(AND(D135="-",C135&lt;&gt;"-"),E135,"-")</f>
        <v>-</v>
      </c>
      <c r="AE135" s="12" t="str">
        <f t="shared" ref="AE135:AE136" si="630">IF(D135="-",C135,"-")</f>
        <v>-</v>
      </c>
      <c r="AF135" s="12" t="str">
        <f t="shared" ref="AF135:AF136" ca="1" si="631">IF(AND(D135&lt;&gt;"-",ISTEXT(D135)),E135,"-")</f>
        <v>0x1048</v>
      </c>
      <c r="AG135" s="12" t="str">
        <f t="shared" ref="AG135:AG136" si="632">IF(AND(D135&lt;&gt;"-",ISTEXT(D135)),D135,"-")</f>
        <v>PRESS_HIGH_ERR_CODE_MASK</v>
      </c>
      <c r="AH135" s="12">
        <f t="shared" ref="AH135:AH136" si="633">IF(D135&lt;&gt;"-",F135,"-")</f>
        <v>4</v>
      </c>
      <c r="AI135" s="12">
        <f t="shared" ref="AI135:AI136" si="634">IF(D135&lt;&gt;"-",G135+F135-1,"-")</f>
        <v>7</v>
      </c>
      <c r="AJ135" s="12">
        <f t="shared" ref="AJ135:AJ136" si="635">IF(D135&lt;&gt;"-",G135,"-")</f>
        <v>4</v>
      </c>
      <c r="AK135" s="12">
        <f t="shared" ref="AK135:AK136" si="636">IF(OR(AH135="-",AJ135="-"),AD135,(2^AH135-1)*2^AJ135)</f>
        <v>240</v>
      </c>
      <c r="AL135" s="12" t="str">
        <f t="shared" ref="AL135:AL136" si="637">IF(D135="-",B135,"-")</f>
        <v>-</v>
      </c>
      <c r="AM135" s="22">
        <f t="shared" si="617"/>
        <v>0</v>
      </c>
      <c r="AN135" s="12">
        <f t="shared" ref="AN135:AN136" si="638">IF(OR(AH135="-",AJ135="-"),AD135,IF(AM135&lt;0,AM135+2^AH135,AM135)*2^AJ135)</f>
        <v>0</v>
      </c>
      <c r="AO135" s="22" t="str">
        <f ca="1">IF(AF135="-",VLOOKUP(AD135,MemoryView!$A$3:$F$108,6,0),MID(VLOOKUP(AF135,MemoryView!$BD$3:$BE$108,2,0),15-AI135+1,AH135))</f>
        <v>0000</v>
      </c>
      <c r="AP135" s="22">
        <f t="shared" ref="AP135:AP136" ca="1" si="639">IF(AF135="-",HEX2DEC(AO135),IF(LEN(AO135)&gt;8,BIN2DEC(LEFT(AO135,LEN(AO135)-8))*2^8+BIN2DEC(RIGHT(AO135,8)),BIN2DEC(AO135)))</f>
        <v>0</v>
      </c>
      <c r="AQ135" s="53" t="str">
        <f t="shared" ref="AQ135:AQ136" si="640">IF(AG135&lt;&gt;"-",CONCATENATE("`EE_MNG.",AG135,".SET(",AM135,");        // [",K135,"..",L135,"]"),"-")</f>
        <v>`EE_MNG.PRESS_HIGH_ERR_CODE_MASK.SET(0);        // [0..15]</v>
      </c>
      <c r="AR135" s="54" t="str">
        <f t="shared" ref="AR135:AR136" ca="1" si="641">IF(AND(AD135="-",AE135="-",AF135="-",AG135="-"),"-",IF(AG135&lt;&gt;"-",CONCATENATE("EE_MEM #(`PARAM(16'h",RIGHT(AF135,4),", ",G135,", ",F135,", ",H135,")) ",AG135,"(); bit ",IF(H135=0,"unsigned [","signed ["),F135,"-1:0] ", AG135,"_V; assign ",AG135,"_V = ",AG135,".GET;"), CONCATENATE("EE_MEM #(`PARAM(16'h",RIGHT(AD135,4),", ",G135,", ",F135,", ",H135,")) ",AE135,"(); bit ",IF(H135=0,"unsigned [","signed ["),F135,"-1:0] ", AE135,"_V; assign ",AE135,"_V = ",AE135,".GET;")))</f>
        <v>EE_MEM #(`PARAM(16'h1048, 4, 4, 0)) PRESS_HIGH_ERR_CODE_MASK(); bit unsigned [4-1:0] PRESS_HIGH_ERR_CODE_MASK_V; assign PRESS_HIGH_ERR_CODE_MASK_V = PRESS_HIGH_ERR_CODE_MASK.GET;</v>
      </c>
      <c r="AS135" s="12" t="str">
        <f t="shared" ref="AS135:AS136" ca="1" si="642">IF(AG135="-",AE135,INDIRECT(ADDRESS(ROW()-1,COLUMN())))</f>
        <v>EE_GLBL_ERR_MSK0_PSFT0</v>
      </c>
    </row>
    <row r="136" spans="2:45" ht="76.5">
      <c r="B136" s="55" t="str">
        <f t="shared" ca="1" si="560"/>
        <v>CUST</v>
      </c>
      <c r="C136" s="55" t="s">
        <v>58</v>
      </c>
      <c r="D136" s="128" t="s">
        <v>615</v>
      </c>
      <c r="E136" s="57" t="str">
        <f ca="1">INDIRECT(ADDRESS(ROW()-1,COLUMN()))</f>
        <v>0x1048</v>
      </c>
      <c r="F136" s="57">
        <v>4</v>
      </c>
      <c r="G136" s="57">
        <v>0</v>
      </c>
      <c r="H136" s="57">
        <v>0</v>
      </c>
      <c r="I136" s="57" t="s">
        <v>68</v>
      </c>
      <c r="J136" s="50" t="str">
        <f>IF(D136&lt;&gt;"-","["&amp;AI136&amp;":"&amp;AJ136&amp;"]","-")</f>
        <v>[3:0]</v>
      </c>
      <c r="K136" s="50">
        <f t="shared" si="626"/>
        <v>0</v>
      </c>
      <c r="L136" s="50">
        <f t="shared" si="627"/>
        <v>15</v>
      </c>
      <c r="M136" s="61" t="s">
        <v>607</v>
      </c>
      <c r="N136" s="28"/>
      <c r="O136" s="57">
        <v>0</v>
      </c>
      <c r="P136" s="57">
        <f t="shared" si="623"/>
        <v>0</v>
      </c>
      <c r="Q136" s="57">
        <f t="shared" si="624"/>
        <v>0</v>
      </c>
      <c r="R136" s="57">
        <f t="shared" si="625"/>
        <v>0</v>
      </c>
      <c r="S136" s="163">
        <f t="shared" si="625"/>
        <v>0</v>
      </c>
      <c r="T136" s="163">
        <v>0</v>
      </c>
      <c r="U136" s="163">
        <f>S136</f>
        <v>0</v>
      </c>
      <c r="V136" s="163">
        <f t="shared" si="327"/>
        <v>0</v>
      </c>
      <c r="W136" s="59"/>
      <c r="X136" s="57">
        <f t="shared" ca="1" si="628"/>
        <v>0</v>
      </c>
      <c r="Y136" s="32"/>
      <c r="AC136" s="12" t="b">
        <f t="shared" si="607"/>
        <v>1</v>
      </c>
      <c r="AD136" s="12" t="str">
        <f t="shared" si="629"/>
        <v>-</v>
      </c>
      <c r="AE136" s="12" t="str">
        <f t="shared" si="630"/>
        <v>-</v>
      </c>
      <c r="AF136" s="12" t="str">
        <f t="shared" ca="1" si="631"/>
        <v>0x1048</v>
      </c>
      <c r="AG136" s="12" t="str">
        <f t="shared" si="632"/>
        <v>PRESS_LOW_ERR_CODE_MASK</v>
      </c>
      <c r="AH136" s="12">
        <f t="shared" si="633"/>
        <v>4</v>
      </c>
      <c r="AI136" s="12">
        <f t="shared" si="634"/>
        <v>3</v>
      </c>
      <c r="AJ136" s="12">
        <f t="shared" si="635"/>
        <v>0</v>
      </c>
      <c r="AK136" s="12">
        <f t="shared" si="636"/>
        <v>15</v>
      </c>
      <c r="AL136" s="12" t="str">
        <f t="shared" si="637"/>
        <v>-</v>
      </c>
      <c r="AM136" s="22">
        <f t="shared" si="617"/>
        <v>0</v>
      </c>
      <c r="AN136" s="12">
        <f t="shared" si="638"/>
        <v>0</v>
      </c>
      <c r="AO136" s="22" t="str">
        <f ca="1">IF(AF136="-",VLOOKUP(AD136,MemoryView!$A$3:$F$108,6,0),MID(VLOOKUP(AF136,MemoryView!$BD$3:$BE$108,2,0),15-AI136+1,AH136))</f>
        <v>0000</v>
      </c>
      <c r="AP136" s="22">
        <f t="shared" ca="1" si="639"/>
        <v>0</v>
      </c>
      <c r="AQ136" s="53" t="str">
        <f t="shared" si="640"/>
        <v>`EE_MNG.PRESS_LOW_ERR_CODE_MASK.SET(0);        // [0..15]</v>
      </c>
      <c r="AR136" s="54" t="str">
        <f t="shared" ca="1" si="641"/>
        <v>EE_MEM #(`PARAM(16'h1048, 0, 4, 0)) PRESS_LOW_ERR_CODE_MASK(); bit unsigned [4-1:0] PRESS_LOW_ERR_CODE_MASK_V; assign PRESS_LOW_ERR_CODE_MASK_V = PRESS_LOW_ERR_CODE_MASK.GET;</v>
      </c>
      <c r="AS136" s="12" t="str">
        <f t="shared" ca="1" si="642"/>
        <v>EE_GLBL_ERR_MSK0_PSFT0</v>
      </c>
    </row>
    <row r="137" spans="2:45">
      <c r="B137" s="47" t="str">
        <f t="shared" ca="1" si="560"/>
        <v>CUST</v>
      </c>
      <c r="C137" s="47" t="s">
        <v>608</v>
      </c>
      <c r="D137" s="48" t="s">
        <v>58</v>
      </c>
      <c r="E137" s="60" t="str">
        <f ca="1">"0x"&amp;DEC2HEX(HEX2DEC(RIGHT(INDIRECT(ADDRESS(ROW()-1,COLUMN())),4))+2,4)</f>
        <v>0x104A</v>
      </c>
      <c r="F137" s="49">
        <v>16</v>
      </c>
      <c r="G137" s="49">
        <v>0</v>
      </c>
      <c r="H137" s="49">
        <v>0</v>
      </c>
      <c r="I137" s="49" t="s">
        <v>58</v>
      </c>
      <c r="J137" s="50" t="str">
        <f>IF(D137&lt;&gt;"-","["&amp;AI137&amp;":"&amp;AJ137&amp;"]","-")</f>
        <v>-</v>
      </c>
      <c r="K137" s="50">
        <f>IF(H137,-L137-1,0)</f>
        <v>0</v>
      </c>
      <c r="L137" s="50">
        <f>IF(H137,FLOOR((2^F137-1)/2,1),2^F137-1)</f>
        <v>65535</v>
      </c>
      <c r="M137" s="51" t="s">
        <v>115</v>
      </c>
      <c r="N137" s="28"/>
      <c r="O137" s="52"/>
      <c r="P137" s="52"/>
      <c r="Q137" s="52"/>
      <c r="R137" s="52"/>
      <c r="S137" s="140"/>
      <c r="T137" s="165"/>
      <c r="U137" s="165"/>
      <c r="V137" s="165"/>
      <c r="W137" s="28"/>
      <c r="X137" s="52">
        <f ca="1">IF(H137=0,AP137,    IF(AP137&lt;=2^(F137-1)-1,AP137,AP137-2^F137)  )</f>
        <v>0</v>
      </c>
      <c r="Y137" s="32"/>
      <c r="AC137" s="12">
        <f t="shared" si="607"/>
        <v>1</v>
      </c>
      <c r="AD137" s="12" t="str">
        <f ca="1">IF(AND(D137="-",C137&lt;&gt;"-"),E137,"-")</f>
        <v>0x104A</v>
      </c>
      <c r="AE137" s="12" t="str">
        <f>IF(D137="-",C137,"-")</f>
        <v>EE_GLBL_ERR_MASK1</v>
      </c>
      <c r="AF137" s="12" t="str">
        <f>IF(AND(D137&lt;&gt;"-",ISTEXT(D137)),E137,"-")</f>
        <v>-</v>
      </c>
      <c r="AG137" s="12" t="str">
        <f>IF(AND(D137&lt;&gt;"-",ISTEXT(D137)),D137,"-")</f>
        <v>-</v>
      </c>
      <c r="AH137" s="12" t="str">
        <f>IF(D137&lt;&gt;"-",F137,"-")</f>
        <v>-</v>
      </c>
      <c r="AI137" s="12" t="str">
        <f>IF(D137&lt;&gt;"-",G137+F137-1,"-")</f>
        <v>-</v>
      </c>
      <c r="AJ137" s="12" t="str">
        <f>IF(D137&lt;&gt;"-",G137,"-")</f>
        <v>-</v>
      </c>
      <c r="AK137" s="12" t="str">
        <f ca="1">IF(OR(AH137="-",AJ137="-"),AD137,(2^AH137-1)*2^AJ137)</f>
        <v>0x104A</v>
      </c>
      <c r="AL137" s="12" t="str">
        <f ca="1">IF(D137="-",B137,"-")</f>
        <v>CUST</v>
      </c>
      <c r="AM137" s="22">
        <f t="shared" si="617"/>
        <v>0</v>
      </c>
      <c r="AN137" s="12" t="str">
        <f ca="1">IF(OR(AH137="-",AJ137="-"),AD137,IF(AM137&lt;0,AM137+2^AH137,AM137)*2^AJ137)</f>
        <v>0x104A</v>
      </c>
      <c r="AO137" s="22" t="str">
        <f ca="1">IF(AF137="-",VLOOKUP(AD137,MemoryView!$A$3:$F$108,6,0),MID(VLOOKUP(AF137,MemoryView!$BD$3:$BE$108,2,0),15-AI137+1,AH137))</f>
        <v>0000</v>
      </c>
      <c r="AP137" s="22">
        <f ca="1">IF(AF137="-",HEX2DEC(AO137),IF(LEN(AO137)&gt;8,BIN2DEC(LEFT(AO137,LEN(AO137)-8))*2^8+BIN2DEC(RIGHT(AO137,8)),BIN2DEC(AO137)))</f>
        <v>0</v>
      </c>
      <c r="AQ137" s="53" t="str">
        <f>IF(AG137&lt;&gt;"-",CONCATENATE("`EE_MNG.",AG137,".SET(",AM137,");        // [",K137,"..",L137,"]"),"-")</f>
        <v>-</v>
      </c>
      <c r="AR137" s="54" t="str">
        <f ca="1">IF(AND(AD137="-",AE137="-",AF137="-",AG137="-"),"-",IF(AG137&lt;&gt;"-",CONCATENATE("EE_MEM #(`PARAM(16'h",RIGHT(AF137,4),", ",G137,", ",F137,", ",H137,")) ",AG137,"(); bit ",IF(H137=0,"unsigned [","signed ["),F137,"-1:0] ", AG137,"_V; assign ",AG137,"_V = ",AG137,".GET;"), CONCATENATE("EE_MEM #(`PARAM(16'h",RIGHT(AD137,4),", ",G137,", ",F137,", ",H137,")) ",AE137,"(); bit ",IF(H137=0,"unsigned [","signed ["),F137,"-1:0] ", AE137,"_V; assign ",AE137,"_V = ",AE137,".GET;")))</f>
        <v>EE_MEM #(`PARAM(16'h104A, 0, 16, 0)) EE_GLBL_ERR_MASK1(); bit unsigned [16-1:0] EE_GLBL_ERR_MASK1_V; assign EE_GLBL_ERR_MASK1_V = EE_GLBL_ERR_MASK1.GET;</v>
      </c>
      <c r="AS137" s="12" t="str">
        <f ca="1">IF(AG137="-",AE137,INDIRECT(ADDRESS(ROW()-1,COLUMN())))</f>
        <v>EE_GLBL_ERR_MASK1</v>
      </c>
    </row>
    <row r="138" spans="2:45" ht="89.25">
      <c r="B138" s="55" t="str">
        <f t="shared" ca="1" si="560"/>
        <v>CUST</v>
      </c>
      <c r="C138" s="55" t="s">
        <v>58</v>
      </c>
      <c r="D138" s="128" t="s">
        <v>605</v>
      </c>
      <c r="E138" s="57" t="str">
        <f ca="1">INDIRECT(ADDRESS(ROW()-1,COLUMN()))</f>
        <v>0x104A</v>
      </c>
      <c r="F138" s="57">
        <v>4</v>
      </c>
      <c r="G138" s="57">
        <v>12</v>
      </c>
      <c r="H138" s="57">
        <v>0</v>
      </c>
      <c r="I138" s="57" t="s">
        <v>68</v>
      </c>
      <c r="J138" s="50" t="str">
        <f t="shared" ref="J138" si="643">IF(D138&lt;&gt;"-","["&amp;AI138&amp;":"&amp;AJ138&amp;"]","-")</f>
        <v>[15:12]</v>
      </c>
      <c r="K138" s="50">
        <f t="shared" ref="K138" si="644">IF(H138,-L138-1,0)</f>
        <v>0</v>
      </c>
      <c r="L138" s="50">
        <f t="shared" ref="L138" si="645">IF(H138,FLOOR((2^F138-1)/2,1),2^F138-1)</f>
        <v>15</v>
      </c>
      <c r="M138" s="61" t="s">
        <v>612</v>
      </c>
      <c r="N138" s="28"/>
      <c r="O138" s="124">
        <v>0</v>
      </c>
      <c r="P138" s="57">
        <f t="shared" ref="P138:P141" si="646">O138</f>
        <v>0</v>
      </c>
      <c r="Q138" s="57">
        <f t="shared" ref="Q138:Q141" si="647">O138</f>
        <v>0</v>
      </c>
      <c r="R138" s="57">
        <f t="shared" ref="R138:S141" si="648">O138</f>
        <v>0</v>
      </c>
      <c r="S138" s="163">
        <f t="shared" si="648"/>
        <v>0</v>
      </c>
      <c r="T138" s="163">
        <v>0</v>
      </c>
      <c r="U138" s="163">
        <f>S138</f>
        <v>0</v>
      </c>
      <c r="V138" s="163">
        <f t="shared" si="327"/>
        <v>0</v>
      </c>
      <c r="W138" s="59"/>
      <c r="X138" s="57">
        <f t="shared" ref="X138" ca="1" si="649">IF(H138=0,AP138,    IF(AP138&lt;=2^(F138-1)-1,AP138,AP138-2^F138)  )</f>
        <v>0</v>
      </c>
      <c r="Y138" s="32"/>
      <c r="AC138" s="12" t="b">
        <f t="shared" si="607"/>
        <v>1</v>
      </c>
      <c r="AD138" s="12" t="str">
        <f t="shared" ref="AD138" si="650">IF(AND(D138="-",C138&lt;&gt;"-"),E138,"-")</f>
        <v>-</v>
      </c>
      <c r="AE138" s="12" t="str">
        <f t="shared" ref="AE138" si="651">IF(D138="-",C138,"-")</f>
        <v>-</v>
      </c>
      <c r="AF138" s="12" t="str">
        <f t="shared" ref="AF138" ca="1" si="652">IF(AND(D138&lt;&gt;"-",ISTEXT(D138)),E138,"-")</f>
        <v>0x104A</v>
      </c>
      <c r="AG138" s="12" t="str">
        <f t="shared" ref="AG138" si="653">IF(AND(D138&lt;&gt;"-",ISTEXT(D138)),D138,"-")</f>
        <v>TDEV_HIGH_ERR_CODE_MASK</v>
      </c>
      <c r="AH138" s="12">
        <f t="shared" ref="AH138" si="654">IF(D138&lt;&gt;"-",F138,"-")</f>
        <v>4</v>
      </c>
      <c r="AI138" s="12">
        <f t="shared" ref="AI138" si="655">IF(D138&lt;&gt;"-",G138+F138-1,"-")</f>
        <v>15</v>
      </c>
      <c r="AJ138" s="12">
        <f t="shared" ref="AJ138" si="656">IF(D138&lt;&gt;"-",G138,"-")</f>
        <v>12</v>
      </c>
      <c r="AK138" s="12">
        <f t="shared" ref="AK138" si="657">IF(OR(AH138="-",AJ138="-"),AD138,(2^AH138-1)*2^AJ138)</f>
        <v>61440</v>
      </c>
      <c r="AL138" s="12" t="str">
        <f t="shared" ref="AL138" si="658">IF(D138="-",B138,"-")</f>
        <v>-</v>
      </c>
      <c r="AM138" s="22">
        <f t="shared" si="617"/>
        <v>0</v>
      </c>
      <c r="AN138" s="12">
        <f t="shared" ref="AN138" si="659">IF(OR(AH138="-",AJ138="-"),AD138,IF(AM138&lt;0,AM138+2^AH138,AM138)*2^AJ138)</f>
        <v>0</v>
      </c>
      <c r="AO138" s="22" t="str">
        <f ca="1">IF(AF138="-",VLOOKUP(AD138,MemoryView!$A$3:$F$108,6,0),MID(VLOOKUP(AF138,MemoryView!$BD$3:$BE$108,2,0),15-AI138+1,AH138))</f>
        <v>0000</v>
      </c>
      <c r="AP138" s="22">
        <f t="shared" ref="AP138" ca="1" si="660">IF(AF138="-",HEX2DEC(AO138),IF(LEN(AO138)&gt;8,BIN2DEC(LEFT(AO138,LEN(AO138)-8))*2^8+BIN2DEC(RIGHT(AO138,8)),BIN2DEC(AO138)))</f>
        <v>0</v>
      </c>
      <c r="AQ138" s="53" t="str">
        <f t="shared" ref="AQ138" si="661">IF(AG138&lt;&gt;"-",CONCATENATE("`EE_MNG.",AG138,".SET(",AM138,");        // [",K138,"..",L138,"]"),"-")</f>
        <v>`EE_MNG.TDEV_HIGH_ERR_CODE_MASK.SET(0);        // [0..15]</v>
      </c>
      <c r="AR138" s="54" t="str">
        <f t="shared" ref="AR138" ca="1" si="662">IF(AND(AD138="-",AE138="-",AF138="-",AG138="-"),"-",IF(AG138&lt;&gt;"-",CONCATENATE("EE_MEM #(`PARAM(16'h",RIGHT(AF138,4),", ",G138,", ",F138,", ",H138,")) ",AG138,"(); bit ",IF(H138=0,"unsigned [","signed ["),F138,"-1:0] ", AG138,"_V; assign ",AG138,"_V = ",AG138,".GET;"), CONCATENATE("EE_MEM #(`PARAM(16'h",RIGHT(AD138,4),", ",G138,", ",F138,", ",H138,")) ",AE138,"(); bit ",IF(H138=0,"unsigned [","signed ["),F138,"-1:0] ", AE138,"_V; assign ",AE138,"_V = ",AE138,".GET;")))</f>
        <v>EE_MEM #(`PARAM(16'h104A, 12, 4, 0)) TDEV_HIGH_ERR_CODE_MASK(); bit unsigned [4-1:0] TDEV_HIGH_ERR_CODE_MASK_V; assign TDEV_HIGH_ERR_CODE_MASK_V = TDEV_HIGH_ERR_CODE_MASK.GET;</v>
      </c>
      <c r="AS138" s="12" t="str">
        <f t="shared" ref="AS138" ca="1" si="663">IF(AG138="-",AE138,INDIRECT(ADDRESS(ROW()-1,COLUMN())))</f>
        <v>EE_GLBL_ERR_MASK1</v>
      </c>
    </row>
    <row r="139" spans="2:45" ht="89.25">
      <c r="B139" s="55" t="str">
        <f t="shared" ca="1" si="560"/>
        <v>CUST</v>
      </c>
      <c r="C139" s="55" t="s">
        <v>58</v>
      </c>
      <c r="D139" s="128" t="s">
        <v>609</v>
      </c>
      <c r="E139" s="57" t="str">
        <f ca="1">INDIRECT(ADDRESS(ROW()-1,COLUMN()))</f>
        <v>0x104A</v>
      </c>
      <c r="F139" s="57">
        <v>4</v>
      </c>
      <c r="G139" s="57">
        <v>8</v>
      </c>
      <c r="H139" s="57">
        <v>0</v>
      </c>
      <c r="I139" s="57" t="s">
        <v>68</v>
      </c>
      <c r="J139" s="50" t="str">
        <f t="shared" ref="J139:J140" si="664">IF(D139&lt;&gt;"-","["&amp;AI139&amp;":"&amp;AJ139&amp;"]","-")</f>
        <v>[11:8]</v>
      </c>
      <c r="K139" s="50">
        <f t="shared" ref="K139:K140" si="665">IF(H139,-L139-1,0)</f>
        <v>0</v>
      </c>
      <c r="L139" s="50">
        <f t="shared" ref="L139:L140" si="666">IF(H139,FLOOR((2^F139-1)/2,1),2^F139-1)</f>
        <v>15</v>
      </c>
      <c r="M139" s="61" t="s">
        <v>613</v>
      </c>
      <c r="N139" s="28"/>
      <c r="O139" s="124">
        <v>0</v>
      </c>
      <c r="P139" s="57">
        <f t="shared" si="646"/>
        <v>0</v>
      </c>
      <c r="Q139" s="57">
        <f t="shared" si="647"/>
        <v>0</v>
      </c>
      <c r="R139" s="57">
        <f t="shared" si="648"/>
        <v>0</v>
      </c>
      <c r="S139" s="163">
        <f t="shared" si="648"/>
        <v>0</v>
      </c>
      <c r="T139" s="163">
        <v>0</v>
      </c>
      <c r="U139" s="163">
        <f>S139</f>
        <v>0</v>
      </c>
      <c r="V139" s="163">
        <f t="shared" si="327"/>
        <v>0</v>
      </c>
      <c r="W139" s="59"/>
      <c r="X139" s="57">
        <f t="shared" ref="X139:X140" ca="1" si="667">IF(H139=0,AP139,    IF(AP139&lt;=2^(F139-1)-1,AP139,AP139-2^F139)  )</f>
        <v>0</v>
      </c>
      <c r="Y139" s="32"/>
      <c r="AC139" s="12" t="b">
        <f t="shared" si="607"/>
        <v>1</v>
      </c>
      <c r="AD139" s="12" t="str">
        <f t="shared" ref="AD139:AD140" si="668">IF(AND(D139="-",C139&lt;&gt;"-"),E139,"-")</f>
        <v>-</v>
      </c>
      <c r="AE139" s="12" t="str">
        <f t="shared" ref="AE139:AE140" si="669">IF(D139="-",C139,"-")</f>
        <v>-</v>
      </c>
      <c r="AF139" s="12" t="str">
        <f t="shared" ref="AF139:AF140" ca="1" si="670">IF(AND(D139&lt;&gt;"-",ISTEXT(D139)),E139,"-")</f>
        <v>0x104A</v>
      </c>
      <c r="AG139" s="12" t="str">
        <f t="shared" ref="AG139:AG140" si="671">IF(AND(D139&lt;&gt;"-",ISTEXT(D139)),D139,"-")</f>
        <v>TDEV_LOW_ERR_CODE_MASK</v>
      </c>
      <c r="AH139" s="12">
        <f t="shared" ref="AH139:AH140" si="672">IF(D139&lt;&gt;"-",F139,"-")</f>
        <v>4</v>
      </c>
      <c r="AI139" s="12">
        <f t="shared" ref="AI139:AI140" si="673">IF(D139&lt;&gt;"-",G139+F139-1,"-")</f>
        <v>11</v>
      </c>
      <c r="AJ139" s="12">
        <f t="shared" ref="AJ139:AJ140" si="674">IF(D139&lt;&gt;"-",G139,"-")</f>
        <v>8</v>
      </c>
      <c r="AK139" s="12">
        <f t="shared" ref="AK139:AK140" si="675">IF(OR(AH139="-",AJ139="-"),AD139,(2^AH139-1)*2^AJ139)</f>
        <v>3840</v>
      </c>
      <c r="AL139" s="12" t="str">
        <f t="shared" ref="AL139:AL140" si="676">IF(D139="-",B139,"-")</f>
        <v>-</v>
      </c>
      <c r="AM139" s="22">
        <f t="shared" si="617"/>
        <v>0</v>
      </c>
      <c r="AN139" s="12">
        <f t="shared" ref="AN139:AN140" si="677">IF(OR(AH139="-",AJ139="-"),AD139,IF(AM139&lt;0,AM139+2^AH139,AM139)*2^AJ139)</f>
        <v>0</v>
      </c>
      <c r="AO139" s="22" t="str">
        <f ca="1">IF(AF139="-",VLOOKUP(AD139,MemoryView!$A$3:$F$108,6,0),MID(VLOOKUP(AF139,MemoryView!$BD$3:$BE$108,2,0),15-AI139+1,AH139))</f>
        <v>0000</v>
      </c>
      <c r="AP139" s="22">
        <f t="shared" ref="AP139:AP140" ca="1" si="678">IF(AF139="-",HEX2DEC(AO139),IF(LEN(AO139)&gt;8,BIN2DEC(LEFT(AO139,LEN(AO139)-8))*2^8+BIN2DEC(RIGHT(AO139,8)),BIN2DEC(AO139)))</f>
        <v>0</v>
      </c>
      <c r="AQ139" s="53" t="str">
        <f t="shared" ref="AQ139:AQ140" si="679">IF(AG139&lt;&gt;"-",CONCATENATE("`EE_MNG.",AG139,".SET(",AM139,");        // [",K139,"..",L139,"]"),"-")</f>
        <v>`EE_MNG.TDEV_LOW_ERR_CODE_MASK.SET(0);        // [0..15]</v>
      </c>
      <c r="AR139" s="54" t="str">
        <f t="shared" ref="AR139:AR140" ca="1" si="680">IF(AND(AD139="-",AE139="-",AF139="-",AG139="-"),"-",IF(AG139&lt;&gt;"-",CONCATENATE("EE_MEM #(`PARAM(16'h",RIGHT(AF139,4),", ",G139,", ",F139,", ",H139,")) ",AG139,"(); bit ",IF(H139=0,"unsigned [","signed ["),F139,"-1:0] ", AG139,"_V; assign ",AG139,"_V = ",AG139,".GET;"), CONCATENATE("EE_MEM #(`PARAM(16'h",RIGHT(AD139,4),", ",G139,", ",F139,", ",H139,")) ",AE139,"(); bit ",IF(H139=0,"unsigned [","signed ["),F139,"-1:0] ", AE139,"_V; assign ",AE139,"_V = ",AE139,".GET;")))</f>
        <v>EE_MEM #(`PARAM(16'h104A, 8, 4, 0)) TDEV_LOW_ERR_CODE_MASK(); bit unsigned [4-1:0] TDEV_LOW_ERR_CODE_MASK_V; assign TDEV_LOW_ERR_CODE_MASK_V = TDEV_LOW_ERR_CODE_MASK.GET;</v>
      </c>
      <c r="AS139" s="12" t="str">
        <f t="shared" ref="AS139:AS140" ca="1" si="681">IF(AG139="-",AE139,INDIRECT(ADDRESS(ROW()-1,COLUMN())))</f>
        <v>EE_GLBL_ERR_MASK1</v>
      </c>
    </row>
    <row r="140" spans="2:45" ht="89.25">
      <c r="B140" s="55" t="str">
        <f t="shared" ca="1" si="560"/>
        <v>CUST</v>
      </c>
      <c r="C140" s="55" t="s">
        <v>58</v>
      </c>
      <c r="D140" s="128" t="s">
        <v>610</v>
      </c>
      <c r="E140" s="57" t="str">
        <f ca="1">INDIRECT(ADDRESS(ROW()-1,COLUMN()))</f>
        <v>0x104A</v>
      </c>
      <c r="F140" s="57">
        <v>4</v>
      </c>
      <c r="G140" s="57">
        <v>4</v>
      </c>
      <c r="H140" s="57">
        <v>0</v>
      </c>
      <c r="I140" s="57" t="s">
        <v>68</v>
      </c>
      <c r="J140" s="50" t="str">
        <f t="shared" si="664"/>
        <v>[7:4]</v>
      </c>
      <c r="K140" s="50">
        <f t="shared" si="665"/>
        <v>0</v>
      </c>
      <c r="L140" s="50">
        <f t="shared" si="666"/>
        <v>15</v>
      </c>
      <c r="M140" s="61" t="s">
        <v>614</v>
      </c>
      <c r="N140" s="28"/>
      <c r="O140" s="124">
        <v>0</v>
      </c>
      <c r="P140" s="57">
        <f t="shared" si="646"/>
        <v>0</v>
      </c>
      <c r="Q140" s="57">
        <f t="shared" si="647"/>
        <v>0</v>
      </c>
      <c r="R140" s="57">
        <f t="shared" si="648"/>
        <v>0</v>
      </c>
      <c r="S140" s="163">
        <f t="shared" si="648"/>
        <v>0</v>
      </c>
      <c r="T140" s="163">
        <v>0</v>
      </c>
      <c r="U140" s="163">
        <f>S140</f>
        <v>0</v>
      </c>
      <c r="V140" s="163">
        <f t="shared" si="327"/>
        <v>0</v>
      </c>
      <c r="W140" s="59"/>
      <c r="X140" s="57">
        <f t="shared" ca="1" si="667"/>
        <v>0</v>
      </c>
      <c r="Y140" s="32"/>
      <c r="AC140" s="12" t="b">
        <f t="shared" si="607"/>
        <v>1</v>
      </c>
      <c r="AD140" s="12" t="str">
        <f t="shared" si="668"/>
        <v>-</v>
      </c>
      <c r="AE140" s="12" t="str">
        <f t="shared" si="669"/>
        <v>-</v>
      </c>
      <c r="AF140" s="12" t="str">
        <f t="shared" ca="1" si="670"/>
        <v>0x104A</v>
      </c>
      <c r="AG140" s="12" t="str">
        <f t="shared" si="671"/>
        <v>TNTC_HIGH_ERR_CODE_MASK</v>
      </c>
      <c r="AH140" s="12">
        <f t="shared" si="672"/>
        <v>4</v>
      </c>
      <c r="AI140" s="12">
        <f t="shared" si="673"/>
        <v>7</v>
      </c>
      <c r="AJ140" s="12">
        <f t="shared" si="674"/>
        <v>4</v>
      </c>
      <c r="AK140" s="12">
        <f t="shared" si="675"/>
        <v>240</v>
      </c>
      <c r="AL140" s="12" t="str">
        <f t="shared" si="676"/>
        <v>-</v>
      </c>
      <c r="AM140" s="22">
        <f t="shared" si="617"/>
        <v>0</v>
      </c>
      <c r="AN140" s="12">
        <f t="shared" si="677"/>
        <v>0</v>
      </c>
      <c r="AO140" s="22" t="str">
        <f ca="1">IF(AF140="-",VLOOKUP(AD140,MemoryView!$A$3:$F$108,6,0),MID(VLOOKUP(AF140,MemoryView!$BD$3:$BE$108,2,0),15-AI140+1,AH140))</f>
        <v>0000</v>
      </c>
      <c r="AP140" s="22">
        <f t="shared" ca="1" si="678"/>
        <v>0</v>
      </c>
      <c r="AQ140" s="53" t="str">
        <f t="shared" si="679"/>
        <v>`EE_MNG.TNTC_HIGH_ERR_CODE_MASK.SET(0);        // [0..15]</v>
      </c>
      <c r="AR140" s="54" t="str">
        <f t="shared" ca="1" si="680"/>
        <v>EE_MEM #(`PARAM(16'h104A, 4, 4, 0)) TNTC_HIGH_ERR_CODE_MASK(); bit unsigned [4-1:0] TNTC_HIGH_ERR_CODE_MASK_V; assign TNTC_HIGH_ERR_CODE_MASK_V = TNTC_HIGH_ERR_CODE_MASK.GET;</v>
      </c>
      <c r="AS140" s="12" t="str">
        <f t="shared" ca="1" si="681"/>
        <v>EE_GLBL_ERR_MASK1</v>
      </c>
    </row>
    <row r="141" spans="2:45" ht="76.5">
      <c r="B141" s="55" t="str">
        <f t="shared" ca="1" si="560"/>
        <v>CUST</v>
      </c>
      <c r="C141" s="55" t="s">
        <v>58</v>
      </c>
      <c r="D141" s="128" t="s">
        <v>611</v>
      </c>
      <c r="E141" s="57" t="str">
        <f ca="1">INDIRECT(ADDRESS(ROW()-1,COLUMN()))</f>
        <v>0x104A</v>
      </c>
      <c r="F141" s="57">
        <v>4</v>
      </c>
      <c r="G141" s="57">
        <v>0</v>
      </c>
      <c r="H141" s="57">
        <v>0</v>
      </c>
      <c r="I141" s="57" t="s">
        <v>68</v>
      </c>
      <c r="J141" s="50" t="str">
        <f>IF(D141&lt;&gt;"-","["&amp;AI141&amp;":"&amp;AJ141&amp;"]","-")</f>
        <v>[3:0]</v>
      </c>
      <c r="K141" s="50">
        <f>IF(H141,-L141-1,0)</f>
        <v>0</v>
      </c>
      <c r="L141" s="50">
        <f>IF(H141,FLOOR((2^F141-1)/2,1),2^F141-1)</f>
        <v>15</v>
      </c>
      <c r="M141" s="61" t="s">
        <v>759</v>
      </c>
      <c r="N141" s="28"/>
      <c r="O141" s="124">
        <v>0</v>
      </c>
      <c r="P141" s="57">
        <f t="shared" si="646"/>
        <v>0</v>
      </c>
      <c r="Q141" s="57">
        <f t="shared" si="647"/>
        <v>0</v>
      </c>
      <c r="R141" s="57">
        <f t="shared" si="648"/>
        <v>0</v>
      </c>
      <c r="S141" s="163">
        <f t="shared" si="648"/>
        <v>0</v>
      </c>
      <c r="T141" s="163">
        <v>0</v>
      </c>
      <c r="U141" s="163">
        <f>S141</f>
        <v>0</v>
      </c>
      <c r="V141" s="163">
        <f t="shared" si="327"/>
        <v>0</v>
      </c>
      <c r="W141" s="59"/>
      <c r="X141" s="57">
        <f ca="1">IF(H141=0,AP141,    IF(AP141&lt;=2^(F141-1)-1,AP141,AP141-2^F141)  )</f>
        <v>0</v>
      </c>
      <c r="Y141" s="32"/>
      <c r="AC141" s="12" t="b">
        <f t="shared" si="607"/>
        <v>1</v>
      </c>
      <c r="AD141" s="12" t="str">
        <f>IF(AND(D141="-",C141&lt;&gt;"-"),E141,"-")</f>
        <v>-</v>
      </c>
      <c r="AE141" s="12" t="str">
        <f>IF(D141="-",C141,"-")</f>
        <v>-</v>
      </c>
      <c r="AF141" s="12" t="str">
        <f ca="1">IF(AND(D141&lt;&gt;"-",ISTEXT(D141)),E141,"-")</f>
        <v>0x104A</v>
      </c>
      <c r="AG141" s="12" t="str">
        <f>IF(AND(D141&lt;&gt;"-",ISTEXT(D141)),D141,"-")</f>
        <v>TNTC_LOW_ERR_CODE_MASK</v>
      </c>
      <c r="AH141" s="12">
        <f>IF(D141&lt;&gt;"-",F141,"-")</f>
        <v>4</v>
      </c>
      <c r="AI141" s="12">
        <f>IF(D141&lt;&gt;"-",G141+F141-1,"-")</f>
        <v>3</v>
      </c>
      <c r="AJ141" s="12">
        <f>IF(D141&lt;&gt;"-",G141,"-")</f>
        <v>0</v>
      </c>
      <c r="AK141" s="12">
        <f>IF(OR(AH141="-",AJ141="-"),AD141,(2^AH141-1)*2^AJ141)</f>
        <v>15</v>
      </c>
      <c r="AL141" s="12" t="str">
        <f>IF(D141="-",B141,"-")</f>
        <v>-</v>
      </c>
      <c r="AM141" s="22">
        <f t="shared" si="617"/>
        <v>0</v>
      </c>
      <c r="AN141" s="12">
        <f>IF(OR(AH141="-",AJ141="-"),AD141,IF(AM141&lt;0,AM141+2^AH141,AM141)*2^AJ141)</f>
        <v>0</v>
      </c>
      <c r="AO141" s="22" t="str">
        <f ca="1">IF(AF141="-",VLOOKUP(AD141,MemoryView!$A$3:$F$108,6,0),MID(VLOOKUP(AF141,MemoryView!$BD$3:$BE$108,2,0),15-AI141+1,AH141))</f>
        <v>0000</v>
      </c>
      <c r="AP141" s="22">
        <f ca="1">IF(AF141="-",HEX2DEC(AO141),IF(LEN(AO141)&gt;8,BIN2DEC(LEFT(AO141,LEN(AO141)-8))*2^8+BIN2DEC(RIGHT(AO141,8)),BIN2DEC(AO141)))</f>
        <v>0</v>
      </c>
      <c r="AQ141" s="53" t="str">
        <f>IF(AG141&lt;&gt;"-",CONCATENATE("`EE_MNG.",AG141,".SET(",AM141,");        // [",K141,"..",L141,"]"),"-")</f>
        <v>`EE_MNG.TNTC_LOW_ERR_CODE_MASK.SET(0);        // [0..15]</v>
      </c>
      <c r="AR141" s="54" t="str">
        <f ca="1">IF(AND(AD141="-",AE141="-",AF141="-",AG141="-"),"-",IF(AG141&lt;&gt;"-",CONCATENATE("EE_MEM #(`PARAM(16'h",RIGHT(AF141,4),", ",G141,", ",F141,", ",H141,")) ",AG141,"(); bit ",IF(H141=0,"unsigned [","signed ["),F141,"-1:0] ", AG141,"_V; assign ",AG141,"_V = ",AG141,".GET;"), CONCATENATE("EE_MEM #(`PARAM(16'h",RIGHT(AD141,4),", ",G141,", ",F141,", ",H141,")) ",AE141,"(); bit ",IF(H141=0,"unsigned [","signed ["),F141,"-1:0] ", AE141,"_V; assign ",AE141,"_V = ",AE141,".GET;")))</f>
        <v>EE_MEM #(`PARAM(16'h104A, 0, 4, 0)) TNTC_LOW_ERR_CODE_MASK(); bit unsigned [4-1:0] TNTC_LOW_ERR_CODE_MASK_V; assign TNTC_LOW_ERR_CODE_MASK_V = TNTC_LOW_ERR_CODE_MASK.GET;</v>
      </c>
      <c r="AS141" s="12" t="str">
        <f ca="1">IF(AG141="-",AE141,INDIRECT(ADDRESS(ROW()-1,COLUMN())))</f>
        <v>EE_GLBL_ERR_MASK1</v>
      </c>
    </row>
    <row r="142" spans="2:45">
      <c r="B142" s="47" t="str">
        <f t="shared" ca="1" si="560"/>
        <v>CUST</v>
      </c>
      <c r="C142" s="47" t="s">
        <v>520</v>
      </c>
      <c r="D142" s="48" t="s">
        <v>58</v>
      </c>
      <c r="E142" s="60" t="str">
        <f ca="1">"0x"&amp;DEC2HEX(HEX2DEC(RIGHT(INDIRECT(ADDRESS(ROW()-1,COLUMN())),4))+2,4)</f>
        <v>0x104C</v>
      </c>
      <c r="F142" s="49">
        <v>16</v>
      </c>
      <c r="G142" s="49">
        <v>0</v>
      </c>
      <c r="H142" s="49">
        <v>0</v>
      </c>
      <c r="I142" s="49" t="s">
        <v>58</v>
      </c>
      <c r="J142" s="50" t="str">
        <f t="shared" ref="J142" si="682">IF(D142&lt;&gt;"-","["&amp;AI142&amp;":"&amp;AJ142&amp;"]","-")</f>
        <v>-</v>
      </c>
      <c r="K142" s="50">
        <f t="shared" ref="K142" si="683">IF(H142,-L142-1,0)</f>
        <v>0</v>
      </c>
      <c r="L142" s="50">
        <f t="shared" ref="L142" si="684">IF(H142,FLOOR((2^F142-1)/2,1),2^F142-1)</f>
        <v>65535</v>
      </c>
      <c r="M142" s="51" t="s">
        <v>117</v>
      </c>
      <c r="N142" s="28"/>
      <c r="O142" s="52"/>
      <c r="P142" s="52"/>
      <c r="Q142" s="52"/>
      <c r="R142" s="52"/>
      <c r="S142" s="140"/>
      <c r="T142" s="165"/>
      <c r="U142" s="165"/>
      <c r="V142" s="165"/>
      <c r="W142" s="28"/>
      <c r="X142" s="52">
        <f t="shared" ref="X142" ca="1" si="685">IF(H142=0,AP142,    IF(AP142&lt;=2^(F142-1)-1,AP142,AP142-2^F142)  )</f>
        <v>0</v>
      </c>
      <c r="Y142" s="32"/>
      <c r="AC142" s="12">
        <f t="shared" si="607"/>
        <v>1</v>
      </c>
      <c r="AD142" s="12" t="str">
        <f t="shared" ref="AD142" ca="1" si="686">IF(AND(D142="-",C142&lt;&gt;"-"),E142,"-")</f>
        <v>0x104C</v>
      </c>
      <c r="AE142" s="12" t="str">
        <f t="shared" ref="AE142" si="687">IF(D142="-",C142,"-")</f>
        <v>EE_FILT_MASK0</v>
      </c>
      <c r="AF142" s="12" t="str">
        <f t="shared" ref="AF142" si="688">IF(AND(D142&lt;&gt;"-",ISTEXT(D142)),E142,"-")</f>
        <v>-</v>
      </c>
      <c r="AG142" s="12" t="str">
        <f t="shared" ref="AG142" si="689">IF(AND(D142&lt;&gt;"-",ISTEXT(D142)),D142,"-")</f>
        <v>-</v>
      </c>
      <c r="AH142" s="12" t="str">
        <f t="shared" ref="AH142" si="690">IF(D142&lt;&gt;"-",F142,"-")</f>
        <v>-</v>
      </c>
      <c r="AI142" s="12" t="str">
        <f t="shared" ref="AI142" si="691">IF(D142&lt;&gt;"-",G142+F142-1,"-")</f>
        <v>-</v>
      </c>
      <c r="AJ142" s="12" t="str">
        <f t="shared" ref="AJ142" si="692">IF(D142&lt;&gt;"-",G142,"-")</f>
        <v>-</v>
      </c>
      <c r="AK142" s="12" t="str">
        <f t="shared" ref="AK142" ca="1" si="693">IF(OR(AH142="-",AJ142="-"),AD142,(2^AH142-1)*2^AJ142)</f>
        <v>0x104C</v>
      </c>
      <c r="AL142" s="12" t="str">
        <f t="shared" ref="AL142" ca="1" si="694">IF(D142="-",B142,"-")</f>
        <v>CUST</v>
      </c>
      <c r="AM142" s="22">
        <f t="shared" si="617"/>
        <v>0</v>
      </c>
      <c r="AN142" s="12" t="str">
        <f t="shared" ref="AN142" ca="1" si="695">IF(OR(AH142="-",AJ142="-"),AD142,IF(AM142&lt;0,AM142+2^AH142,AM142)*2^AJ142)</f>
        <v>0x104C</v>
      </c>
      <c r="AO142" s="22" t="str">
        <f ca="1">IF(AF142="-",VLOOKUP(AD142,MemoryView!$A$3:$F$108,6,0),MID(VLOOKUP(AF142,MemoryView!$BD$3:$BE$108,2,0),15-AI142+1,AH142))</f>
        <v>0000</v>
      </c>
      <c r="AP142" s="22">
        <f t="shared" ref="AP142" ca="1" si="696">IF(AF142="-",HEX2DEC(AO142),IF(LEN(AO142)&gt;8,BIN2DEC(LEFT(AO142,LEN(AO142)-8))*2^8+BIN2DEC(RIGHT(AO142,8)),BIN2DEC(AO142)))</f>
        <v>0</v>
      </c>
      <c r="AQ142" s="53" t="str">
        <f t="shared" ref="AQ142" si="697">IF(AG142&lt;&gt;"-",CONCATENATE("`EE_MNG.",AG142,".SET(",AM142,");        // [",K142,"..",L142,"]"),"-")</f>
        <v>-</v>
      </c>
      <c r="AR142" s="54" t="str">
        <f t="shared" ref="AR142" ca="1" si="698">IF(AND(AD142="-",AE142="-",AF142="-",AG142="-"),"-",IF(AG142&lt;&gt;"-",CONCATENATE("EE_MEM #(`PARAM(16'h",RIGHT(AF142,4),", ",G142,", ",F142,", ",H142,")) ",AG142,"(); bit ",IF(H142=0,"unsigned [","signed ["),F142,"-1:0] ", AG142,"_V; assign ",AG142,"_V = ",AG142,".GET;"), CONCATENATE("EE_MEM #(`PARAM(16'h",RIGHT(AD142,4),", ",G142,", ",F142,", ",H142,")) ",AE142,"(); bit ",IF(H142=0,"unsigned [","signed ["),F142,"-1:0] ", AE142,"_V; assign ",AE142,"_V = ",AE142,".GET;")))</f>
        <v>EE_MEM #(`PARAM(16'h104C, 0, 16, 0)) EE_FILT_MASK0(); bit unsigned [16-1:0] EE_FILT_MASK0_V; assign EE_FILT_MASK0_V = EE_FILT_MASK0.GET;</v>
      </c>
      <c r="AS142" s="12" t="str">
        <f t="shared" ref="AS142" ca="1" si="699">IF(AG142="-",AE142,INDIRECT(ADDRESS(ROW()-1,COLUMN())))</f>
        <v>EE_FILT_MASK0</v>
      </c>
    </row>
    <row r="143" spans="2:45" ht="38.25">
      <c r="B143" s="55" t="str">
        <f t="shared" ca="1" si="560"/>
        <v>CUST</v>
      </c>
      <c r="C143" s="55" t="s">
        <v>58</v>
      </c>
      <c r="D143" s="128" t="s">
        <v>511</v>
      </c>
      <c r="E143" s="57" t="str">
        <f ca="1">INDIRECT(ADDRESS(ROW()-1,COLUMN()))</f>
        <v>0x104C</v>
      </c>
      <c r="F143" s="57">
        <v>8</v>
      </c>
      <c r="G143" s="57">
        <v>8</v>
      </c>
      <c r="H143" s="57">
        <v>0</v>
      </c>
      <c r="I143" s="57" t="s">
        <v>68</v>
      </c>
      <c r="J143" s="50" t="str">
        <f>IF(D143&lt;&gt;"-","["&amp;AI143&amp;":"&amp;AJ143&amp;"]","-")</f>
        <v>[15:8]</v>
      </c>
      <c r="K143" s="50">
        <f>IF(H143,-L143-1,0)</f>
        <v>0</v>
      </c>
      <c r="L143" s="50">
        <f>IF(H143,FLOOR((2^F143-1)/2,1),2^F143-1)</f>
        <v>255</v>
      </c>
      <c r="M143" s="61" t="s">
        <v>514</v>
      </c>
      <c r="N143" s="28"/>
      <c r="O143" s="124">
        <v>0</v>
      </c>
      <c r="P143" s="57">
        <f t="shared" ref="P143:P144" si="700">O143</f>
        <v>0</v>
      </c>
      <c r="Q143" s="57">
        <f t="shared" ref="Q143:Q144" si="701">O143</f>
        <v>0</v>
      </c>
      <c r="R143" s="57">
        <f t="shared" ref="R143:S144" si="702">O143</f>
        <v>0</v>
      </c>
      <c r="S143" s="163">
        <f t="shared" si="702"/>
        <v>0</v>
      </c>
      <c r="T143" s="163">
        <v>0</v>
      </c>
      <c r="U143" s="163">
        <f>S143</f>
        <v>0</v>
      </c>
      <c r="V143" s="163">
        <f t="shared" si="327"/>
        <v>0</v>
      </c>
      <c r="W143" s="59"/>
      <c r="X143" s="57">
        <f ca="1">IF(H143=0,AP143,    IF(AP143&lt;=2^(F143-1)-1,AP143,AP143-2^F143)  )</f>
        <v>0</v>
      </c>
      <c r="Y143" s="32"/>
      <c r="AC143" s="12" t="b">
        <f t="shared" si="607"/>
        <v>1</v>
      </c>
      <c r="AD143" s="12" t="str">
        <f>IF(AND(D143="-",C143&lt;&gt;"-"),E143,"-")</f>
        <v>-</v>
      </c>
      <c r="AE143" s="12" t="str">
        <f>IF(D143="-",C143,"-")</f>
        <v>-</v>
      </c>
      <c r="AF143" s="12" t="str">
        <f ca="1">IF(AND(D143&lt;&gt;"-",ISTEXT(D143)),E143,"-")</f>
        <v>0x104C</v>
      </c>
      <c r="AG143" s="12" t="str">
        <f>IF(AND(D143&lt;&gt;"-",ISTEXT(D143)),D143,"-")</f>
        <v>PRES_FILT_ERR_MASK</v>
      </c>
      <c r="AH143" s="12">
        <f>IF(D143&lt;&gt;"-",F143,"-")</f>
        <v>8</v>
      </c>
      <c r="AI143" s="12">
        <f>IF(D143&lt;&gt;"-",G143+F143-1,"-")</f>
        <v>15</v>
      </c>
      <c r="AJ143" s="12">
        <f>IF(D143&lt;&gt;"-",G143,"-")</f>
        <v>8</v>
      </c>
      <c r="AK143" s="12">
        <f>IF(OR(AH143="-",AJ143="-"),AD143,(2^AH143-1)*2^AJ143)</f>
        <v>65280</v>
      </c>
      <c r="AL143" s="12" t="str">
        <f>IF(D143="-",B143,"-")</f>
        <v>-</v>
      </c>
      <c r="AM143" s="22">
        <f t="shared" si="617"/>
        <v>0</v>
      </c>
      <c r="AN143" s="12">
        <f>IF(OR(AH143="-",AJ143="-"),AD143,IF(AM143&lt;0,AM143+2^AH143,AM143)*2^AJ143)</f>
        <v>0</v>
      </c>
      <c r="AO143" s="22" t="str">
        <f ca="1">IF(AF143="-",VLOOKUP(AD143,MemoryView!$A$3:$F$108,6,0),MID(VLOOKUP(AF143,MemoryView!$BD$3:$BE$108,2,0),15-AI143+1,AH143))</f>
        <v>00000000</v>
      </c>
      <c r="AP143" s="22">
        <f ca="1">IF(AF143="-",HEX2DEC(AO143),IF(LEN(AO143)&gt;8,BIN2DEC(LEFT(AO143,LEN(AO143)-8))*2^8+BIN2DEC(RIGHT(AO143,8)),BIN2DEC(AO143)))</f>
        <v>0</v>
      </c>
      <c r="AQ143" s="53" t="str">
        <f>IF(AG143&lt;&gt;"-",CONCATENATE("`EE_MNG.",AG143,".SET(",AM143,");        // [",K143,"..",L143,"]"),"-")</f>
        <v>`EE_MNG.PRES_FILT_ERR_MASK.SET(0);        // [0..255]</v>
      </c>
      <c r="AR143" s="54" t="str">
        <f ca="1">IF(AND(AD143="-",AE143="-",AF143="-",AG143="-"),"-",IF(AG143&lt;&gt;"-",CONCATENATE("EE_MEM #(`PARAM(16'h",RIGHT(AF143,4),", ",G143,", ",F143,", ",H143,")) ",AG143,"(); bit ",IF(H143=0,"unsigned [","signed ["),F143,"-1:0] ", AG143,"_V; assign ",AG143,"_V = ",AG143,".GET;"), CONCATENATE("EE_MEM #(`PARAM(16'h",RIGHT(AD143,4),", ",G143,", ",F143,", ",H143,")) ",AE143,"(); bit ",IF(H143=0,"unsigned [","signed ["),F143,"-1:0] ", AE143,"_V; assign ",AE143,"_V = ",AE143,".GET;")))</f>
        <v>EE_MEM #(`PARAM(16'h104C, 8, 8, 0)) PRES_FILT_ERR_MASK(); bit unsigned [8-1:0] PRES_FILT_ERR_MASK_V; assign PRES_FILT_ERR_MASK_V = PRES_FILT_ERR_MASK.GET;</v>
      </c>
      <c r="AS143" s="12" t="str">
        <f ca="1">IF(AG143="-",AE143,INDIRECT(ADDRESS(ROW()-1,COLUMN())))</f>
        <v>EE_FILT_MASK0</v>
      </c>
    </row>
    <row r="144" spans="2:45" ht="38.25">
      <c r="B144" s="55" t="str">
        <f t="shared" ca="1" si="560"/>
        <v>CUST</v>
      </c>
      <c r="C144" s="55" t="s">
        <v>58</v>
      </c>
      <c r="D144" s="128" t="s">
        <v>512</v>
      </c>
      <c r="E144" s="57" t="str">
        <f ca="1">INDIRECT(ADDRESS(ROW()-1,COLUMN()))</f>
        <v>0x104C</v>
      </c>
      <c r="F144" s="57">
        <v>8</v>
      </c>
      <c r="G144" s="57">
        <v>0</v>
      </c>
      <c r="H144" s="57">
        <v>0</v>
      </c>
      <c r="I144" s="57" t="s">
        <v>68</v>
      </c>
      <c r="J144" s="50" t="str">
        <f>IF(D144&lt;&gt;"-","["&amp;AI144&amp;":"&amp;AJ144&amp;"]","-")</f>
        <v>[7:0]</v>
      </c>
      <c r="K144" s="50">
        <f>IF(H144,-L144-1,0)</f>
        <v>0</v>
      </c>
      <c r="L144" s="50">
        <f>IF(H144,FLOOR((2^F144-1)/2,1),2^F144-1)</f>
        <v>255</v>
      </c>
      <c r="M144" s="61" t="s">
        <v>513</v>
      </c>
      <c r="N144" s="28"/>
      <c r="O144" s="124">
        <v>0</v>
      </c>
      <c r="P144" s="57">
        <f t="shared" si="700"/>
        <v>0</v>
      </c>
      <c r="Q144" s="57">
        <f t="shared" si="701"/>
        <v>0</v>
      </c>
      <c r="R144" s="57">
        <f t="shared" si="702"/>
        <v>0</v>
      </c>
      <c r="S144" s="163">
        <f t="shared" si="702"/>
        <v>0</v>
      </c>
      <c r="T144" s="163">
        <v>0</v>
      </c>
      <c r="U144" s="163">
        <f>S144</f>
        <v>0</v>
      </c>
      <c r="V144" s="163">
        <f t="shared" si="327"/>
        <v>0</v>
      </c>
      <c r="W144" s="59"/>
      <c r="X144" s="57">
        <f ca="1">IF(H144=0,AP144,    IF(AP144&lt;=2^(F144-1)-1,AP144,AP144-2^F144)  )</f>
        <v>0</v>
      </c>
      <c r="Y144" s="32"/>
      <c r="AC144" s="12" t="b">
        <f t="shared" si="607"/>
        <v>1</v>
      </c>
      <c r="AD144" s="12" t="str">
        <f>IF(AND(D144="-",C144&lt;&gt;"-"),E144,"-")</f>
        <v>-</v>
      </c>
      <c r="AE144" s="12" t="str">
        <f>IF(D144="-",C144,"-")</f>
        <v>-</v>
      </c>
      <c r="AF144" s="12" t="str">
        <f ca="1">IF(AND(D144&lt;&gt;"-",ISTEXT(D144)),E144,"-")</f>
        <v>0x104C</v>
      </c>
      <c r="AG144" s="12" t="str">
        <f>IF(AND(D144&lt;&gt;"-",ISTEXT(D144)),D144,"-")</f>
        <v>NTC_FILT_ERR_MASK</v>
      </c>
      <c r="AH144" s="12">
        <f>IF(D144&lt;&gt;"-",F144,"-")</f>
        <v>8</v>
      </c>
      <c r="AI144" s="12">
        <f>IF(D144&lt;&gt;"-",G144+F144-1,"-")</f>
        <v>7</v>
      </c>
      <c r="AJ144" s="12">
        <f>IF(D144&lt;&gt;"-",G144,"-")</f>
        <v>0</v>
      </c>
      <c r="AK144" s="12">
        <f>IF(OR(AH144="-",AJ144="-"),AD144,(2^AH144-1)*2^AJ144)</f>
        <v>255</v>
      </c>
      <c r="AL144" s="12" t="str">
        <f>IF(D144="-",B144,"-")</f>
        <v>-</v>
      </c>
      <c r="AM144" s="22">
        <f t="shared" si="617"/>
        <v>0</v>
      </c>
      <c r="AN144" s="12">
        <f>IF(OR(AH144="-",AJ144="-"),AD144,IF(AM144&lt;0,AM144+2^AH144,AM144)*2^AJ144)</f>
        <v>0</v>
      </c>
      <c r="AO144" s="22" t="str">
        <f ca="1">IF(AF144="-",VLOOKUP(AD144,MemoryView!$A$3:$F$108,6,0),MID(VLOOKUP(AF144,MemoryView!$BD$3:$BE$108,2,0),15-AI144+1,AH144))</f>
        <v>00000000</v>
      </c>
      <c r="AP144" s="22">
        <f ca="1">IF(AF144="-",HEX2DEC(AO144),IF(LEN(AO144)&gt;8,BIN2DEC(LEFT(AO144,LEN(AO144)-8))*2^8+BIN2DEC(RIGHT(AO144,8)),BIN2DEC(AO144)))</f>
        <v>0</v>
      </c>
      <c r="AQ144" s="53" t="str">
        <f>IF(AG144&lt;&gt;"-",CONCATENATE("`EE_MNG.",AG144,".SET(",AM144,");        // [",K144,"..",L144,"]"),"-")</f>
        <v>`EE_MNG.NTC_FILT_ERR_MASK.SET(0);        // [0..255]</v>
      </c>
      <c r="AR144" s="54" t="str">
        <f ca="1">IF(AND(AD144="-",AE144="-",AF144="-",AG144="-"),"-",IF(AG144&lt;&gt;"-",CONCATENATE("EE_MEM #(`PARAM(16'h",RIGHT(AF144,4),", ",G144,", ",F144,", ",H144,")) ",AG144,"(); bit ",IF(H144=0,"unsigned [","signed ["),F144,"-1:0] ", AG144,"_V; assign ",AG144,"_V = ",AG144,".GET;"), CONCATENATE("EE_MEM #(`PARAM(16'h",RIGHT(AD144,4),", ",G144,", ",F144,", ",H144,")) ",AE144,"(); bit ",IF(H144=0,"unsigned [","signed ["),F144,"-1:0] ", AE144,"_V; assign ",AE144,"_V = ",AE144,".GET;")))</f>
        <v>EE_MEM #(`PARAM(16'h104C, 0, 8, 0)) NTC_FILT_ERR_MASK(); bit unsigned [8-1:0] NTC_FILT_ERR_MASK_V; assign NTC_FILT_ERR_MASK_V = NTC_FILT_ERR_MASK.GET;</v>
      </c>
      <c r="AS144" s="12" t="str">
        <f ca="1">IF(AG144="-",AE144,INDIRECT(ADDRESS(ROW()-1,COLUMN())))</f>
        <v>EE_FILT_MASK0</v>
      </c>
    </row>
    <row r="145" spans="2:45">
      <c r="B145" s="47" t="str">
        <f t="shared" ca="1" si="560"/>
        <v>CUST</v>
      </c>
      <c r="C145" s="47" t="s">
        <v>519</v>
      </c>
      <c r="D145" s="48" t="s">
        <v>58</v>
      </c>
      <c r="E145" s="60" t="str">
        <f ca="1">"0x"&amp;DEC2HEX(HEX2DEC(RIGHT(INDIRECT(ADDRESS(ROW()-1,COLUMN())),4))+2,4)</f>
        <v>0x104E</v>
      </c>
      <c r="F145" s="49">
        <v>16</v>
      </c>
      <c r="G145" s="49">
        <v>0</v>
      </c>
      <c r="H145" s="49">
        <v>0</v>
      </c>
      <c r="I145" s="49" t="s">
        <v>58</v>
      </c>
      <c r="J145" s="50" t="str">
        <f t="shared" ref="J145" si="703">IF(D145&lt;&gt;"-","["&amp;AI145&amp;":"&amp;AJ145&amp;"]","-")</f>
        <v>-</v>
      </c>
      <c r="K145" s="50">
        <f t="shared" ref="K145" si="704">IF(H145,-L145-1,0)</f>
        <v>0</v>
      </c>
      <c r="L145" s="50">
        <f t="shared" ref="L145" si="705">IF(H145,FLOOR((2^F145-1)/2,1),2^F145-1)</f>
        <v>65535</v>
      </c>
      <c r="M145" s="51" t="s">
        <v>117</v>
      </c>
      <c r="N145" s="28"/>
      <c r="O145" s="52"/>
      <c r="P145" s="52"/>
      <c r="Q145" s="52"/>
      <c r="R145" s="52"/>
      <c r="S145" s="140"/>
      <c r="T145" s="165"/>
      <c r="U145" s="165"/>
      <c r="V145" s="165"/>
      <c r="W145" s="28"/>
      <c r="X145" s="52">
        <f t="shared" ref="X145" ca="1" si="706">IF(H145=0,AP145,    IF(AP145&lt;=2^(F145-1)-1,AP145,AP145-2^F145)  )</f>
        <v>0</v>
      </c>
      <c r="Y145" s="32"/>
      <c r="AC145" s="12">
        <f t="shared" si="607"/>
        <v>1</v>
      </c>
      <c r="AD145" s="12" t="str">
        <f t="shared" ref="AD145" ca="1" si="707">IF(AND(D145="-",C145&lt;&gt;"-"),E145,"-")</f>
        <v>0x104E</v>
      </c>
      <c r="AE145" s="12" t="str">
        <f t="shared" ref="AE145" si="708">IF(D145="-",C145,"-")</f>
        <v>EE_FILT_MASK1</v>
      </c>
      <c r="AF145" s="12" t="str">
        <f t="shared" ref="AF145" si="709">IF(AND(D145&lt;&gt;"-",ISTEXT(D145)),E145,"-")</f>
        <v>-</v>
      </c>
      <c r="AG145" s="12" t="str">
        <f t="shared" ref="AG145" si="710">IF(AND(D145&lt;&gt;"-",ISTEXT(D145)),D145,"-")</f>
        <v>-</v>
      </c>
      <c r="AH145" s="12" t="str">
        <f t="shared" ref="AH145" si="711">IF(D145&lt;&gt;"-",F145,"-")</f>
        <v>-</v>
      </c>
      <c r="AI145" s="12" t="str">
        <f t="shared" ref="AI145" si="712">IF(D145&lt;&gt;"-",G145+F145-1,"-")</f>
        <v>-</v>
      </c>
      <c r="AJ145" s="12" t="str">
        <f t="shared" ref="AJ145" si="713">IF(D145&lt;&gt;"-",G145,"-")</f>
        <v>-</v>
      </c>
      <c r="AK145" s="12" t="str">
        <f t="shared" ref="AK145" ca="1" si="714">IF(OR(AH145="-",AJ145="-"),AD145,(2^AH145-1)*2^AJ145)</f>
        <v>0x104E</v>
      </c>
      <c r="AL145" s="12" t="str">
        <f t="shared" ref="AL145" ca="1" si="715">IF(D145="-",B145,"-")</f>
        <v>CUST</v>
      </c>
      <c r="AM145" s="22">
        <f t="shared" si="617"/>
        <v>0</v>
      </c>
      <c r="AN145" s="12" t="str">
        <f t="shared" ref="AN145" ca="1" si="716">IF(OR(AH145="-",AJ145="-"),AD145,IF(AM145&lt;0,AM145+2^AH145,AM145)*2^AJ145)</f>
        <v>0x104E</v>
      </c>
      <c r="AO145" s="22" t="str">
        <f ca="1">IF(AF145="-",VLOOKUP(AD145,MemoryView!$A$3:$F$108,6,0),MID(VLOOKUP(AF145,MemoryView!$BD$3:$BE$108,2,0),15-AI145+1,AH145))</f>
        <v>0000</v>
      </c>
      <c r="AP145" s="22">
        <f t="shared" ref="AP145" ca="1" si="717">IF(AF145="-",HEX2DEC(AO145),IF(LEN(AO145)&gt;8,BIN2DEC(LEFT(AO145,LEN(AO145)-8))*2^8+BIN2DEC(RIGHT(AO145,8)),BIN2DEC(AO145)))</f>
        <v>0</v>
      </c>
      <c r="AQ145" s="53" t="str">
        <f t="shared" ref="AQ145" si="718">IF(AG145&lt;&gt;"-",CONCATENATE("`EE_MNG.",AG145,".SET(",AM145,");        // [",K145,"..",L145,"]"),"-")</f>
        <v>-</v>
      </c>
      <c r="AR145" s="54" t="str">
        <f t="shared" ref="AR145" ca="1" si="719">IF(AND(AD145="-",AE145="-",AF145="-",AG145="-"),"-",IF(AG145&lt;&gt;"-",CONCATENATE("EE_MEM #(`PARAM(16'h",RIGHT(AF145,4),", ",G145,", ",F145,", ",H145,")) ",AG145,"(); bit ",IF(H145=0,"unsigned [","signed ["),F145,"-1:0] ", AG145,"_V; assign ",AG145,"_V = ",AG145,".GET;"), CONCATENATE("EE_MEM #(`PARAM(16'h",RIGHT(AD145,4),", ",G145,", ",F145,", ",H145,")) ",AE145,"(); bit ",IF(H145=0,"unsigned [","signed ["),F145,"-1:0] ", AE145,"_V; assign ",AE145,"_V = ",AE145,".GET;")))</f>
        <v>EE_MEM #(`PARAM(16'h104E, 0, 16, 0)) EE_FILT_MASK1(); bit unsigned [16-1:0] EE_FILT_MASK1_V; assign EE_FILT_MASK1_V = EE_FILT_MASK1.GET;</v>
      </c>
      <c r="AS145" s="12" t="str">
        <f t="shared" ref="AS145" ca="1" si="720">IF(AG145="-",AE145,INDIRECT(ADDRESS(ROW()-1,COLUMN())))</f>
        <v>EE_FILT_MASK1</v>
      </c>
    </row>
    <row r="146" spans="2:45" ht="63.75">
      <c r="B146" s="55" t="str">
        <f t="shared" ca="1" si="560"/>
        <v>CUST</v>
      </c>
      <c r="C146" s="55" t="s">
        <v>58</v>
      </c>
      <c r="D146" s="128" t="s">
        <v>515</v>
      </c>
      <c r="E146" s="57" t="str">
        <f ca="1">INDIRECT(ADDRESS(ROW()-1,COLUMN()))</f>
        <v>0x104E</v>
      </c>
      <c r="F146" s="57">
        <v>8</v>
      </c>
      <c r="G146" s="57">
        <v>8</v>
      </c>
      <c r="H146" s="57">
        <v>0</v>
      </c>
      <c r="I146" s="57" t="s">
        <v>68</v>
      </c>
      <c r="J146" s="50" t="str">
        <f>IF(D146&lt;&gt;"-","["&amp;AI146&amp;":"&amp;AJ146&amp;"]","-")</f>
        <v>[15:8]</v>
      </c>
      <c r="K146" s="50">
        <f>IF(H146,-L146-1,0)</f>
        <v>0</v>
      </c>
      <c r="L146" s="50">
        <f>IF(H146,FLOOR((2^F146-1)/2,1),2^F146-1)</f>
        <v>255</v>
      </c>
      <c r="M146" s="61" t="s">
        <v>517</v>
      </c>
      <c r="N146" s="28"/>
      <c r="O146" s="124">
        <v>0</v>
      </c>
      <c r="P146" s="57">
        <f t="shared" ref="P146:P147" si="721">O146</f>
        <v>0</v>
      </c>
      <c r="Q146" s="57">
        <f t="shared" ref="Q146:Q147" si="722">O146</f>
        <v>0</v>
      </c>
      <c r="R146" s="57">
        <f t="shared" ref="R146:S147" si="723">O146</f>
        <v>0</v>
      </c>
      <c r="S146" s="163">
        <f t="shared" si="723"/>
        <v>0</v>
      </c>
      <c r="T146" s="163">
        <v>0</v>
      </c>
      <c r="U146" s="163">
        <f>S146</f>
        <v>0</v>
      </c>
      <c r="V146" s="163">
        <f t="shared" si="327"/>
        <v>0</v>
      </c>
      <c r="W146" s="59"/>
      <c r="X146" s="57">
        <f ca="1">IF(H146=0,AP146,    IF(AP146&lt;=2^(F146-1)-1,AP146,AP146-2^F146)  )</f>
        <v>0</v>
      </c>
      <c r="Y146" s="32"/>
      <c r="AC146" s="12" t="b">
        <f t="shared" si="607"/>
        <v>1</v>
      </c>
      <c r="AD146" s="12" t="str">
        <f>IF(AND(D146="-",C146&lt;&gt;"-"),E146,"-")</f>
        <v>-</v>
      </c>
      <c r="AE146" s="12" t="str">
        <f>IF(D146="-",C146,"-")</f>
        <v>-</v>
      </c>
      <c r="AF146" s="12" t="str">
        <f ca="1">IF(AND(D146&lt;&gt;"-",ISTEXT(D146)),E146,"-")</f>
        <v>0x104E</v>
      </c>
      <c r="AG146" s="12" t="str">
        <f>IF(AND(D146&lt;&gt;"-",ISTEXT(D146)),D146,"-")</f>
        <v>TMEMS_FILT_ERR_MASK</v>
      </c>
      <c r="AH146" s="12">
        <f>IF(D146&lt;&gt;"-",F146,"-")</f>
        <v>8</v>
      </c>
      <c r="AI146" s="12">
        <f>IF(D146&lt;&gt;"-",G146+F146-1,"-")</f>
        <v>15</v>
      </c>
      <c r="AJ146" s="12">
        <f>IF(D146&lt;&gt;"-",G146,"-")</f>
        <v>8</v>
      </c>
      <c r="AK146" s="12">
        <f>IF(OR(AH146="-",AJ146="-"),AD146,(2^AH146-1)*2^AJ146)</f>
        <v>65280</v>
      </c>
      <c r="AL146" s="12" t="str">
        <f>IF(D146="-",B146,"-")</f>
        <v>-</v>
      </c>
      <c r="AM146" s="22">
        <f t="shared" si="617"/>
        <v>0</v>
      </c>
      <c r="AN146" s="12">
        <f>IF(OR(AH146="-",AJ146="-"),AD146,IF(AM146&lt;0,AM146+2^AH146,AM146)*2^AJ146)</f>
        <v>0</v>
      </c>
      <c r="AO146" s="22" t="str">
        <f ca="1">IF(AF146="-",VLOOKUP(AD146,MemoryView!$A$3:$F$108,6,0),MID(VLOOKUP(AF146,MemoryView!$BD$3:$BE$108,2,0),15-AI146+1,AH146))</f>
        <v>00000000</v>
      </c>
      <c r="AP146" s="22">
        <f ca="1">IF(AF146="-",HEX2DEC(AO146),IF(LEN(AO146)&gt;8,BIN2DEC(LEFT(AO146,LEN(AO146)-8))*2^8+BIN2DEC(RIGHT(AO146,8)),BIN2DEC(AO146)))</f>
        <v>0</v>
      </c>
      <c r="AQ146" s="53" t="str">
        <f>IF(AG146&lt;&gt;"-",CONCATENATE("`EE_MNG.",AG146,".SET(",AM146,");        // [",K146,"..",L146,"]"),"-")</f>
        <v>`EE_MNG.TMEMS_FILT_ERR_MASK.SET(0);        // [0..255]</v>
      </c>
      <c r="AR146" s="54" t="str">
        <f ca="1">IF(AND(AD146="-",AE146="-",AF146="-",AG146="-"),"-",IF(AG146&lt;&gt;"-",CONCATENATE("EE_MEM #(`PARAM(16'h",RIGHT(AF146,4),", ",G146,", ",F146,", ",H146,")) ",AG146,"(); bit ",IF(H146=0,"unsigned [","signed ["),F146,"-1:0] ", AG146,"_V; assign ",AG146,"_V = ",AG146,".GET;"), CONCATENATE("EE_MEM #(`PARAM(16'h",RIGHT(AD146,4),", ",G146,", ",F146,", ",H146,")) ",AE146,"(); bit ",IF(H146=0,"unsigned [","signed ["),F146,"-1:0] ", AE146,"_V; assign ",AE146,"_V = ",AE146,".GET;")))</f>
        <v>EE_MEM #(`PARAM(16'h104E, 8, 8, 0)) TMEMS_FILT_ERR_MASK(); bit unsigned [8-1:0] TMEMS_FILT_ERR_MASK_V; assign TMEMS_FILT_ERR_MASK_V = TMEMS_FILT_ERR_MASK.GET;</v>
      </c>
      <c r="AS146" s="12" t="str">
        <f ca="1">IF(AG146="-",AE146,INDIRECT(ADDRESS(ROW()-1,COLUMN())))</f>
        <v>EE_FILT_MASK1</v>
      </c>
    </row>
    <row r="147" spans="2:45" ht="51">
      <c r="B147" s="55" t="str">
        <f t="shared" ca="1" si="560"/>
        <v>CUST</v>
      </c>
      <c r="C147" s="55" t="s">
        <v>58</v>
      </c>
      <c r="D147" s="128" t="s">
        <v>516</v>
      </c>
      <c r="E147" s="57" t="str">
        <f ca="1">INDIRECT(ADDRESS(ROW()-1,COLUMN()))</f>
        <v>0x104E</v>
      </c>
      <c r="F147" s="57">
        <v>8</v>
      </c>
      <c r="G147" s="57">
        <v>0</v>
      </c>
      <c r="H147" s="57">
        <v>0</v>
      </c>
      <c r="I147" s="57" t="s">
        <v>68</v>
      </c>
      <c r="J147" s="50" t="str">
        <f>IF(D147&lt;&gt;"-","["&amp;AI147&amp;":"&amp;AJ147&amp;"]","-")</f>
        <v>[7:0]</v>
      </c>
      <c r="K147" s="50">
        <f>IF(H147,-L147-1,0)</f>
        <v>0</v>
      </c>
      <c r="L147" s="50">
        <f>IF(H147,FLOOR((2^F147-1)/2,1),2^F147-1)</f>
        <v>255</v>
      </c>
      <c r="M147" s="61" t="s">
        <v>518</v>
      </c>
      <c r="N147" s="28"/>
      <c r="O147" s="124">
        <v>0</v>
      </c>
      <c r="P147" s="57">
        <f t="shared" si="721"/>
        <v>0</v>
      </c>
      <c r="Q147" s="57">
        <f t="shared" si="722"/>
        <v>0</v>
      </c>
      <c r="R147" s="57">
        <f t="shared" si="723"/>
        <v>0</v>
      </c>
      <c r="S147" s="163">
        <f t="shared" si="723"/>
        <v>0</v>
      </c>
      <c r="T147" s="163">
        <v>0</v>
      </c>
      <c r="U147" s="163">
        <f>S147</f>
        <v>0</v>
      </c>
      <c r="V147" s="163">
        <f t="shared" si="327"/>
        <v>0</v>
      </c>
      <c r="W147" s="59"/>
      <c r="X147" s="57">
        <f ca="1">IF(H147=0,AP147,    IF(AP147&lt;=2^(F147-1)-1,AP147,AP147-2^F147)  )</f>
        <v>0</v>
      </c>
      <c r="Y147" s="32"/>
      <c r="AC147" s="12" t="b">
        <f t="shared" si="607"/>
        <v>1</v>
      </c>
      <c r="AD147" s="12" t="str">
        <f>IF(AND(D147="-",C147&lt;&gt;"-"),E147,"-")</f>
        <v>-</v>
      </c>
      <c r="AE147" s="12" t="str">
        <f>IF(D147="-",C147,"-")</f>
        <v>-</v>
      </c>
      <c r="AF147" s="12" t="str">
        <f ca="1">IF(AND(D147&lt;&gt;"-",ISTEXT(D147)),E147,"-")</f>
        <v>0x104E</v>
      </c>
      <c r="AG147" s="12" t="str">
        <f>IF(AND(D147&lt;&gt;"-",ISTEXT(D147)),D147,"-")</f>
        <v>TDIE_FILT_ERR_MASK</v>
      </c>
      <c r="AH147" s="12">
        <f>IF(D147&lt;&gt;"-",F147,"-")</f>
        <v>8</v>
      </c>
      <c r="AI147" s="12">
        <f>IF(D147&lt;&gt;"-",G147+F147-1,"-")</f>
        <v>7</v>
      </c>
      <c r="AJ147" s="12">
        <f>IF(D147&lt;&gt;"-",G147,"-")</f>
        <v>0</v>
      </c>
      <c r="AK147" s="12">
        <f>IF(OR(AH147="-",AJ147="-"),AD147,(2^AH147-1)*2^AJ147)</f>
        <v>255</v>
      </c>
      <c r="AL147" s="12" t="str">
        <f>IF(D147="-",B147,"-")</f>
        <v>-</v>
      </c>
      <c r="AM147" s="22">
        <f t="shared" si="617"/>
        <v>0</v>
      </c>
      <c r="AN147" s="12">
        <f>IF(OR(AH147="-",AJ147="-"),AD147,IF(AM147&lt;0,AM147+2^AH147,AM147)*2^AJ147)</f>
        <v>0</v>
      </c>
      <c r="AO147" s="22" t="str">
        <f ca="1">IF(AF147="-",VLOOKUP(AD147,MemoryView!$A$3:$F$108,6,0),MID(VLOOKUP(AF147,MemoryView!$BD$3:$BE$108,2,0),15-AI147+1,AH147))</f>
        <v>00000000</v>
      </c>
      <c r="AP147" s="22">
        <f ca="1">IF(AF147="-",HEX2DEC(AO147),IF(LEN(AO147)&gt;8,BIN2DEC(LEFT(AO147,LEN(AO147)-8))*2^8+BIN2DEC(RIGHT(AO147,8)),BIN2DEC(AO147)))</f>
        <v>0</v>
      </c>
      <c r="AQ147" s="53" t="str">
        <f>IF(AG147&lt;&gt;"-",CONCATENATE("`EE_MNG.",AG147,".SET(",AM147,");        // [",K147,"..",L147,"]"),"-")</f>
        <v>`EE_MNG.TDIE_FILT_ERR_MASK.SET(0);        // [0..255]</v>
      </c>
      <c r="AR147" s="54" t="str">
        <f ca="1">IF(AND(AD147="-",AE147="-",AF147="-",AG147="-"),"-",IF(AG147&lt;&gt;"-",CONCATENATE("EE_MEM #(`PARAM(16'h",RIGHT(AF147,4),", ",G147,", ",F147,", ",H147,")) ",AG147,"(); bit ",IF(H147=0,"unsigned [","signed ["),F147,"-1:0] ", AG147,"_V; assign ",AG147,"_V = ",AG147,".GET;"), CONCATENATE("EE_MEM #(`PARAM(16'h",RIGHT(AD147,4),", ",G147,", ",F147,", ",H147,")) ",AE147,"(); bit ",IF(H147=0,"unsigned [","signed ["),F147,"-1:0] ", AE147,"_V; assign ",AE147,"_V = ",AE147,".GET;")))</f>
        <v>EE_MEM #(`PARAM(16'h104E, 0, 8, 0)) TDIE_FILT_ERR_MASK(); bit unsigned [8-1:0] TDIE_FILT_ERR_MASK_V; assign TDIE_FILT_ERR_MASK_V = TDIE_FILT_ERR_MASK.GET;</v>
      </c>
      <c r="AS147" s="12" t="str">
        <f ca="1">IF(AG147="-",AE147,INDIRECT(ADDRESS(ROW()-1,COLUMN())))</f>
        <v>EE_FILT_MASK1</v>
      </c>
    </row>
    <row r="148" spans="2:45">
      <c r="B148" s="47" t="str">
        <f t="shared" ca="1" si="560"/>
        <v>CUST</v>
      </c>
      <c r="C148" s="47" t="s">
        <v>116</v>
      </c>
      <c r="D148" s="48" t="s">
        <v>58</v>
      </c>
      <c r="E148" s="60" t="str">
        <f ca="1">"0x"&amp;DEC2HEX(HEX2DEC(RIGHT(INDIRECT(ADDRESS(ROW()-1,COLUMN())),4))+2,4)</f>
        <v>0x1050</v>
      </c>
      <c r="F148" s="49">
        <v>16</v>
      </c>
      <c r="G148" s="49">
        <v>0</v>
      </c>
      <c r="H148" s="49">
        <v>0</v>
      </c>
      <c r="I148" s="49" t="s">
        <v>58</v>
      </c>
      <c r="J148" s="50" t="str">
        <f t="shared" si="561"/>
        <v>-</v>
      </c>
      <c r="K148" s="50">
        <f t="shared" si="562"/>
        <v>0</v>
      </c>
      <c r="L148" s="50">
        <f t="shared" si="563"/>
        <v>65535</v>
      </c>
      <c r="M148" s="51" t="s">
        <v>117</v>
      </c>
      <c r="N148" s="28"/>
      <c r="O148" s="52"/>
      <c r="P148" s="52"/>
      <c r="Q148" s="52"/>
      <c r="R148" s="52"/>
      <c r="S148" s="140"/>
      <c r="T148" s="165"/>
      <c r="U148" s="165"/>
      <c r="V148" s="165"/>
      <c r="W148" s="28"/>
      <c r="X148" s="52">
        <f t="shared" ca="1" si="564"/>
        <v>0</v>
      </c>
      <c r="Y148" s="32"/>
      <c r="AC148" s="12">
        <f t="shared" si="607"/>
        <v>1</v>
      </c>
      <c r="AD148" s="12" t="str">
        <f t="shared" ca="1" si="565"/>
        <v>0x1050</v>
      </c>
      <c r="AE148" s="12" t="str">
        <f t="shared" si="566"/>
        <v>EE_PATCH0_I</v>
      </c>
      <c r="AF148" s="12" t="str">
        <f t="shared" si="567"/>
        <v>-</v>
      </c>
      <c r="AG148" s="12" t="str">
        <f t="shared" si="568"/>
        <v>-</v>
      </c>
      <c r="AH148" s="12" t="str">
        <f t="shared" si="569"/>
        <v>-</v>
      </c>
      <c r="AI148" s="12" t="str">
        <f t="shared" si="570"/>
        <v>-</v>
      </c>
      <c r="AJ148" s="12" t="str">
        <f t="shared" si="571"/>
        <v>-</v>
      </c>
      <c r="AK148" s="12" t="str">
        <f t="shared" ca="1" si="572"/>
        <v>0x1050</v>
      </c>
      <c r="AL148" s="12" t="str">
        <f t="shared" ca="1" si="573"/>
        <v>CUST</v>
      </c>
      <c r="AM148" s="22">
        <f t="shared" si="617"/>
        <v>0</v>
      </c>
      <c r="AN148" s="12" t="str">
        <f t="shared" ca="1" si="574"/>
        <v>0x1050</v>
      </c>
      <c r="AO148" s="22" t="str">
        <f ca="1">IF(AF148="-",VLOOKUP(AD148,MemoryView!$A$3:$F$108,6,0),MID(VLOOKUP(AF148,MemoryView!$BD$3:$BE$108,2,0),15-AI148+1,AH148))</f>
        <v>0000</v>
      </c>
      <c r="AP148" s="22">
        <f t="shared" ca="1" si="575"/>
        <v>0</v>
      </c>
      <c r="AQ148" s="53" t="str">
        <f t="shared" si="576"/>
        <v>-</v>
      </c>
      <c r="AR148" s="54" t="str">
        <f t="shared" ca="1" si="577"/>
        <v>EE_MEM #(`PARAM(16'h1050, 0, 16, 0)) EE_PATCH0_I(); bit unsigned [16-1:0] EE_PATCH0_I_V; assign EE_PATCH0_I_V = EE_PATCH0_I.GET;</v>
      </c>
      <c r="AS148" s="12" t="str">
        <f t="shared" ca="1" si="578"/>
        <v>EE_PATCH0_I</v>
      </c>
    </row>
    <row r="149" spans="2:45">
      <c r="B149" s="55" t="str">
        <f t="shared" ca="1" si="560"/>
        <v>CUST</v>
      </c>
      <c r="C149" s="55" t="s">
        <v>58</v>
      </c>
      <c r="D149" s="56" t="str">
        <f>RIGHT(C148,LEN(C148)-3)</f>
        <v>PATCH0_I</v>
      </c>
      <c r="E149" s="57" t="str">
        <f ca="1">INDIRECT(ADDRESS(ROW()-1,COLUMN()))</f>
        <v>0x1050</v>
      </c>
      <c r="F149" s="57">
        <v>16</v>
      </c>
      <c r="G149" s="57">
        <v>0</v>
      </c>
      <c r="H149" s="57">
        <v>0</v>
      </c>
      <c r="I149" s="57" t="s">
        <v>68</v>
      </c>
      <c r="J149" s="50" t="str">
        <f t="shared" si="561"/>
        <v>[15:0]</v>
      </c>
      <c r="K149" s="50">
        <f t="shared" si="562"/>
        <v>0</v>
      </c>
      <c r="L149" s="50">
        <f t="shared" si="563"/>
        <v>65535</v>
      </c>
      <c r="M149" s="58" t="s">
        <v>117</v>
      </c>
      <c r="N149" s="28"/>
      <c r="O149" s="57">
        <v>0</v>
      </c>
      <c r="P149" s="57">
        <f>O149</f>
        <v>0</v>
      </c>
      <c r="Q149" s="57">
        <f>O149</f>
        <v>0</v>
      </c>
      <c r="R149" s="57">
        <f>O149</f>
        <v>0</v>
      </c>
      <c r="S149" s="163">
        <f>P149</f>
        <v>0</v>
      </c>
      <c r="T149" s="163">
        <v>8577</v>
      </c>
      <c r="U149" s="163">
        <v>20715</v>
      </c>
      <c r="V149" s="163">
        <v>0</v>
      </c>
      <c r="W149" s="59"/>
      <c r="X149" s="57">
        <f t="shared" ca="1" si="564"/>
        <v>0</v>
      </c>
      <c r="Y149" s="32"/>
      <c r="AC149" s="12" t="b">
        <f t="shared" si="607"/>
        <v>1</v>
      </c>
      <c r="AD149" s="12" t="str">
        <f t="shared" si="565"/>
        <v>-</v>
      </c>
      <c r="AE149" s="12" t="str">
        <f t="shared" si="566"/>
        <v>-</v>
      </c>
      <c r="AF149" s="12" t="str">
        <f t="shared" ca="1" si="567"/>
        <v>0x1050</v>
      </c>
      <c r="AG149" s="12" t="str">
        <f t="shared" si="568"/>
        <v>PATCH0_I</v>
      </c>
      <c r="AH149" s="12">
        <f t="shared" si="569"/>
        <v>16</v>
      </c>
      <c r="AI149" s="12">
        <f t="shared" si="570"/>
        <v>15</v>
      </c>
      <c r="AJ149" s="12">
        <f t="shared" si="571"/>
        <v>0</v>
      </c>
      <c r="AK149" s="12">
        <f t="shared" si="572"/>
        <v>65535</v>
      </c>
      <c r="AL149" s="12" t="str">
        <f t="shared" si="573"/>
        <v>-</v>
      </c>
      <c r="AM149" s="22">
        <f t="shared" si="617"/>
        <v>0</v>
      </c>
      <c r="AN149" s="12">
        <f t="shared" si="574"/>
        <v>0</v>
      </c>
      <c r="AO149" s="22" t="str">
        <f ca="1">IF(AF149="-",VLOOKUP(AD149,MemoryView!$A$3:$F$108,6,0),MID(VLOOKUP(AF149,MemoryView!$BD$3:$BE$108,2,0),15-AI149+1,AH149))</f>
        <v>0000000000000000</v>
      </c>
      <c r="AP149" s="22">
        <f t="shared" ca="1" si="575"/>
        <v>0</v>
      </c>
      <c r="AQ149" s="53" t="str">
        <f t="shared" si="576"/>
        <v>`EE_MNG.PATCH0_I.SET(0);        // [0..65535]</v>
      </c>
      <c r="AR149" s="54" t="str">
        <f t="shared" ca="1" si="577"/>
        <v>EE_MEM #(`PARAM(16'h1050, 0, 16, 0)) PATCH0_I(); bit unsigned [16-1:0] PATCH0_I_V; assign PATCH0_I_V = PATCH0_I.GET;</v>
      </c>
      <c r="AS149" s="12" t="str">
        <f t="shared" ca="1" si="578"/>
        <v>EE_PATCH0_I</v>
      </c>
    </row>
    <row r="150" spans="2:45">
      <c r="B150" s="47" t="str">
        <f t="shared" ca="1" si="560"/>
        <v>CUST</v>
      </c>
      <c r="C150" s="47" t="s">
        <v>118</v>
      </c>
      <c r="D150" s="48" t="s">
        <v>58</v>
      </c>
      <c r="E150" s="60" t="str">
        <f ca="1">"0x"&amp;DEC2HEX(HEX2DEC(RIGHT(INDIRECT(ADDRESS(ROW()-1,COLUMN())),4))+2,4)</f>
        <v>0x1052</v>
      </c>
      <c r="F150" s="49">
        <v>16</v>
      </c>
      <c r="G150" s="49">
        <v>0</v>
      </c>
      <c r="H150" s="49">
        <v>0</v>
      </c>
      <c r="I150" s="49" t="s">
        <v>58</v>
      </c>
      <c r="J150" s="50" t="str">
        <f t="shared" si="561"/>
        <v>-</v>
      </c>
      <c r="K150" s="50">
        <f t="shared" si="562"/>
        <v>0</v>
      </c>
      <c r="L150" s="50">
        <f t="shared" si="563"/>
        <v>65535</v>
      </c>
      <c r="M150" s="51" t="s">
        <v>119</v>
      </c>
      <c r="N150" s="28"/>
      <c r="O150" s="52"/>
      <c r="P150" s="52"/>
      <c r="Q150" s="52"/>
      <c r="R150" s="52"/>
      <c r="S150" s="140"/>
      <c r="T150" s="165"/>
      <c r="U150" s="165"/>
      <c r="V150" s="165"/>
      <c r="W150" s="28"/>
      <c r="X150" s="52">
        <f t="shared" ca="1" si="564"/>
        <v>0</v>
      </c>
      <c r="Y150" s="32"/>
      <c r="AC150" s="12">
        <f t="shared" si="607"/>
        <v>1</v>
      </c>
      <c r="AD150" s="12" t="str">
        <f t="shared" ca="1" si="565"/>
        <v>0x1052</v>
      </c>
      <c r="AE150" s="12" t="str">
        <f t="shared" si="566"/>
        <v>EE_PATCH0_A</v>
      </c>
      <c r="AF150" s="12" t="str">
        <f t="shared" si="567"/>
        <v>-</v>
      </c>
      <c r="AG150" s="12" t="str">
        <f t="shared" si="568"/>
        <v>-</v>
      </c>
      <c r="AH150" s="12" t="str">
        <f t="shared" si="569"/>
        <v>-</v>
      </c>
      <c r="AI150" s="12" t="str">
        <f t="shared" si="570"/>
        <v>-</v>
      </c>
      <c r="AJ150" s="12" t="str">
        <f t="shared" si="571"/>
        <v>-</v>
      </c>
      <c r="AK150" s="12" t="str">
        <f t="shared" ca="1" si="572"/>
        <v>0x1052</v>
      </c>
      <c r="AL150" s="12" t="str">
        <f t="shared" ca="1" si="573"/>
        <v>CUST</v>
      </c>
      <c r="AM150" s="22">
        <f t="shared" si="617"/>
        <v>0</v>
      </c>
      <c r="AN150" s="12" t="str">
        <f t="shared" ca="1" si="574"/>
        <v>0x1052</v>
      </c>
      <c r="AO150" s="22" t="str">
        <f ca="1">IF(AF150="-",VLOOKUP(AD150,MemoryView!$A$3:$F$108,6,0),MID(VLOOKUP(AF150,MemoryView!$BD$3:$BE$108,2,0),15-AI150+1,AH150))</f>
        <v>0000</v>
      </c>
      <c r="AP150" s="22">
        <f t="shared" ca="1" si="575"/>
        <v>0</v>
      </c>
      <c r="AQ150" s="53" t="str">
        <f t="shared" si="576"/>
        <v>-</v>
      </c>
      <c r="AR150" s="54" t="str">
        <f t="shared" ca="1" si="577"/>
        <v>EE_MEM #(`PARAM(16'h1052, 0, 16, 0)) EE_PATCH0_A(); bit unsigned [16-1:0] EE_PATCH0_A_V; assign EE_PATCH0_A_V = EE_PATCH0_A.GET;</v>
      </c>
      <c r="AS150" s="12" t="str">
        <f t="shared" ca="1" si="578"/>
        <v>EE_PATCH0_A</v>
      </c>
    </row>
    <row r="151" spans="2:45">
      <c r="B151" s="55" t="str">
        <f t="shared" ca="1" si="560"/>
        <v>CUST</v>
      </c>
      <c r="C151" s="55" t="s">
        <v>58</v>
      </c>
      <c r="D151" s="56" t="str">
        <f>RIGHT(C150,LEN(C150)-3)</f>
        <v>PATCH0_A</v>
      </c>
      <c r="E151" s="57" t="str">
        <f ca="1">INDIRECT(ADDRESS(ROW()-1,COLUMN()))</f>
        <v>0x1052</v>
      </c>
      <c r="F151" s="57">
        <v>16</v>
      </c>
      <c r="G151" s="57">
        <v>0</v>
      </c>
      <c r="H151" s="57">
        <v>0</v>
      </c>
      <c r="I151" s="57" t="s">
        <v>68</v>
      </c>
      <c r="J151" s="50" t="str">
        <f t="shared" si="561"/>
        <v>[15:0]</v>
      </c>
      <c r="K151" s="50">
        <f t="shared" si="562"/>
        <v>0</v>
      </c>
      <c r="L151" s="50">
        <f t="shared" si="563"/>
        <v>65535</v>
      </c>
      <c r="M151" s="58" t="s">
        <v>119</v>
      </c>
      <c r="N151" s="28"/>
      <c r="O151" s="57">
        <v>0</v>
      </c>
      <c r="P151" s="57">
        <f>O151</f>
        <v>0</v>
      </c>
      <c r="Q151" s="57">
        <f>O151</f>
        <v>0</v>
      </c>
      <c r="R151" s="57">
        <f>O151</f>
        <v>0</v>
      </c>
      <c r="S151" s="163">
        <f>P151</f>
        <v>0</v>
      </c>
      <c r="T151" s="163">
        <v>16951</v>
      </c>
      <c r="U151" s="163">
        <v>12349</v>
      </c>
      <c r="V151" s="163">
        <v>0</v>
      </c>
      <c r="W151" s="59"/>
      <c r="X151" s="57">
        <f t="shared" ca="1" si="564"/>
        <v>0</v>
      </c>
      <c r="Y151" s="32"/>
      <c r="AC151" s="12" t="b">
        <f t="shared" si="607"/>
        <v>1</v>
      </c>
      <c r="AD151" s="12" t="str">
        <f t="shared" si="565"/>
        <v>-</v>
      </c>
      <c r="AE151" s="12" t="str">
        <f t="shared" si="566"/>
        <v>-</v>
      </c>
      <c r="AF151" s="12" t="str">
        <f t="shared" ca="1" si="567"/>
        <v>0x1052</v>
      </c>
      <c r="AG151" s="12" t="str">
        <f t="shared" si="568"/>
        <v>PATCH0_A</v>
      </c>
      <c r="AH151" s="12">
        <f t="shared" si="569"/>
        <v>16</v>
      </c>
      <c r="AI151" s="12">
        <f t="shared" si="570"/>
        <v>15</v>
      </c>
      <c r="AJ151" s="12">
        <f t="shared" si="571"/>
        <v>0</v>
      </c>
      <c r="AK151" s="12">
        <f t="shared" si="572"/>
        <v>65535</v>
      </c>
      <c r="AL151" s="12" t="str">
        <f t="shared" si="573"/>
        <v>-</v>
      </c>
      <c r="AM151" s="22">
        <f t="shared" si="617"/>
        <v>0</v>
      </c>
      <c r="AN151" s="12">
        <f t="shared" si="574"/>
        <v>0</v>
      </c>
      <c r="AO151" s="22" t="str">
        <f ca="1">IF(AF151="-",VLOOKUP(AD151,MemoryView!$A$3:$F$108,6,0),MID(VLOOKUP(AF151,MemoryView!$BD$3:$BE$108,2,0),15-AI151+1,AH151))</f>
        <v>0000000000000000</v>
      </c>
      <c r="AP151" s="22">
        <f t="shared" ca="1" si="575"/>
        <v>0</v>
      </c>
      <c r="AQ151" s="53" t="str">
        <f t="shared" si="576"/>
        <v>`EE_MNG.PATCH0_A.SET(0);        // [0..65535]</v>
      </c>
      <c r="AR151" s="54" t="str">
        <f t="shared" ca="1" si="577"/>
        <v>EE_MEM #(`PARAM(16'h1052, 0, 16, 0)) PATCH0_A(); bit unsigned [16-1:0] PATCH0_A_V; assign PATCH0_A_V = PATCH0_A.GET;</v>
      </c>
      <c r="AS151" s="12" t="str">
        <f t="shared" ca="1" si="578"/>
        <v>EE_PATCH0_A</v>
      </c>
    </row>
    <row r="152" spans="2:45">
      <c r="B152" s="47" t="str">
        <f t="shared" ca="1" si="560"/>
        <v>CUST</v>
      </c>
      <c r="C152" s="47" t="s">
        <v>120</v>
      </c>
      <c r="D152" s="48" t="s">
        <v>58</v>
      </c>
      <c r="E152" s="60" t="str">
        <f ca="1">"0x"&amp;DEC2HEX(HEX2DEC(RIGHT(INDIRECT(ADDRESS(ROW()-1,COLUMN())),4))+2,4)</f>
        <v>0x1054</v>
      </c>
      <c r="F152" s="49">
        <v>16</v>
      </c>
      <c r="G152" s="49">
        <v>0</v>
      </c>
      <c r="H152" s="49">
        <v>0</v>
      </c>
      <c r="I152" s="49" t="s">
        <v>58</v>
      </c>
      <c r="J152" s="50" t="str">
        <f>IF(D152&lt;&gt;"-","["&amp;AI152&amp;":"&amp;AJ152&amp;"]","-")</f>
        <v>-</v>
      </c>
      <c r="K152" s="50">
        <f>IF(H152,-L152-1,0)</f>
        <v>0</v>
      </c>
      <c r="L152" s="50">
        <f>IF(H152,FLOOR((2^F152-1)/2,1),2^F152-1)</f>
        <v>65535</v>
      </c>
      <c r="M152" s="51" t="s">
        <v>121</v>
      </c>
      <c r="N152" s="28"/>
      <c r="O152" s="52"/>
      <c r="P152" s="52"/>
      <c r="Q152" s="52"/>
      <c r="R152" s="52"/>
      <c r="S152" s="140"/>
      <c r="T152" s="165"/>
      <c r="U152" s="165"/>
      <c r="V152" s="165"/>
      <c r="W152" s="28"/>
      <c r="X152" s="52">
        <f ca="1">IF(H152=0,AP152,    IF(AP152&lt;=2^(F152-1)-1,AP152,AP152-2^F152)  )</f>
        <v>0</v>
      </c>
      <c r="Y152" s="32"/>
      <c r="AC152" s="12">
        <f t="shared" si="607"/>
        <v>1</v>
      </c>
      <c r="AD152" s="12" t="str">
        <f ca="1">IF(AND(D152="-",C152&lt;&gt;"-"),E152,"-")</f>
        <v>0x1054</v>
      </c>
      <c r="AE152" s="12" t="str">
        <f>IF(D152="-",C152,"-")</f>
        <v>EE_PATCH1_I</v>
      </c>
      <c r="AF152" s="12" t="str">
        <f>IF(AND(D152&lt;&gt;"-",ISTEXT(D152)),E152,"-")</f>
        <v>-</v>
      </c>
      <c r="AG152" s="12" t="str">
        <f>IF(AND(D152&lt;&gt;"-",ISTEXT(D152)),D152,"-")</f>
        <v>-</v>
      </c>
      <c r="AH152" s="12" t="str">
        <f>IF(D152&lt;&gt;"-",F152,"-")</f>
        <v>-</v>
      </c>
      <c r="AI152" s="12" t="str">
        <f>IF(D152&lt;&gt;"-",G152+F152-1,"-")</f>
        <v>-</v>
      </c>
      <c r="AJ152" s="12" t="str">
        <f>IF(D152&lt;&gt;"-",G152,"-")</f>
        <v>-</v>
      </c>
      <c r="AK152" s="12" t="str">
        <f ca="1">IF(OR(AH152="-",AJ152="-"),AD152,(2^AH152-1)*2^AJ152)</f>
        <v>0x1054</v>
      </c>
      <c r="AL152" s="12" t="str">
        <f ca="1">IF(D152="-",B152,"-")</f>
        <v>CUST</v>
      </c>
      <c r="AM152" s="22">
        <f t="shared" si="617"/>
        <v>0</v>
      </c>
      <c r="AN152" s="12" t="str">
        <f ca="1">IF(OR(AH152="-",AJ152="-"),AD152,IF(AM152&lt;0,AM152+2^AH152,AM152)*2^AJ152)</f>
        <v>0x1054</v>
      </c>
      <c r="AO152" s="22" t="str">
        <f ca="1">IF(AF152="-",VLOOKUP(AD152,MemoryView!$A$3:$F$108,6,0),MID(VLOOKUP(AF152,MemoryView!$BD$3:$BE$108,2,0),15-AI152+1,AH152))</f>
        <v>0000</v>
      </c>
      <c r="AP152" s="22">
        <f ca="1">IF(AF152="-",HEX2DEC(AO152),IF(LEN(AO152)&gt;8,BIN2DEC(LEFT(AO152,LEN(AO152)-8))*2^8+BIN2DEC(RIGHT(AO152,8)),BIN2DEC(AO152)))</f>
        <v>0</v>
      </c>
      <c r="AQ152" s="53" t="str">
        <f>IF(AG152&lt;&gt;"-",CONCATENATE("`EE_MNG.",AG152,".SET(",AM152,");        // [",K152,"..",L152,"]"),"-")</f>
        <v>-</v>
      </c>
      <c r="AR152" s="54" t="str">
        <f ca="1">IF(AND(AD152="-",AE152="-",AF152="-",AG152="-"),"-",IF(AG152&lt;&gt;"-",CONCATENATE("EE_MEM #(`PARAM(16'h",RIGHT(AF152,4),", ",G152,", ",F152,", ",H152,")) ",AG152,"(); bit ",IF(H152=0,"unsigned [","signed ["),F152,"-1:0] ", AG152,"_V; assign ",AG152,"_V = ",AG152,".GET;"), CONCATENATE("EE_MEM #(`PARAM(16'h",RIGHT(AD152,4),", ",G152,", ",F152,", ",H152,")) ",AE152,"(); bit ",IF(H152=0,"unsigned [","signed ["),F152,"-1:0] ", AE152,"_V; assign ",AE152,"_V = ",AE152,".GET;")))</f>
        <v>EE_MEM #(`PARAM(16'h1054, 0, 16, 0)) EE_PATCH1_I(); bit unsigned [16-1:0] EE_PATCH1_I_V; assign EE_PATCH1_I_V = EE_PATCH1_I.GET;</v>
      </c>
      <c r="AS152" s="12" t="str">
        <f ca="1">IF(AG152="-",AE152,INDIRECT(ADDRESS(ROW()-1,COLUMN())))</f>
        <v>EE_PATCH1_I</v>
      </c>
    </row>
    <row r="153" spans="2:45">
      <c r="B153" s="55" t="str">
        <f t="shared" ca="1" si="560"/>
        <v>CUST</v>
      </c>
      <c r="C153" s="55" t="s">
        <v>58</v>
      </c>
      <c r="D153" s="56" t="str">
        <f>RIGHT(C152,LEN(C152)-3)</f>
        <v>PATCH1_I</v>
      </c>
      <c r="E153" s="57" t="str">
        <f ca="1">INDIRECT(ADDRESS(ROW()-1,COLUMN()))</f>
        <v>0x1054</v>
      </c>
      <c r="F153" s="57">
        <v>16</v>
      </c>
      <c r="G153" s="57">
        <v>0</v>
      </c>
      <c r="H153" s="57">
        <v>0</v>
      </c>
      <c r="I153" s="57" t="s">
        <v>68</v>
      </c>
      <c r="J153" s="50" t="str">
        <f>IF(D153&lt;&gt;"-","["&amp;AI153&amp;":"&amp;AJ153&amp;"]","-")</f>
        <v>[15:0]</v>
      </c>
      <c r="K153" s="50">
        <f>IF(H153,-L153-1,0)</f>
        <v>0</v>
      </c>
      <c r="L153" s="50">
        <f>IF(H153,FLOOR((2^F153-1)/2,1),2^F153-1)</f>
        <v>65535</v>
      </c>
      <c r="M153" s="58" t="s">
        <v>121</v>
      </c>
      <c r="N153" s="28"/>
      <c r="O153" s="57">
        <v>0</v>
      </c>
      <c r="P153" s="57">
        <f>O153</f>
        <v>0</v>
      </c>
      <c r="Q153" s="57">
        <f>O153</f>
        <v>0</v>
      </c>
      <c r="R153" s="57">
        <f>O153</f>
        <v>0</v>
      </c>
      <c r="S153" s="163">
        <f>P153</f>
        <v>0</v>
      </c>
      <c r="T153" s="163">
        <v>0</v>
      </c>
      <c r="U153" s="163">
        <v>24022</v>
      </c>
      <c r="V153" s="163">
        <v>0</v>
      </c>
      <c r="W153" s="59"/>
      <c r="X153" s="57">
        <f ca="1">IF(H153=0,AP153,    IF(AP153&lt;=2^(F153-1)-1,AP153,AP153-2^F153)  )</f>
        <v>0</v>
      </c>
      <c r="Y153" s="32"/>
      <c r="AC153" s="12" t="b">
        <f t="shared" si="607"/>
        <v>1</v>
      </c>
      <c r="AD153" s="12" t="str">
        <f>IF(AND(D153="-",C153&lt;&gt;"-"),E153,"-")</f>
        <v>-</v>
      </c>
      <c r="AE153" s="12" t="str">
        <f>IF(D153="-",C153,"-")</f>
        <v>-</v>
      </c>
      <c r="AF153" s="12" t="str">
        <f ca="1">IF(AND(D153&lt;&gt;"-",ISTEXT(D153)),E153,"-")</f>
        <v>0x1054</v>
      </c>
      <c r="AG153" s="12" t="str">
        <f>IF(AND(D153&lt;&gt;"-",ISTEXT(D153)),D153,"-")</f>
        <v>PATCH1_I</v>
      </c>
      <c r="AH153" s="12">
        <f>IF(D153&lt;&gt;"-",F153,"-")</f>
        <v>16</v>
      </c>
      <c r="AI153" s="12">
        <f>IF(D153&lt;&gt;"-",G153+F153-1,"-")</f>
        <v>15</v>
      </c>
      <c r="AJ153" s="12">
        <f>IF(D153&lt;&gt;"-",G153,"-")</f>
        <v>0</v>
      </c>
      <c r="AK153" s="12">
        <f>IF(OR(AH153="-",AJ153="-"),AD153,(2^AH153-1)*2^AJ153)</f>
        <v>65535</v>
      </c>
      <c r="AL153" s="12" t="str">
        <f>IF(D153="-",B153,"-")</f>
        <v>-</v>
      </c>
      <c r="AM153" s="22">
        <f t="shared" si="617"/>
        <v>0</v>
      </c>
      <c r="AN153" s="12">
        <f>IF(OR(AH153="-",AJ153="-"),AD153,IF(AM153&lt;0,AM153+2^AH153,AM153)*2^AJ153)</f>
        <v>0</v>
      </c>
      <c r="AO153" s="22" t="str">
        <f ca="1">IF(AF153="-",VLOOKUP(AD153,MemoryView!$A$3:$F$108,6,0),MID(VLOOKUP(AF153,MemoryView!$BD$3:$BE$108,2,0),15-AI153+1,AH153))</f>
        <v>0000000000000000</v>
      </c>
      <c r="AP153" s="22">
        <f ca="1">IF(AF153="-",HEX2DEC(AO153),IF(LEN(AO153)&gt;8,BIN2DEC(LEFT(AO153,LEN(AO153)-8))*2^8+BIN2DEC(RIGHT(AO153,8)),BIN2DEC(AO153)))</f>
        <v>0</v>
      </c>
      <c r="AQ153" s="53" t="str">
        <f>IF(AG153&lt;&gt;"-",CONCATENATE("`EE_MNG.",AG153,".SET(",AM153,");        // [",K153,"..",L153,"]"),"-")</f>
        <v>`EE_MNG.PATCH1_I.SET(0);        // [0..65535]</v>
      </c>
      <c r="AR153" s="54" t="str">
        <f ca="1">IF(AND(AD153="-",AE153="-",AF153="-",AG153="-"),"-",IF(AG153&lt;&gt;"-",CONCATENATE("EE_MEM #(`PARAM(16'h",RIGHT(AF153,4),", ",G153,", ",F153,", ",H153,")) ",AG153,"(); bit ",IF(H153=0,"unsigned [","signed ["),F153,"-1:0] ", AG153,"_V; assign ",AG153,"_V = ",AG153,".GET;"), CONCATENATE("EE_MEM #(`PARAM(16'h",RIGHT(AD153,4),", ",G153,", ",F153,", ",H153,")) ",AE153,"(); bit ",IF(H153=0,"unsigned [","signed ["),F153,"-1:0] ", AE153,"_V; assign ",AE153,"_V = ",AE153,".GET;")))</f>
        <v>EE_MEM #(`PARAM(16'h1054, 0, 16, 0)) PATCH1_I(); bit unsigned [16-1:0] PATCH1_I_V; assign PATCH1_I_V = PATCH1_I.GET;</v>
      </c>
      <c r="AS153" s="12" t="str">
        <f ca="1">IF(AG153="-",AE153,INDIRECT(ADDRESS(ROW()-1,COLUMN())))</f>
        <v>EE_PATCH1_I</v>
      </c>
    </row>
    <row r="154" spans="2:45">
      <c r="B154" s="47" t="str">
        <f t="shared" ca="1" si="560"/>
        <v>CUST</v>
      </c>
      <c r="C154" s="47" t="s">
        <v>122</v>
      </c>
      <c r="D154" s="48" t="s">
        <v>58</v>
      </c>
      <c r="E154" s="60" t="str">
        <f ca="1">"0x"&amp;DEC2HEX(HEX2DEC(RIGHT(INDIRECT(ADDRESS(ROW()-1,COLUMN())),4))+2,4)</f>
        <v>0x1056</v>
      </c>
      <c r="F154" s="49">
        <v>16</v>
      </c>
      <c r="G154" s="49">
        <v>0</v>
      </c>
      <c r="H154" s="49">
        <v>0</v>
      </c>
      <c r="I154" s="49" t="s">
        <v>58</v>
      </c>
      <c r="J154" s="50" t="str">
        <f>IF(D154&lt;&gt;"-","["&amp;AI154&amp;":"&amp;AJ154&amp;"]","-")</f>
        <v>-</v>
      </c>
      <c r="K154" s="50">
        <f>IF(H154,-L154-1,0)</f>
        <v>0</v>
      </c>
      <c r="L154" s="50">
        <f>IF(H154,FLOOR((2^F154-1)/2,1),2^F154-1)</f>
        <v>65535</v>
      </c>
      <c r="M154" s="51" t="s">
        <v>123</v>
      </c>
      <c r="N154" s="28"/>
      <c r="O154" s="52"/>
      <c r="P154" s="52"/>
      <c r="Q154" s="52"/>
      <c r="R154" s="52"/>
      <c r="S154" s="140"/>
      <c r="T154" s="165"/>
      <c r="U154" s="165"/>
      <c r="V154" s="165"/>
      <c r="W154" s="28"/>
      <c r="X154" s="52">
        <f ca="1">IF(H154=0,AP154,    IF(AP154&lt;=2^(F154-1)-1,AP154,AP154-2^F154)  )</f>
        <v>0</v>
      </c>
      <c r="Y154" s="32"/>
      <c r="AC154" s="12">
        <f t="shared" si="607"/>
        <v>1</v>
      </c>
      <c r="AD154" s="12" t="str">
        <f ca="1">IF(AND(D154="-",C154&lt;&gt;"-"),E154,"-")</f>
        <v>0x1056</v>
      </c>
      <c r="AE154" s="12" t="str">
        <f>IF(D154="-",C154,"-")</f>
        <v>EE_PATCH1_A</v>
      </c>
      <c r="AF154" s="12" t="str">
        <f>IF(AND(D154&lt;&gt;"-",ISTEXT(D154)),E154,"-")</f>
        <v>-</v>
      </c>
      <c r="AG154" s="12" t="str">
        <f>IF(AND(D154&lt;&gt;"-",ISTEXT(D154)),D154,"-")</f>
        <v>-</v>
      </c>
      <c r="AH154" s="12" t="str">
        <f>IF(D154&lt;&gt;"-",F154,"-")</f>
        <v>-</v>
      </c>
      <c r="AI154" s="12" t="str">
        <f>IF(D154&lt;&gt;"-",G154+F154-1,"-")</f>
        <v>-</v>
      </c>
      <c r="AJ154" s="12" t="str">
        <f>IF(D154&lt;&gt;"-",G154,"-")</f>
        <v>-</v>
      </c>
      <c r="AK154" s="12" t="str">
        <f ca="1">IF(OR(AH154="-",AJ154="-"),AD154,(2^AH154-1)*2^AJ154)</f>
        <v>0x1056</v>
      </c>
      <c r="AL154" s="12" t="str">
        <f ca="1">IF(D154="-",B154,"-")</f>
        <v>CUST</v>
      </c>
      <c r="AM154" s="22">
        <f t="shared" si="617"/>
        <v>0</v>
      </c>
      <c r="AN154" s="12" t="str">
        <f ca="1">IF(OR(AH154="-",AJ154="-"),AD154,IF(AM154&lt;0,AM154+2^AH154,AM154)*2^AJ154)</f>
        <v>0x1056</v>
      </c>
      <c r="AO154" s="22" t="str">
        <f ca="1">IF(AF154="-",VLOOKUP(AD154,MemoryView!$A$3:$F$108,6,0),MID(VLOOKUP(AF154,MemoryView!$BD$3:$BE$108,2,0),15-AI154+1,AH154))</f>
        <v>0000</v>
      </c>
      <c r="AP154" s="22">
        <f ca="1">IF(AF154="-",HEX2DEC(AO154),IF(LEN(AO154)&gt;8,BIN2DEC(LEFT(AO154,LEN(AO154)-8))*2^8+BIN2DEC(RIGHT(AO154,8)),BIN2DEC(AO154)))</f>
        <v>0</v>
      </c>
      <c r="AQ154" s="53" t="str">
        <f>IF(AG154&lt;&gt;"-",CONCATENATE("`EE_MNG.",AG154,".SET(",AM154,");        // [",K154,"..",L154,"]"),"-")</f>
        <v>-</v>
      </c>
      <c r="AR154" s="54" t="str">
        <f ca="1">IF(AND(AD154="-",AE154="-",AF154="-",AG154="-"),"-",IF(AG154&lt;&gt;"-",CONCATENATE("EE_MEM #(`PARAM(16'h",RIGHT(AF154,4),", ",G154,", ",F154,", ",H154,")) ",AG154,"(); bit ",IF(H154=0,"unsigned [","signed ["),F154,"-1:0] ", AG154,"_V; assign ",AG154,"_V = ",AG154,".GET;"), CONCATENATE("EE_MEM #(`PARAM(16'h",RIGHT(AD154,4),", ",G154,", ",F154,", ",H154,")) ",AE154,"(); bit ",IF(H154=0,"unsigned [","signed ["),F154,"-1:0] ", AE154,"_V; assign ",AE154,"_V = ",AE154,".GET;")))</f>
        <v>EE_MEM #(`PARAM(16'h1056, 0, 16, 0)) EE_PATCH1_A(); bit unsigned [16-1:0] EE_PATCH1_A_V; assign EE_PATCH1_A_V = EE_PATCH1_A.GET;</v>
      </c>
      <c r="AS154" s="12" t="str">
        <f ca="1">IF(AG154="-",AE154,INDIRECT(ADDRESS(ROW()-1,COLUMN())))</f>
        <v>EE_PATCH1_A</v>
      </c>
    </row>
    <row r="155" spans="2:45">
      <c r="B155" s="55" t="str">
        <f t="shared" ca="1" si="560"/>
        <v>CUST</v>
      </c>
      <c r="C155" s="55" t="s">
        <v>58</v>
      </c>
      <c r="D155" s="56" t="str">
        <f>RIGHT(C154,LEN(C154)-3)</f>
        <v>PATCH1_A</v>
      </c>
      <c r="E155" s="57" t="str">
        <f ca="1">INDIRECT(ADDRESS(ROW()-1,COLUMN()))</f>
        <v>0x1056</v>
      </c>
      <c r="F155" s="57">
        <v>16</v>
      </c>
      <c r="G155" s="57">
        <v>0</v>
      </c>
      <c r="H155" s="57">
        <v>0</v>
      </c>
      <c r="I155" s="57" t="s">
        <v>68</v>
      </c>
      <c r="J155" s="50" t="str">
        <f>IF(D155&lt;&gt;"-","["&amp;AI155&amp;":"&amp;AJ155&amp;"]","-")</f>
        <v>[15:0]</v>
      </c>
      <c r="K155" s="50">
        <f>IF(H155,-L155-1,0)</f>
        <v>0</v>
      </c>
      <c r="L155" s="50">
        <f>IF(H155,FLOOR((2^F155-1)/2,1),2^F155-1)</f>
        <v>65535</v>
      </c>
      <c r="M155" s="58" t="s">
        <v>123</v>
      </c>
      <c r="N155" s="28"/>
      <c r="O155" s="57">
        <v>0</v>
      </c>
      <c r="P155" s="57">
        <f>O155</f>
        <v>0</v>
      </c>
      <c r="Q155" s="57">
        <f>O155</f>
        <v>0</v>
      </c>
      <c r="R155" s="57">
        <f>O155</f>
        <v>0</v>
      </c>
      <c r="S155" s="163">
        <f>P155</f>
        <v>0</v>
      </c>
      <c r="T155" s="163">
        <v>15301</v>
      </c>
      <c r="U155" s="163">
        <v>12348</v>
      </c>
      <c r="V155" s="163">
        <v>0</v>
      </c>
      <c r="W155" s="59"/>
      <c r="X155" s="57">
        <f ca="1">IF(H155=0,AP155,    IF(AP155&lt;=2^(F155-1)-1,AP155,AP155-2^F155)  )</f>
        <v>0</v>
      </c>
      <c r="Y155" s="32"/>
      <c r="AC155" s="12" t="b">
        <f t="shared" si="607"/>
        <v>1</v>
      </c>
      <c r="AD155" s="12" t="str">
        <f>IF(AND(D155="-",C155&lt;&gt;"-"),E155,"-")</f>
        <v>-</v>
      </c>
      <c r="AE155" s="12" t="str">
        <f>IF(D155="-",C155,"-")</f>
        <v>-</v>
      </c>
      <c r="AF155" s="12" t="str">
        <f ca="1">IF(AND(D155&lt;&gt;"-",ISTEXT(D155)),E155,"-")</f>
        <v>0x1056</v>
      </c>
      <c r="AG155" s="12" t="str">
        <f>IF(AND(D155&lt;&gt;"-",ISTEXT(D155)),D155,"-")</f>
        <v>PATCH1_A</v>
      </c>
      <c r="AH155" s="12">
        <f>IF(D155&lt;&gt;"-",F155,"-")</f>
        <v>16</v>
      </c>
      <c r="AI155" s="12">
        <f>IF(D155&lt;&gt;"-",G155+F155-1,"-")</f>
        <v>15</v>
      </c>
      <c r="AJ155" s="12">
        <f>IF(D155&lt;&gt;"-",G155,"-")</f>
        <v>0</v>
      </c>
      <c r="AK155" s="12">
        <f>IF(OR(AH155="-",AJ155="-"),AD155,(2^AH155-1)*2^AJ155)</f>
        <v>65535</v>
      </c>
      <c r="AL155" s="12" t="str">
        <f>IF(D155="-",B155,"-")</f>
        <v>-</v>
      </c>
      <c r="AM155" s="22">
        <f t="shared" si="617"/>
        <v>0</v>
      </c>
      <c r="AN155" s="12">
        <f>IF(OR(AH155="-",AJ155="-"),AD155,IF(AM155&lt;0,AM155+2^AH155,AM155)*2^AJ155)</f>
        <v>0</v>
      </c>
      <c r="AO155" s="22" t="str">
        <f ca="1">IF(AF155="-",VLOOKUP(AD155,MemoryView!$A$3:$F$108,6,0),MID(VLOOKUP(AF155,MemoryView!$BD$3:$BE$108,2,0),15-AI155+1,AH155))</f>
        <v>0000000000000000</v>
      </c>
      <c r="AP155" s="22">
        <f ca="1">IF(AF155="-",HEX2DEC(AO155),IF(LEN(AO155)&gt;8,BIN2DEC(LEFT(AO155,LEN(AO155)-8))*2^8+BIN2DEC(RIGHT(AO155,8)),BIN2DEC(AO155)))</f>
        <v>0</v>
      </c>
      <c r="AQ155" s="53" t="str">
        <f>IF(AG155&lt;&gt;"-",CONCATENATE("`EE_MNG.",AG155,".SET(",AM155,");        // [",K155,"..",L155,"]"),"-")</f>
        <v>`EE_MNG.PATCH1_A.SET(0);        // [0..65535]</v>
      </c>
      <c r="AR155" s="54" t="str">
        <f ca="1">IF(AND(AD155="-",AE155="-",AF155="-",AG155="-"),"-",IF(AG155&lt;&gt;"-",CONCATENATE("EE_MEM #(`PARAM(16'h",RIGHT(AF155,4),", ",G155,", ",F155,", ",H155,")) ",AG155,"(); bit ",IF(H155=0,"unsigned [","signed ["),F155,"-1:0] ", AG155,"_V; assign ",AG155,"_V = ",AG155,".GET;"), CONCATENATE("EE_MEM #(`PARAM(16'h",RIGHT(AD155,4),", ",G155,", ",F155,", ",H155,")) ",AE155,"(); bit ",IF(H155=0,"unsigned [","signed ["),F155,"-1:0] ", AE155,"_V; assign ",AE155,"_V = ",AE155,".GET;")))</f>
        <v>EE_MEM #(`PARAM(16'h1056, 0, 16, 0)) PATCH1_A(); bit unsigned [16-1:0] PATCH1_A_V; assign PATCH1_A_V = PATCH1_A.GET;</v>
      </c>
      <c r="AS155" s="12" t="str">
        <f ca="1">IF(AG155="-",AE155,INDIRECT(ADDRESS(ROW()-1,COLUMN())))</f>
        <v>EE_PATCH1_A</v>
      </c>
    </row>
    <row r="156" spans="2:45">
      <c r="B156" s="47" t="str">
        <f t="shared" ca="1" si="560"/>
        <v>CUST</v>
      </c>
      <c r="C156" s="47" t="s">
        <v>124</v>
      </c>
      <c r="D156" s="48" t="s">
        <v>58</v>
      </c>
      <c r="E156" s="60" t="str">
        <f ca="1">"0x"&amp;DEC2HEX(HEX2DEC(RIGHT(INDIRECT(ADDRESS(ROW()-1,COLUMN())),4))+2,4)</f>
        <v>0x1058</v>
      </c>
      <c r="F156" s="49">
        <v>16</v>
      </c>
      <c r="G156" s="49">
        <v>0</v>
      </c>
      <c r="H156" s="49">
        <v>0</v>
      </c>
      <c r="I156" s="49" t="s">
        <v>58</v>
      </c>
      <c r="J156" s="50" t="str">
        <f t="shared" si="561"/>
        <v>-</v>
      </c>
      <c r="K156" s="50">
        <f t="shared" si="562"/>
        <v>0</v>
      </c>
      <c r="L156" s="50">
        <f t="shared" si="563"/>
        <v>65535</v>
      </c>
      <c r="M156" s="51" t="s">
        <v>125</v>
      </c>
      <c r="N156" s="28"/>
      <c r="O156" s="52"/>
      <c r="P156" s="52"/>
      <c r="Q156" s="52"/>
      <c r="R156" s="52"/>
      <c r="S156" s="140"/>
      <c r="T156" s="165"/>
      <c r="U156" s="165"/>
      <c r="V156" s="165"/>
      <c r="W156" s="28"/>
      <c r="X156" s="52">
        <f t="shared" ca="1" si="564"/>
        <v>0</v>
      </c>
      <c r="Y156" s="32"/>
      <c r="AC156" s="12">
        <f t="shared" si="607"/>
        <v>1</v>
      </c>
      <c r="AD156" s="12" t="str">
        <f t="shared" ca="1" si="565"/>
        <v>0x1058</v>
      </c>
      <c r="AE156" s="12" t="str">
        <f t="shared" si="566"/>
        <v>EE_PATCH_AREA0</v>
      </c>
      <c r="AF156" s="12" t="str">
        <f t="shared" si="567"/>
        <v>-</v>
      </c>
      <c r="AG156" s="12" t="str">
        <f t="shared" si="568"/>
        <v>-</v>
      </c>
      <c r="AH156" s="12" t="str">
        <f t="shared" si="569"/>
        <v>-</v>
      </c>
      <c r="AI156" s="12" t="str">
        <f t="shared" si="570"/>
        <v>-</v>
      </c>
      <c r="AJ156" s="12" t="str">
        <f t="shared" si="571"/>
        <v>-</v>
      </c>
      <c r="AK156" s="12" t="str">
        <f t="shared" ca="1" si="572"/>
        <v>0x1058</v>
      </c>
      <c r="AL156" s="12" t="str">
        <f t="shared" ca="1" si="573"/>
        <v>CUST</v>
      </c>
      <c r="AM156" s="22">
        <f t="shared" si="617"/>
        <v>0</v>
      </c>
      <c r="AN156" s="12" t="str">
        <f t="shared" ca="1" si="574"/>
        <v>0x1058</v>
      </c>
      <c r="AO156" s="22" t="str">
        <f ca="1">IF(AF156="-",VLOOKUP(AD156,MemoryView!$A$3:$F$108,6,0),MID(VLOOKUP(AF156,MemoryView!$BD$3:$BE$108,2,0),15-AI156+1,AH156))</f>
        <v>0000</v>
      </c>
      <c r="AP156" s="22">
        <f t="shared" ca="1" si="575"/>
        <v>0</v>
      </c>
      <c r="AQ156" s="53" t="str">
        <f t="shared" si="576"/>
        <v>-</v>
      </c>
      <c r="AR156" s="54" t="str">
        <f t="shared" ca="1" si="577"/>
        <v>EE_MEM #(`PARAM(16'h1058, 0, 16, 0)) EE_PATCH_AREA0(); bit unsigned [16-1:0] EE_PATCH_AREA0_V; assign EE_PATCH_AREA0_V = EE_PATCH_AREA0.GET;</v>
      </c>
      <c r="AS156" s="12" t="str">
        <f t="shared" ca="1" si="578"/>
        <v>EE_PATCH_AREA0</v>
      </c>
    </row>
    <row r="157" spans="2:45">
      <c r="B157" s="55" t="str">
        <f t="shared" ca="1" si="560"/>
        <v>CUST</v>
      </c>
      <c r="C157" s="55" t="s">
        <v>58</v>
      </c>
      <c r="D157" s="56" t="str">
        <f>RIGHT(C156,LEN(C156)-3)</f>
        <v>PATCH_AREA0</v>
      </c>
      <c r="E157" s="57" t="str">
        <f ca="1">INDIRECT(ADDRESS(ROW()-1,COLUMN()))</f>
        <v>0x1058</v>
      </c>
      <c r="F157" s="57">
        <v>16</v>
      </c>
      <c r="G157" s="57">
        <v>0</v>
      </c>
      <c r="H157" s="57">
        <v>0</v>
      </c>
      <c r="I157" s="57" t="s">
        <v>68</v>
      </c>
      <c r="J157" s="50" t="str">
        <f t="shared" si="561"/>
        <v>[15:0]</v>
      </c>
      <c r="K157" s="50">
        <f t="shared" si="562"/>
        <v>0</v>
      </c>
      <c r="L157" s="50">
        <f t="shared" si="563"/>
        <v>65535</v>
      </c>
      <c r="M157" s="58" t="s">
        <v>125</v>
      </c>
      <c r="N157" s="28"/>
      <c r="O157" s="57">
        <v>0</v>
      </c>
      <c r="P157" s="57">
        <f>O157</f>
        <v>0</v>
      </c>
      <c r="Q157" s="57">
        <f>O157</f>
        <v>0</v>
      </c>
      <c r="R157" s="57">
        <f>O157</f>
        <v>0</v>
      </c>
      <c r="S157" s="163">
        <f>P157</f>
        <v>0</v>
      </c>
      <c r="T157" s="163">
        <v>0</v>
      </c>
      <c r="U157" s="163">
        <v>22529</v>
      </c>
      <c r="V157" s="163">
        <v>0</v>
      </c>
      <c r="W157" s="59"/>
      <c r="X157" s="57">
        <f t="shared" ca="1" si="564"/>
        <v>0</v>
      </c>
      <c r="Y157" s="32"/>
      <c r="AC157" s="12" t="b">
        <f t="shared" si="607"/>
        <v>1</v>
      </c>
      <c r="AD157" s="12" t="str">
        <f t="shared" si="565"/>
        <v>-</v>
      </c>
      <c r="AE157" s="12" t="str">
        <f t="shared" si="566"/>
        <v>-</v>
      </c>
      <c r="AF157" s="12" t="str">
        <f t="shared" ca="1" si="567"/>
        <v>0x1058</v>
      </c>
      <c r="AG157" s="12" t="str">
        <f t="shared" si="568"/>
        <v>PATCH_AREA0</v>
      </c>
      <c r="AH157" s="12">
        <f t="shared" si="569"/>
        <v>16</v>
      </c>
      <c r="AI157" s="12">
        <f t="shared" si="570"/>
        <v>15</v>
      </c>
      <c r="AJ157" s="12">
        <f t="shared" si="571"/>
        <v>0</v>
      </c>
      <c r="AK157" s="12">
        <f t="shared" si="572"/>
        <v>65535</v>
      </c>
      <c r="AL157" s="12" t="str">
        <f t="shared" si="573"/>
        <v>-</v>
      </c>
      <c r="AM157" s="22">
        <f t="shared" si="617"/>
        <v>0</v>
      </c>
      <c r="AN157" s="12">
        <f t="shared" si="574"/>
        <v>0</v>
      </c>
      <c r="AO157" s="22" t="str">
        <f ca="1">IF(AF157="-",VLOOKUP(AD157,MemoryView!$A$3:$F$108,6,0),MID(VLOOKUP(AF157,MemoryView!$BD$3:$BE$108,2,0),15-AI157+1,AH157))</f>
        <v>0000000000000000</v>
      </c>
      <c r="AP157" s="22">
        <f t="shared" ca="1" si="575"/>
        <v>0</v>
      </c>
      <c r="AQ157" s="53" t="str">
        <f t="shared" si="576"/>
        <v>`EE_MNG.PATCH_AREA0.SET(0);        // [0..65535]</v>
      </c>
      <c r="AR157" s="54" t="str">
        <f t="shared" ca="1" si="577"/>
        <v>EE_MEM #(`PARAM(16'h1058, 0, 16, 0)) PATCH_AREA0(); bit unsigned [16-1:0] PATCH_AREA0_V; assign PATCH_AREA0_V = PATCH_AREA0.GET;</v>
      </c>
      <c r="AS157" s="12" t="str">
        <f t="shared" ca="1" si="578"/>
        <v>EE_PATCH_AREA0</v>
      </c>
    </row>
    <row r="158" spans="2:45">
      <c r="B158" s="47" t="str">
        <f t="shared" ca="1" si="560"/>
        <v>CUST</v>
      </c>
      <c r="C158" s="47" t="s">
        <v>126</v>
      </c>
      <c r="D158" s="48" t="s">
        <v>58</v>
      </c>
      <c r="E158" s="60" t="str">
        <f ca="1">"0x"&amp;DEC2HEX(HEX2DEC(RIGHT(INDIRECT(ADDRESS(ROW()-1,COLUMN())),4))+2,4)</f>
        <v>0x105A</v>
      </c>
      <c r="F158" s="49">
        <v>16</v>
      </c>
      <c r="G158" s="49">
        <v>0</v>
      </c>
      <c r="H158" s="49">
        <v>0</v>
      </c>
      <c r="I158" s="49" t="s">
        <v>58</v>
      </c>
      <c r="J158" s="50" t="str">
        <f t="shared" si="561"/>
        <v>-</v>
      </c>
      <c r="K158" s="50">
        <f t="shared" si="562"/>
        <v>0</v>
      </c>
      <c r="L158" s="50">
        <f t="shared" si="563"/>
        <v>65535</v>
      </c>
      <c r="M158" s="51" t="s">
        <v>125</v>
      </c>
      <c r="N158" s="28"/>
      <c r="O158" s="52"/>
      <c r="P158" s="52"/>
      <c r="Q158" s="52"/>
      <c r="R158" s="52"/>
      <c r="S158" s="140"/>
      <c r="T158" s="165"/>
      <c r="U158" s="165"/>
      <c r="V158" s="165"/>
      <c r="W158" s="28"/>
      <c r="X158" s="52">
        <f t="shared" ca="1" si="564"/>
        <v>0</v>
      </c>
      <c r="Y158" s="32"/>
      <c r="AC158" s="12">
        <f t="shared" si="607"/>
        <v>1</v>
      </c>
      <c r="AD158" s="12" t="str">
        <f t="shared" ca="1" si="565"/>
        <v>0x105A</v>
      </c>
      <c r="AE158" s="12" t="str">
        <f t="shared" si="566"/>
        <v>EE_PATCH_AREA1</v>
      </c>
      <c r="AF158" s="12" t="str">
        <f t="shared" si="567"/>
        <v>-</v>
      </c>
      <c r="AG158" s="12" t="str">
        <f t="shared" si="568"/>
        <v>-</v>
      </c>
      <c r="AH158" s="12" t="str">
        <f t="shared" si="569"/>
        <v>-</v>
      </c>
      <c r="AI158" s="12" t="str">
        <f t="shared" si="570"/>
        <v>-</v>
      </c>
      <c r="AJ158" s="12" t="str">
        <f t="shared" si="571"/>
        <v>-</v>
      </c>
      <c r="AK158" s="12" t="str">
        <f t="shared" ca="1" si="572"/>
        <v>0x105A</v>
      </c>
      <c r="AL158" s="12" t="str">
        <f t="shared" ca="1" si="573"/>
        <v>CUST</v>
      </c>
      <c r="AM158" s="22">
        <f t="shared" si="617"/>
        <v>0</v>
      </c>
      <c r="AN158" s="12" t="str">
        <f t="shared" ca="1" si="574"/>
        <v>0x105A</v>
      </c>
      <c r="AO158" s="22" t="str">
        <f ca="1">IF(AF158="-",VLOOKUP(AD158,MemoryView!$A$3:$F$108,6,0),MID(VLOOKUP(AF158,MemoryView!$BD$3:$BE$108,2,0),15-AI158+1,AH158))</f>
        <v>0000</v>
      </c>
      <c r="AP158" s="22">
        <f t="shared" ca="1" si="575"/>
        <v>0</v>
      </c>
      <c r="AQ158" s="53" t="str">
        <f t="shared" si="576"/>
        <v>-</v>
      </c>
      <c r="AR158" s="54" t="str">
        <f t="shared" ca="1" si="577"/>
        <v>EE_MEM #(`PARAM(16'h105A, 0, 16, 0)) EE_PATCH_AREA1(); bit unsigned [16-1:0] EE_PATCH_AREA1_V; assign EE_PATCH_AREA1_V = EE_PATCH_AREA1.GET;</v>
      </c>
      <c r="AS158" s="12" t="str">
        <f t="shared" ca="1" si="578"/>
        <v>EE_PATCH_AREA1</v>
      </c>
    </row>
    <row r="159" spans="2:45">
      <c r="B159" s="55" t="str">
        <f t="shared" ca="1" si="560"/>
        <v>CUST</v>
      </c>
      <c r="C159" s="55" t="s">
        <v>58</v>
      </c>
      <c r="D159" s="56" t="str">
        <f>RIGHT(C158,LEN(C158)-3)</f>
        <v>PATCH_AREA1</v>
      </c>
      <c r="E159" s="57" t="str">
        <f ca="1">INDIRECT(ADDRESS(ROW()-1,COLUMN()))</f>
        <v>0x105A</v>
      </c>
      <c r="F159" s="57">
        <v>16</v>
      </c>
      <c r="G159" s="57">
        <v>0</v>
      </c>
      <c r="H159" s="57">
        <v>0</v>
      </c>
      <c r="I159" s="57" t="s">
        <v>68</v>
      </c>
      <c r="J159" s="50" t="str">
        <f t="shared" si="561"/>
        <v>[15:0]</v>
      </c>
      <c r="K159" s="50">
        <f t="shared" si="562"/>
        <v>0</v>
      </c>
      <c r="L159" s="50">
        <f t="shared" si="563"/>
        <v>65535</v>
      </c>
      <c r="M159" s="58" t="s">
        <v>125</v>
      </c>
      <c r="N159" s="28"/>
      <c r="O159" s="57">
        <v>0</v>
      </c>
      <c r="P159" s="57">
        <f>O159</f>
        <v>0</v>
      </c>
      <c r="Q159" s="57">
        <f>O159</f>
        <v>0</v>
      </c>
      <c r="R159" s="57">
        <f>O159</f>
        <v>0</v>
      </c>
      <c r="S159" s="163">
        <f>P159</f>
        <v>0</v>
      </c>
      <c r="T159" s="163">
        <v>0</v>
      </c>
      <c r="U159" s="163">
        <v>29132</v>
      </c>
      <c r="V159" s="163">
        <v>0</v>
      </c>
      <c r="W159" s="59"/>
      <c r="X159" s="57">
        <f t="shared" ca="1" si="564"/>
        <v>0</v>
      </c>
      <c r="Y159" s="32"/>
      <c r="AC159" s="12" t="b">
        <f t="shared" si="607"/>
        <v>1</v>
      </c>
      <c r="AD159" s="12" t="str">
        <f t="shared" si="565"/>
        <v>-</v>
      </c>
      <c r="AE159" s="12" t="str">
        <f t="shared" si="566"/>
        <v>-</v>
      </c>
      <c r="AF159" s="12" t="str">
        <f t="shared" ca="1" si="567"/>
        <v>0x105A</v>
      </c>
      <c r="AG159" s="12" t="str">
        <f t="shared" si="568"/>
        <v>PATCH_AREA1</v>
      </c>
      <c r="AH159" s="12">
        <f t="shared" si="569"/>
        <v>16</v>
      </c>
      <c r="AI159" s="12">
        <f t="shared" si="570"/>
        <v>15</v>
      </c>
      <c r="AJ159" s="12">
        <f t="shared" si="571"/>
        <v>0</v>
      </c>
      <c r="AK159" s="12">
        <f t="shared" si="572"/>
        <v>65535</v>
      </c>
      <c r="AL159" s="12" t="str">
        <f t="shared" si="573"/>
        <v>-</v>
      </c>
      <c r="AM159" s="22">
        <f t="shared" si="617"/>
        <v>0</v>
      </c>
      <c r="AN159" s="12">
        <f t="shared" si="574"/>
        <v>0</v>
      </c>
      <c r="AO159" s="22" t="str">
        <f ca="1">IF(AF159="-",VLOOKUP(AD159,MemoryView!$A$3:$F$108,6,0),MID(VLOOKUP(AF159,MemoryView!$BD$3:$BE$108,2,0),15-AI159+1,AH159))</f>
        <v>0000000000000000</v>
      </c>
      <c r="AP159" s="22">
        <f t="shared" ca="1" si="575"/>
        <v>0</v>
      </c>
      <c r="AQ159" s="53" t="str">
        <f t="shared" si="576"/>
        <v>`EE_MNG.PATCH_AREA1.SET(0);        // [0..65535]</v>
      </c>
      <c r="AR159" s="54" t="str">
        <f t="shared" ca="1" si="577"/>
        <v>EE_MEM #(`PARAM(16'h105A, 0, 16, 0)) PATCH_AREA1(); bit unsigned [16-1:0] PATCH_AREA1_V; assign PATCH_AREA1_V = PATCH_AREA1.GET;</v>
      </c>
      <c r="AS159" s="12" t="str">
        <f t="shared" ca="1" si="578"/>
        <v>EE_PATCH_AREA1</v>
      </c>
    </row>
    <row r="160" spans="2:45">
      <c r="B160" s="47" t="str">
        <f t="shared" ca="1" si="560"/>
        <v>CUST</v>
      </c>
      <c r="C160" s="47" t="s">
        <v>127</v>
      </c>
      <c r="D160" s="48" t="s">
        <v>58</v>
      </c>
      <c r="E160" s="60" t="str">
        <f ca="1">"0x"&amp;DEC2HEX(HEX2DEC(RIGHT(INDIRECT(ADDRESS(ROW()-1,COLUMN())),4))+2,4)</f>
        <v>0x105C</v>
      </c>
      <c r="F160" s="49">
        <v>16</v>
      </c>
      <c r="G160" s="49">
        <v>0</v>
      </c>
      <c r="H160" s="49">
        <v>0</v>
      </c>
      <c r="I160" s="49" t="s">
        <v>58</v>
      </c>
      <c r="J160" s="50" t="str">
        <f t="shared" si="561"/>
        <v>-</v>
      </c>
      <c r="K160" s="50">
        <f t="shared" si="562"/>
        <v>0</v>
      </c>
      <c r="L160" s="50">
        <f t="shared" si="563"/>
        <v>65535</v>
      </c>
      <c r="M160" s="51" t="s">
        <v>125</v>
      </c>
      <c r="N160" s="28"/>
      <c r="O160" s="52"/>
      <c r="P160" s="52"/>
      <c r="Q160" s="52"/>
      <c r="R160" s="52"/>
      <c r="S160" s="140"/>
      <c r="T160" s="165"/>
      <c r="U160" s="165"/>
      <c r="V160" s="165"/>
      <c r="W160" s="28"/>
      <c r="X160" s="52">
        <f t="shared" ca="1" si="564"/>
        <v>0</v>
      </c>
      <c r="Y160" s="32"/>
      <c r="AC160" s="12">
        <f t="shared" si="607"/>
        <v>1</v>
      </c>
      <c r="AD160" s="12" t="str">
        <f t="shared" ca="1" si="565"/>
        <v>0x105C</v>
      </c>
      <c r="AE160" s="12" t="str">
        <f t="shared" si="566"/>
        <v>EE_PATCH_AREA2</v>
      </c>
      <c r="AF160" s="12" t="str">
        <f t="shared" si="567"/>
        <v>-</v>
      </c>
      <c r="AG160" s="12" t="str">
        <f t="shared" si="568"/>
        <v>-</v>
      </c>
      <c r="AH160" s="12" t="str">
        <f t="shared" si="569"/>
        <v>-</v>
      </c>
      <c r="AI160" s="12" t="str">
        <f t="shared" si="570"/>
        <v>-</v>
      </c>
      <c r="AJ160" s="12" t="str">
        <f t="shared" si="571"/>
        <v>-</v>
      </c>
      <c r="AK160" s="12" t="str">
        <f t="shared" ca="1" si="572"/>
        <v>0x105C</v>
      </c>
      <c r="AL160" s="12" t="str">
        <f t="shared" ca="1" si="573"/>
        <v>CUST</v>
      </c>
      <c r="AM160" s="22">
        <f t="shared" si="617"/>
        <v>0</v>
      </c>
      <c r="AN160" s="12" t="str">
        <f t="shared" ca="1" si="574"/>
        <v>0x105C</v>
      </c>
      <c r="AO160" s="22" t="str">
        <f ca="1">IF(AF160="-",VLOOKUP(AD160,MemoryView!$A$3:$F$108,6,0),MID(VLOOKUP(AF160,MemoryView!$BD$3:$BE$108,2,0),15-AI160+1,AH160))</f>
        <v>0000</v>
      </c>
      <c r="AP160" s="22">
        <f t="shared" ca="1" si="575"/>
        <v>0</v>
      </c>
      <c r="AQ160" s="53" t="str">
        <f t="shared" si="576"/>
        <v>-</v>
      </c>
      <c r="AR160" s="54" t="str">
        <f t="shared" ca="1" si="577"/>
        <v>EE_MEM #(`PARAM(16'h105C, 0, 16, 0)) EE_PATCH_AREA2(); bit unsigned [16-1:0] EE_PATCH_AREA2_V; assign EE_PATCH_AREA2_V = EE_PATCH_AREA2.GET;</v>
      </c>
      <c r="AS160" s="12" t="str">
        <f t="shared" ca="1" si="578"/>
        <v>EE_PATCH_AREA2</v>
      </c>
    </row>
    <row r="161" spans="2:45">
      <c r="B161" s="55" t="str">
        <f t="shared" ca="1" si="560"/>
        <v>CUST</v>
      </c>
      <c r="C161" s="55" t="s">
        <v>58</v>
      </c>
      <c r="D161" s="56" t="str">
        <f>RIGHT(C160,LEN(C160)-3)</f>
        <v>PATCH_AREA2</v>
      </c>
      <c r="E161" s="57" t="str">
        <f ca="1">INDIRECT(ADDRESS(ROW()-1,COLUMN()))</f>
        <v>0x105C</v>
      </c>
      <c r="F161" s="57">
        <v>16</v>
      </c>
      <c r="G161" s="57">
        <v>0</v>
      </c>
      <c r="H161" s="57">
        <v>0</v>
      </c>
      <c r="I161" s="57" t="s">
        <v>68</v>
      </c>
      <c r="J161" s="50" t="str">
        <f t="shared" si="561"/>
        <v>[15:0]</v>
      </c>
      <c r="K161" s="50">
        <f t="shared" si="562"/>
        <v>0</v>
      </c>
      <c r="L161" s="50">
        <f t="shared" si="563"/>
        <v>65535</v>
      </c>
      <c r="M161" s="58" t="s">
        <v>125</v>
      </c>
      <c r="N161" s="28"/>
      <c r="O161" s="57">
        <v>0</v>
      </c>
      <c r="P161" s="57">
        <f>O161</f>
        <v>0</v>
      </c>
      <c r="Q161" s="57">
        <f>O161</f>
        <v>0</v>
      </c>
      <c r="R161" s="57">
        <f>O161</f>
        <v>0</v>
      </c>
      <c r="S161" s="163">
        <f>P161</f>
        <v>0</v>
      </c>
      <c r="T161" s="163">
        <v>0</v>
      </c>
      <c r="U161" s="163">
        <v>0</v>
      </c>
      <c r="V161" s="163">
        <v>0</v>
      </c>
      <c r="W161" s="59"/>
      <c r="X161" s="57">
        <f t="shared" ca="1" si="564"/>
        <v>0</v>
      </c>
      <c r="Y161" s="32"/>
      <c r="AC161" s="12" t="b">
        <f t="shared" si="607"/>
        <v>1</v>
      </c>
      <c r="AD161" s="12" t="str">
        <f t="shared" si="565"/>
        <v>-</v>
      </c>
      <c r="AE161" s="12" t="str">
        <f t="shared" si="566"/>
        <v>-</v>
      </c>
      <c r="AF161" s="12" t="str">
        <f t="shared" ca="1" si="567"/>
        <v>0x105C</v>
      </c>
      <c r="AG161" s="12" t="str">
        <f t="shared" si="568"/>
        <v>PATCH_AREA2</v>
      </c>
      <c r="AH161" s="12">
        <f t="shared" si="569"/>
        <v>16</v>
      </c>
      <c r="AI161" s="12">
        <f t="shared" si="570"/>
        <v>15</v>
      </c>
      <c r="AJ161" s="12">
        <f t="shared" si="571"/>
        <v>0</v>
      </c>
      <c r="AK161" s="12">
        <f t="shared" si="572"/>
        <v>65535</v>
      </c>
      <c r="AL161" s="12" t="str">
        <f t="shared" si="573"/>
        <v>-</v>
      </c>
      <c r="AM161" s="22">
        <f t="shared" si="617"/>
        <v>0</v>
      </c>
      <c r="AN161" s="12">
        <f t="shared" si="574"/>
        <v>0</v>
      </c>
      <c r="AO161" s="22" t="str">
        <f ca="1">IF(AF161="-",VLOOKUP(AD161,MemoryView!$A$3:$F$108,6,0),MID(VLOOKUP(AF161,MemoryView!$BD$3:$BE$108,2,0),15-AI161+1,AH161))</f>
        <v>0000000000000000</v>
      </c>
      <c r="AP161" s="22">
        <f t="shared" ca="1" si="575"/>
        <v>0</v>
      </c>
      <c r="AQ161" s="53" t="str">
        <f t="shared" si="576"/>
        <v>`EE_MNG.PATCH_AREA2.SET(0);        // [0..65535]</v>
      </c>
      <c r="AR161" s="54" t="str">
        <f t="shared" ca="1" si="577"/>
        <v>EE_MEM #(`PARAM(16'h105C, 0, 16, 0)) PATCH_AREA2(); bit unsigned [16-1:0] PATCH_AREA2_V; assign PATCH_AREA2_V = PATCH_AREA2.GET;</v>
      </c>
      <c r="AS161" s="12" t="str">
        <f t="shared" ca="1" si="578"/>
        <v>EE_PATCH_AREA2</v>
      </c>
    </row>
    <row r="162" spans="2:45">
      <c r="B162" s="47" t="str">
        <f t="shared" ca="1" si="560"/>
        <v>CUST</v>
      </c>
      <c r="C162" s="47" t="s">
        <v>128</v>
      </c>
      <c r="D162" s="48" t="s">
        <v>58</v>
      </c>
      <c r="E162" s="60" t="str">
        <f ca="1">"0x"&amp;DEC2HEX(HEX2DEC(RIGHT(INDIRECT(ADDRESS(ROW()-1,COLUMN())),4))+2,4)</f>
        <v>0x105E</v>
      </c>
      <c r="F162" s="49">
        <v>16</v>
      </c>
      <c r="G162" s="49">
        <v>0</v>
      </c>
      <c r="H162" s="49">
        <v>0</v>
      </c>
      <c r="I162" s="49" t="s">
        <v>58</v>
      </c>
      <c r="J162" s="50" t="str">
        <f t="shared" si="561"/>
        <v>-</v>
      </c>
      <c r="K162" s="50">
        <f t="shared" si="562"/>
        <v>0</v>
      </c>
      <c r="L162" s="50">
        <f t="shared" si="563"/>
        <v>65535</v>
      </c>
      <c r="M162" s="51" t="s">
        <v>125</v>
      </c>
      <c r="N162" s="28"/>
      <c r="O162" s="52"/>
      <c r="P162" s="52"/>
      <c r="Q162" s="52"/>
      <c r="R162" s="52"/>
      <c r="S162" s="140"/>
      <c r="T162" s="165"/>
      <c r="U162" s="165"/>
      <c r="V162" s="165"/>
      <c r="W162" s="28"/>
      <c r="X162" s="52">
        <f t="shared" ca="1" si="564"/>
        <v>0</v>
      </c>
      <c r="Y162" s="32"/>
      <c r="AC162" s="12">
        <f t="shared" si="607"/>
        <v>1</v>
      </c>
      <c r="AD162" s="12" t="str">
        <f t="shared" ca="1" si="565"/>
        <v>0x105E</v>
      </c>
      <c r="AE162" s="12" t="str">
        <f t="shared" si="566"/>
        <v>EE_PATCH_AREA3</v>
      </c>
      <c r="AF162" s="12" t="str">
        <f t="shared" si="567"/>
        <v>-</v>
      </c>
      <c r="AG162" s="12" t="str">
        <f t="shared" si="568"/>
        <v>-</v>
      </c>
      <c r="AH162" s="12" t="str">
        <f t="shared" si="569"/>
        <v>-</v>
      </c>
      <c r="AI162" s="12" t="str">
        <f t="shared" si="570"/>
        <v>-</v>
      </c>
      <c r="AJ162" s="12" t="str">
        <f t="shared" si="571"/>
        <v>-</v>
      </c>
      <c r="AK162" s="12" t="str">
        <f t="shared" ca="1" si="572"/>
        <v>0x105E</v>
      </c>
      <c r="AL162" s="12" t="str">
        <f t="shared" ca="1" si="573"/>
        <v>CUST</v>
      </c>
      <c r="AM162" s="22">
        <f t="shared" si="617"/>
        <v>0</v>
      </c>
      <c r="AN162" s="12" t="str">
        <f t="shared" ca="1" si="574"/>
        <v>0x105E</v>
      </c>
      <c r="AO162" s="22" t="str">
        <f ca="1">IF(AF162="-",VLOOKUP(AD162,MemoryView!$A$3:$F$108,6,0),MID(VLOOKUP(AF162,MemoryView!$BD$3:$BE$108,2,0),15-AI162+1,AH162))</f>
        <v>0000</v>
      </c>
      <c r="AP162" s="22">
        <f t="shared" ca="1" si="575"/>
        <v>0</v>
      </c>
      <c r="AQ162" s="53" t="str">
        <f t="shared" si="576"/>
        <v>-</v>
      </c>
      <c r="AR162" s="54" t="str">
        <f t="shared" ca="1" si="577"/>
        <v>EE_MEM #(`PARAM(16'h105E, 0, 16, 0)) EE_PATCH_AREA3(); bit unsigned [16-1:0] EE_PATCH_AREA3_V; assign EE_PATCH_AREA3_V = EE_PATCH_AREA3.GET;</v>
      </c>
      <c r="AS162" s="12" t="str">
        <f t="shared" ca="1" si="578"/>
        <v>EE_PATCH_AREA3</v>
      </c>
    </row>
    <row r="163" spans="2:45">
      <c r="B163" s="55" t="str">
        <f t="shared" ca="1" si="560"/>
        <v>CUST</v>
      </c>
      <c r="C163" s="55" t="s">
        <v>58</v>
      </c>
      <c r="D163" s="56" t="str">
        <f>RIGHT(C162,LEN(C162)-3)</f>
        <v>PATCH_AREA3</v>
      </c>
      <c r="E163" s="57" t="str">
        <f ca="1">INDIRECT(ADDRESS(ROW()-1,COLUMN()))</f>
        <v>0x105E</v>
      </c>
      <c r="F163" s="57">
        <v>16</v>
      </c>
      <c r="G163" s="57">
        <v>0</v>
      </c>
      <c r="H163" s="57">
        <v>0</v>
      </c>
      <c r="I163" s="57" t="s">
        <v>68</v>
      </c>
      <c r="J163" s="50" t="str">
        <f t="shared" si="561"/>
        <v>[15:0]</v>
      </c>
      <c r="K163" s="50">
        <f t="shared" si="562"/>
        <v>0</v>
      </c>
      <c r="L163" s="50">
        <f t="shared" si="563"/>
        <v>65535</v>
      </c>
      <c r="M163" s="58" t="s">
        <v>125</v>
      </c>
      <c r="N163" s="28"/>
      <c r="O163" s="57">
        <v>0</v>
      </c>
      <c r="P163" s="57">
        <f>O163</f>
        <v>0</v>
      </c>
      <c r="Q163" s="57">
        <f>O163</f>
        <v>0</v>
      </c>
      <c r="R163" s="57">
        <f>O163</f>
        <v>0</v>
      </c>
      <c r="S163" s="163">
        <f>P163</f>
        <v>0</v>
      </c>
      <c r="T163" s="163">
        <v>0</v>
      </c>
      <c r="U163" s="163">
        <v>41690</v>
      </c>
      <c r="V163" s="163">
        <v>0</v>
      </c>
      <c r="W163" s="59"/>
      <c r="X163" s="57">
        <f t="shared" ca="1" si="564"/>
        <v>0</v>
      </c>
      <c r="Y163" s="32"/>
      <c r="AC163" s="12" t="b">
        <f t="shared" si="607"/>
        <v>1</v>
      </c>
      <c r="AD163" s="12" t="str">
        <f t="shared" si="565"/>
        <v>-</v>
      </c>
      <c r="AE163" s="12" t="str">
        <f t="shared" si="566"/>
        <v>-</v>
      </c>
      <c r="AF163" s="12" t="str">
        <f t="shared" ca="1" si="567"/>
        <v>0x105E</v>
      </c>
      <c r="AG163" s="12" t="str">
        <f t="shared" si="568"/>
        <v>PATCH_AREA3</v>
      </c>
      <c r="AH163" s="12">
        <f t="shared" si="569"/>
        <v>16</v>
      </c>
      <c r="AI163" s="12">
        <f t="shared" si="570"/>
        <v>15</v>
      </c>
      <c r="AJ163" s="12">
        <f t="shared" si="571"/>
        <v>0</v>
      </c>
      <c r="AK163" s="12">
        <f t="shared" si="572"/>
        <v>65535</v>
      </c>
      <c r="AL163" s="12" t="str">
        <f t="shared" si="573"/>
        <v>-</v>
      </c>
      <c r="AM163" s="22">
        <f t="shared" si="617"/>
        <v>0</v>
      </c>
      <c r="AN163" s="12">
        <f t="shared" si="574"/>
        <v>0</v>
      </c>
      <c r="AO163" s="22" t="str">
        <f ca="1">IF(AF163="-",VLOOKUP(AD163,MemoryView!$A$3:$F$108,6,0),MID(VLOOKUP(AF163,MemoryView!$BD$3:$BE$108,2,0),15-AI163+1,AH163))</f>
        <v>0000000000000000</v>
      </c>
      <c r="AP163" s="22">
        <f t="shared" ca="1" si="575"/>
        <v>0</v>
      </c>
      <c r="AQ163" s="53" t="str">
        <f t="shared" si="576"/>
        <v>`EE_MNG.PATCH_AREA3.SET(0);        // [0..65535]</v>
      </c>
      <c r="AR163" s="54" t="str">
        <f t="shared" ca="1" si="577"/>
        <v>EE_MEM #(`PARAM(16'h105E, 0, 16, 0)) PATCH_AREA3(); bit unsigned [16-1:0] PATCH_AREA3_V; assign PATCH_AREA3_V = PATCH_AREA3.GET;</v>
      </c>
      <c r="AS163" s="12" t="str">
        <f t="shared" ca="1" si="578"/>
        <v>EE_PATCH_AREA3</v>
      </c>
    </row>
    <row r="164" spans="2:45">
      <c r="B164" s="47" t="str">
        <f t="shared" ca="1" si="560"/>
        <v>CUST</v>
      </c>
      <c r="C164" s="47" t="s">
        <v>129</v>
      </c>
      <c r="D164" s="48" t="s">
        <v>58</v>
      </c>
      <c r="E164" s="60" t="str">
        <f ca="1">"0x"&amp;DEC2HEX(HEX2DEC(RIGHT(INDIRECT(ADDRESS(ROW()-1,COLUMN())),4))+2,4)</f>
        <v>0x1060</v>
      </c>
      <c r="F164" s="49">
        <v>16</v>
      </c>
      <c r="G164" s="49">
        <v>0</v>
      </c>
      <c r="H164" s="49">
        <v>0</v>
      </c>
      <c r="I164" s="49" t="s">
        <v>58</v>
      </c>
      <c r="J164" s="50" t="str">
        <f t="shared" si="561"/>
        <v>-</v>
      </c>
      <c r="K164" s="50">
        <f t="shared" si="562"/>
        <v>0</v>
      </c>
      <c r="L164" s="50">
        <f t="shared" si="563"/>
        <v>65535</v>
      </c>
      <c r="M164" s="51" t="s">
        <v>125</v>
      </c>
      <c r="N164" s="28"/>
      <c r="O164" s="52"/>
      <c r="P164" s="52"/>
      <c r="Q164" s="52"/>
      <c r="R164" s="52"/>
      <c r="S164" s="140"/>
      <c r="T164" s="165"/>
      <c r="U164" s="165"/>
      <c r="V164" s="165"/>
      <c r="W164" s="28"/>
      <c r="X164" s="52">
        <f t="shared" ca="1" si="564"/>
        <v>0</v>
      </c>
      <c r="Y164" s="32"/>
      <c r="AC164" s="12">
        <f t="shared" si="607"/>
        <v>1</v>
      </c>
      <c r="AD164" s="12" t="str">
        <f t="shared" ca="1" si="565"/>
        <v>0x1060</v>
      </c>
      <c r="AE164" s="12" t="str">
        <f t="shared" si="566"/>
        <v>EE_PATCH_AREA4</v>
      </c>
      <c r="AF164" s="12" t="str">
        <f t="shared" si="567"/>
        <v>-</v>
      </c>
      <c r="AG164" s="12" t="str">
        <f t="shared" si="568"/>
        <v>-</v>
      </c>
      <c r="AH164" s="12" t="str">
        <f t="shared" si="569"/>
        <v>-</v>
      </c>
      <c r="AI164" s="12" t="str">
        <f t="shared" si="570"/>
        <v>-</v>
      </c>
      <c r="AJ164" s="12" t="str">
        <f t="shared" si="571"/>
        <v>-</v>
      </c>
      <c r="AK164" s="12" t="str">
        <f t="shared" ca="1" si="572"/>
        <v>0x1060</v>
      </c>
      <c r="AL164" s="12" t="str">
        <f t="shared" ca="1" si="573"/>
        <v>CUST</v>
      </c>
      <c r="AM164" s="22">
        <f t="shared" si="617"/>
        <v>0</v>
      </c>
      <c r="AN164" s="12" t="str">
        <f t="shared" ca="1" si="574"/>
        <v>0x1060</v>
      </c>
      <c r="AO164" s="22" t="str">
        <f ca="1">IF(AF164="-",VLOOKUP(AD164,MemoryView!$A$3:$F$108,6,0),MID(VLOOKUP(AF164,MemoryView!$BD$3:$BE$108,2,0),15-AI164+1,AH164))</f>
        <v>0000</v>
      </c>
      <c r="AP164" s="22">
        <f t="shared" ca="1" si="575"/>
        <v>0</v>
      </c>
      <c r="AQ164" s="53" t="str">
        <f t="shared" si="576"/>
        <v>-</v>
      </c>
      <c r="AR164" s="54" t="str">
        <f t="shared" ca="1" si="577"/>
        <v>EE_MEM #(`PARAM(16'h1060, 0, 16, 0)) EE_PATCH_AREA4(); bit unsigned [16-1:0] EE_PATCH_AREA4_V; assign EE_PATCH_AREA4_V = EE_PATCH_AREA4.GET;</v>
      </c>
      <c r="AS164" s="12" t="str">
        <f t="shared" ca="1" si="578"/>
        <v>EE_PATCH_AREA4</v>
      </c>
    </row>
    <row r="165" spans="2:45">
      <c r="B165" s="55" t="str">
        <f t="shared" ca="1" si="560"/>
        <v>CUST</v>
      </c>
      <c r="C165" s="55" t="s">
        <v>58</v>
      </c>
      <c r="D165" s="56" t="str">
        <f>RIGHT(C164,LEN(C164)-3)</f>
        <v>PATCH_AREA4</v>
      </c>
      <c r="E165" s="57" t="str">
        <f ca="1">INDIRECT(ADDRESS(ROW()-1,COLUMN()))</f>
        <v>0x1060</v>
      </c>
      <c r="F165" s="57">
        <v>16</v>
      </c>
      <c r="G165" s="57">
        <v>0</v>
      </c>
      <c r="H165" s="57">
        <v>0</v>
      </c>
      <c r="I165" s="57" t="s">
        <v>68</v>
      </c>
      <c r="J165" s="50" t="str">
        <f t="shared" si="561"/>
        <v>[15:0]</v>
      </c>
      <c r="K165" s="50">
        <f t="shared" si="562"/>
        <v>0</v>
      </c>
      <c r="L165" s="50">
        <f t="shared" si="563"/>
        <v>65535</v>
      </c>
      <c r="M165" s="58" t="s">
        <v>125</v>
      </c>
      <c r="N165" s="28"/>
      <c r="O165" s="57">
        <v>0</v>
      </c>
      <c r="P165" s="57">
        <f>O165</f>
        <v>0</v>
      </c>
      <c r="Q165" s="57">
        <f>O165</f>
        <v>0</v>
      </c>
      <c r="R165" s="57">
        <f>O165</f>
        <v>0</v>
      </c>
      <c r="S165" s="163">
        <f>P165</f>
        <v>0</v>
      </c>
      <c r="T165" s="163">
        <v>0</v>
      </c>
      <c r="U165" s="163">
        <v>0</v>
      </c>
      <c r="V165" s="163">
        <v>0</v>
      </c>
      <c r="W165" s="59"/>
      <c r="X165" s="57">
        <f t="shared" ca="1" si="564"/>
        <v>0</v>
      </c>
      <c r="Y165" s="32"/>
      <c r="AC165" s="12" t="b">
        <f t="shared" si="607"/>
        <v>1</v>
      </c>
      <c r="AD165" s="12" t="str">
        <f t="shared" si="565"/>
        <v>-</v>
      </c>
      <c r="AE165" s="12" t="str">
        <f t="shared" si="566"/>
        <v>-</v>
      </c>
      <c r="AF165" s="12" t="str">
        <f t="shared" ca="1" si="567"/>
        <v>0x1060</v>
      </c>
      <c r="AG165" s="12" t="str">
        <f t="shared" si="568"/>
        <v>PATCH_AREA4</v>
      </c>
      <c r="AH165" s="12">
        <f t="shared" si="569"/>
        <v>16</v>
      </c>
      <c r="AI165" s="12">
        <f t="shared" si="570"/>
        <v>15</v>
      </c>
      <c r="AJ165" s="12">
        <f t="shared" si="571"/>
        <v>0</v>
      </c>
      <c r="AK165" s="12">
        <f t="shared" si="572"/>
        <v>65535</v>
      </c>
      <c r="AL165" s="12" t="str">
        <f t="shared" si="573"/>
        <v>-</v>
      </c>
      <c r="AM165" s="22">
        <f t="shared" si="617"/>
        <v>0</v>
      </c>
      <c r="AN165" s="12">
        <f t="shared" si="574"/>
        <v>0</v>
      </c>
      <c r="AO165" s="22" t="str">
        <f ca="1">IF(AF165="-",VLOOKUP(AD165,MemoryView!$A$3:$F$108,6,0),MID(VLOOKUP(AF165,MemoryView!$BD$3:$BE$108,2,0),15-AI165+1,AH165))</f>
        <v>0000000000000000</v>
      </c>
      <c r="AP165" s="22">
        <f t="shared" ca="1" si="575"/>
        <v>0</v>
      </c>
      <c r="AQ165" s="53" t="str">
        <f t="shared" si="576"/>
        <v>`EE_MNG.PATCH_AREA4.SET(0);        // [0..65535]</v>
      </c>
      <c r="AR165" s="54" t="str">
        <f t="shared" ca="1" si="577"/>
        <v>EE_MEM #(`PARAM(16'h1060, 0, 16, 0)) PATCH_AREA4(); bit unsigned [16-1:0] PATCH_AREA4_V; assign PATCH_AREA4_V = PATCH_AREA4.GET;</v>
      </c>
      <c r="AS165" s="12" t="str">
        <f t="shared" ca="1" si="578"/>
        <v>EE_PATCH_AREA4</v>
      </c>
    </row>
    <row r="166" spans="2:45">
      <c r="B166" s="47" t="str">
        <f t="shared" ca="1" si="560"/>
        <v>CUST</v>
      </c>
      <c r="C166" s="47" t="s">
        <v>130</v>
      </c>
      <c r="D166" s="48" t="s">
        <v>58</v>
      </c>
      <c r="E166" s="60" t="str">
        <f ca="1">"0x"&amp;DEC2HEX(HEX2DEC(RIGHT(INDIRECT(ADDRESS(ROW()-1,COLUMN())),4))+2,4)</f>
        <v>0x1062</v>
      </c>
      <c r="F166" s="49">
        <v>16</v>
      </c>
      <c r="G166" s="49">
        <v>0</v>
      </c>
      <c r="H166" s="49">
        <v>0</v>
      </c>
      <c r="I166" s="49" t="s">
        <v>58</v>
      </c>
      <c r="J166" s="50" t="str">
        <f t="shared" si="561"/>
        <v>-</v>
      </c>
      <c r="K166" s="50">
        <f t="shared" si="562"/>
        <v>0</v>
      </c>
      <c r="L166" s="50">
        <f t="shared" si="563"/>
        <v>65535</v>
      </c>
      <c r="M166" s="51" t="s">
        <v>125</v>
      </c>
      <c r="N166" s="28"/>
      <c r="O166" s="52"/>
      <c r="P166" s="52"/>
      <c r="Q166" s="52"/>
      <c r="R166" s="52"/>
      <c r="S166" s="140"/>
      <c r="T166" s="165"/>
      <c r="U166" s="165"/>
      <c r="V166" s="165"/>
      <c r="W166" s="28"/>
      <c r="X166" s="52">
        <f t="shared" ca="1" si="564"/>
        <v>0</v>
      </c>
      <c r="Y166" s="32"/>
      <c r="AC166" s="12">
        <f t="shared" si="607"/>
        <v>1</v>
      </c>
      <c r="AD166" s="12" t="str">
        <f t="shared" ca="1" si="565"/>
        <v>0x1062</v>
      </c>
      <c r="AE166" s="12" t="str">
        <f t="shared" si="566"/>
        <v>EE_PATCH_AREA5</v>
      </c>
      <c r="AF166" s="12" t="str">
        <f t="shared" si="567"/>
        <v>-</v>
      </c>
      <c r="AG166" s="12" t="str">
        <f t="shared" si="568"/>
        <v>-</v>
      </c>
      <c r="AH166" s="12" t="str">
        <f t="shared" si="569"/>
        <v>-</v>
      </c>
      <c r="AI166" s="12" t="str">
        <f t="shared" si="570"/>
        <v>-</v>
      </c>
      <c r="AJ166" s="12" t="str">
        <f t="shared" si="571"/>
        <v>-</v>
      </c>
      <c r="AK166" s="12" t="str">
        <f t="shared" ca="1" si="572"/>
        <v>0x1062</v>
      </c>
      <c r="AL166" s="12" t="str">
        <f t="shared" ca="1" si="573"/>
        <v>CUST</v>
      </c>
      <c r="AM166" s="22">
        <f t="shared" si="617"/>
        <v>0</v>
      </c>
      <c r="AN166" s="12" t="str">
        <f t="shared" ca="1" si="574"/>
        <v>0x1062</v>
      </c>
      <c r="AO166" s="22" t="str">
        <f ca="1">IF(AF166="-",VLOOKUP(AD166,MemoryView!$A$3:$F$108,6,0),MID(VLOOKUP(AF166,MemoryView!$BD$3:$BE$108,2,0),15-AI166+1,AH166))</f>
        <v>0000</v>
      </c>
      <c r="AP166" s="22">
        <f t="shared" ca="1" si="575"/>
        <v>0</v>
      </c>
      <c r="AQ166" s="53" t="str">
        <f t="shared" si="576"/>
        <v>-</v>
      </c>
      <c r="AR166" s="54" t="str">
        <f t="shared" ca="1" si="577"/>
        <v>EE_MEM #(`PARAM(16'h1062, 0, 16, 0)) EE_PATCH_AREA5(); bit unsigned [16-1:0] EE_PATCH_AREA5_V; assign EE_PATCH_AREA5_V = EE_PATCH_AREA5.GET;</v>
      </c>
      <c r="AS166" s="12" t="str">
        <f t="shared" ca="1" si="578"/>
        <v>EE_PATCH_AREA5</v>
      </c>
    </row>
    <row r="167" spans="2:45">
      <c r="B167" s="55" t="str">
        <f t="shared" ca="1" si="560"/>
        <v>CUST</v>
      </c>
      <c r="C167" s="55" t="s">
        <v>58</v>
      </c>
      <c r="D167" s="56" t="str">
        <f>RIGHT(C166,LEN(C166)-3)</f>
        <v>PATCH_AREA5</v>
      </c>
      <c r="E167" s="57" t="str">
        <f ca="1">INDIRECT(ADDRESS(ROW()-1,COLUMN()))</f>
        <v>0x1062</v>
      </c>
      <c r="F167" s="57">
        <v>16</v>
      </c>
      <c r="G167" s="57">
        <v>0</v>
      </c>
      <c r="H167" s="57">
        <v>0</v>
      </c>
      <c r="I167" s="57" t="s">
        <v>68</v>
      </c>
      <c r="J167" s="50" t="str">
        <f t="shared" si="561"/>
        <v>[15:0]</v>
      </c>
      <c r="K167" s="50">
        <f t="shared" si="562"/>
        <v>0</v>
      </c>
      <c r="L167" s="50">
        <f t="shared" si="563"/>
        <v>65535</v>
      </c>
      <c r="M167" s="58" t="s">
        <v>125</v>
      </c>
      <c r="N167" s="28"/>
      <c r="O167" s="57">
        <v>0</v>
      </c>
      <c r="P167" s="57">
        <f>O167</f>
        <v>0</v>
      </c>
      <c r="Q167" s="57">
        <f>O167</f>
        <v>0</v>
      </c>
      <c r="R167" s="57">
        <f>O167</f>
        <v>0</v>
      </c>
      <c r="S167" s="163">
        <f>P167</f>
        <v>0</v>
      </c>
      <c r="T167" s="163">
        <v>0</v>
      </c>
      <c r="U167" s="163">
        <v>21706</v>
      </c>
      <c r="V167" s="163">
        <v>0</v>
      </c>
      <c r="W167" s="59"/>
      <c r="X167" s="57">
        <f t="shared" ca="1" si="564"/>
        <v>0</v>
      </c>
      <c r="Y167" s="32"/>
      <c r="AC167" s="12" t="b">
        <f t="shared" si="607"/>
        <v>1</v>
      </c>
      <c r="AD167" s="12" t="str">
        <f t="shared" si="565"/>
        <v>-</v>
      </c>
      <c r="AE167" s="12" t="str">
        <f t="shared" si="566"/>
        <v>-</v>
      </c>
      <c r="AF167" s="12" t="str">
        <f t="shared" ca="1" si="567"/>
        <v>0x1062</v>
      </c>
      <c r="AG167" s="12" t="str">
        <f t="shared" si="568"/>
        <v>PATCH_AREA5</v>
      </c>
      <c r="AH167" s="12">
        <f t="shared" si="569"/>
        <v>16</v>
      </c>
      <c r="AI167" s="12">
        <f t="shared" si="570"/>
        <v>15</v>
      </c>
      <c r="AJ167" s="12">
        <f t="shared" si="571"/>
        <v>0</v>
      </c>
      <c r="AK167" s="12">
        <f t="shared" si="572"/>
        <v>65535</v>
      </c>
      <c r="AL167" s="12" t="str">
        <f t="shared" si="573"/>
        <v>-</v>
      </c>
      <c r="AM167" s="22">
        <f t="shared" si="617"/>
        <v>0</v>
      </c>
      <c r="AN167" s="12">
        <f t="shared" si="574"/>
        <v>0</v>
      </c>
      <c r="AO167" s="22" t="str">
        <f ca="1">IF(AF167="-",VLOOKUP(AD167,MemoryView!$A$3:$F$108,6,0),MID(VLOOKUP(AF167,MemoryView!$BD$3:$BE$108,2,0),15-AI167+1,AH167))</f>
        <v>0000000000000000</v>
      </c>
      <c r="AP167" s="22">
        <f t="shared" ca="1" si="575"/>
        <v>0</v>
      </c>
      <c r="AQ167" s="53" t="str">
        <f t="shared" si="576"/>
        <v>`EE_MNG.PATCH_AREA5.SET(0);        // [0..65535]</v>
      </c>
      <c r="AR167" s="54" t="str">
        <f t="shared" ca="1" si="577"/>
        <v>EE_MEM #(`PARAM(16'h1062, 0, 16, 0)) PATCH_AREA5(); bit unsigned [16-1:0] PATCH_AREA5_V; assign PATCH_AREA5_V = PATCH_AREA5.GET;</v>
      </c>
      <c r="AS167" s="12" t="str">
        <f t="shared" ca="1" si="578"/>
        <v>EE_PATCH_AREA5</v>
      </c>
    </row>
    <row r="168" spans="2:45">
      <c r="B168" s="47" t="str">
        <f t="shared" ca="1" si="560"/>
        <v>CUST</v>
      </c>
      <c r="C168" s="47" t="s">
        <v>131</v>
      </c>
      <c r="D168" s="48" t="s">
        <v>58</v>
      </c>
      <c r="E168" s="60" t="str">
        <f ca="1">"0x"&amp;DEC2HEX(HEX2DEC(RIGHT(INDIRECT(ADDRESS(ROW()-1,COLUMN())),4))+2,4)</f>
        <v>0x1064</v>
      </c>
      <c r="F168" s="49">
        <v>16</v>
      </c>
      <c r="G168" s="49">
        <v>0</v>
      </c>
      <c r="H168" s="49">
        <v>0</v>
      </c>
      <c r="I168" s="49" t="s">
        <v>58</v>
      </c>
      <c r="J168" s="50" t="str">
        <f t="shared" si="561"/>
        <v>-</v>
      </c>
      <c r="K168" s="50">
        <f t="shared" si="562"/>
        <v>0</v>
      </c>
      <c r="L168" s="50">
        <f t="shared" si="563"/>
        <v>65535</v>
      </c>
      <c r="M168" s="51" t="s">
        <v>125</v>
      </c>
      <c r="N168" s="28"/>
      <c r="O168" s="52"/>
      <c r="P168" s="52"/>
      <c r="Q168" s="52"/>
      <c r="R168" s="52"/>
      <c r="S168" s="140"/>
      <c r="T168" s="165"/>
      <c r="U168" s="165"/>
      <c r="V168" s="165"/>
      <c r="W168" s="28"/>
      <c r="X168" s="52">
        <f t="shared" ca="1" si="564"/>
        <v>0</v>
      </c>
      <c r="Y168" s="32"/>
      <c r="AC168" s="12">
        <f t="shared" si="607"/>
        <v>1</v>
      </c>
      <c r="AD168" s="12" t="str">
        <f t="shared" ca="1" si="565"/>
        <v>0x1064</v>
      </c>
      <c r="AE168" s="12" t="str">
        <f t="shared" si="566"/>
        <v>EE_PATCH_AREA6</v>
      </c>
      <c r="AF168" s="12" t="str">
        <f t="shared" si="567"/>
        <v>-</v>
      </c>
      <c r="AG168" s="12" t="str">
        <f t="shared" si="568"/>
        <v>-</v>
      </c>
      <c r="AH168" s="12" t="str">
        <f t="shared" si="569"/>
        <v>-</v>
      </c>
      <c r="AI168" s="12" t="str">
        <f t="shared" si="570"/>
        <v>-</v>
      </c>
      <c r="AJ168" s="12" t="str">
        <f t="shared" si="571"/>
        <v>-</v>
      </c>
      <c r="AK168" s="12" t="str">
        <f t="shared" ca="1" si="572"/>
        <v>0x1064</v>
      </c>
      <c r="AL168" s="12" t="str">
        <f t="shared" ca="1" si="573"/>
        <v>CUST</v>
      </c>
      <c r="AM168" s="22">
        <f t="shared" si="617"/>
        <v>0</v>
      </c>
      <c r="AN168" s="12" t="str">
        <f t="shared" ca="1" si="574"/>
        <v>0x1064</v>
      </c>
      <c r="AO168" s="22" t="str">
        <f ca="1">IF(AF168="-",VLOOKUP(AD168,MemoryView!$A$3:$F$108,6,0),MID(VLOOKUP(AF168,MemoryView!$BD$3:$BE$108,2,0),15-AI168+1,AH168))</f>
        <v>0000</v>
      </c>
      <c r="AP168" s="22">
        <f t="shared" ca="1" si="575"/>
        <v>0</v>
      </c>
      <c r="AQ168" s="53" t="str">
        <f t="shared" si="576"/>
        <v>-</v>
      </c>
      <c r="AR168" s="54" t="str">
        <f t="shared" ca="1" si="577"/>
        <v>EE_MEM #(`PARAM(16'h1064, 0, 16, 0)) EE_PATCH_AREA6(); bit unsigned [16-1:0] EE_PATCH_AREA6_V; assign EE_PATCH_AREA6_V = EE_PATCH_AREA6.GET;</v>
      </c>
      <c r="AS168" s="12" t="str">
        <f t="shared" ca="1" si="578"/>
        <v>EE_PATCH_AREA6</v>
      </c>
    </row>
    <row r="169" spans="2:45">
      <c r="B169" s="55" t="str">
        <f t="shared" ca="1" si="560"/>
        <v>CUST</v>
      </c>
      <c r="C169" s="55" t="s">
        <v>58</v>
      </c>
      <c r="D169" s="56" t="str">
        <f>RIGHT(C168,LEN(C168)-3)</f>
        <v>PATCH_AREA6</v>
      </c>
      <c r="E169" s="57" t="str">
        <f ca="1">INDIRECT(ADDRESS(ROW()-1,COLUMN()))</f>
        <v>0x1064</v>
      </c>
      <c r="F169" s="57">
        <v>16</v>
      </c>
      <c r="G169" s="57">
        <v>0</v>
      </c>
      <c r="H169" s="57">
        <v>0</v>
      </c>
      <c r="I169" s="57" t="s">
        <v>68</v>
      </c>
      <c r="J169" s="50" t="str">
        <f t="shared" si="561"/>
        <v>[15:0]</v>
      </c>
      <c r="K169" s="50">
        <f t="shared" si="562"/>
        <v>0</v>
      </c>
      <c r="L169" s="50">
        <f t="shared" si="563"/>
        <v>65535</v>
      </c>
      <c r="M169" s="58" t="s">
        <v>125</v>
      </c>
      <c r="N169" s="28"/>
      <c r="O169" s="57">
        <v>0</v>
      </c>
      <c r="P169" s="57">
        <f>O169</f>
        <v>0</v>
      </c>
      <c r="Q169" s="57">
        <f>O169</f>
        <v>0</v>
      </c>
      <c r="R169" s="57">
        <f>O169</f>
        <v>0</v>
      </c>
      <c r="S169" s="163">
        <f>P169</f>
        <v>0</v>
      </c>
      <c r="T169" s="163">
        <v>0</v>
      </c>
      <c r="U169" s="163">
        <v>8202</v>
      </c>
      <c r="V169" s="163">
        <v>0</v>
      </c>
      <c r="W169" s="59"/>
      <c r="X169" s="57">
        <f t="shared" ca="1" si="564"/>
        <v>0</v>
      </c>
      <c r="Y169" s="32"/>
      <c r="AC169" s="12" t="b">
        <f t="shared" si="607"/>
        <v>1</v>
      </c>
      <c r="AD169" s="12" t="str">
        <f t="shared" si="565"/>
        <v>-</v>
      </c>
      <c r="AE169" s="12" t="str">
        <f t="shared" si="566"/>
        <v>-</v>
      </c>
      <c r="AF169" s="12" t="str">
        <f t="shared" ca="1" si="567"/>
        <v>0x1064</v>
      </c>
      <c r="AG169" s="12" t="str">
        <f t="shared" si="568"/>
        <v>PATCH_AREA6</v>
      </c>
      <c r="AH169" s="12">
        <f t="shared" si="569"/>
        <v>16</v>
      </c>
      <c r="AI169" s="12">
        <f t="shared" si="570"/>
        <v>15</v>
      </c>
      <c r="AJ169" s="12">
        <f t="shared" si="571"/>
        <v>0</v>
      </c>
      <c r="AK169" s="12">
        <f t="shared" si="572"/>
        <v>65535</v>
      </c>
      <c r="AL169" s="12" t="str">
        <f t="shared" si="573"/>
        <v>-</v>
      </c>
      <c r="AM169" s="22">
        <f t="shared" si="617"/>
        <v>0</v>
      </c>
      <c r="AN169" s="12">
        <f t="shared" si="574"/>
        <v>0</v>
      </c>
      <c r="AO169" s="22" t="str">
        <f ca="1">IF(AF169="-",VLOOKUP(AD169,MemoryView!$A$3:$F$108,6,0),MID(VLOOKUP(AF169,MemoryView!$BD$3:$BE$108,2,0),15-AI169+1,AH169))</f>
        <v>0000000000000000</v>
      </c>
      <c r="AP169" s="22">
        <f t="shared" ca="1" si="575"/>
        <v>0</v>
      </c>
      <c r="AQ169" s="53" t="str">
        <f t="shared" si="576"/>
        <v>`EE_MNG.PATCH_AREA6.SET(0);        // [0..65535]</v>
      </c>
      <c r="AR169" s="54" t="str">
        <f t="shared" ca="1" si="577"/>
        <v>EE_MEM #(`PARAM(16'h1064, 0, 16, 0)) PATCH_AREA6(); bit unsigned [16-1:0] PATCH_AREA6_V; assign PATCH_AREA6_V = PATCH_AREA6.GET;</v>
      </c>
      <c r="AS169" s="12" t="str">
        <f t="shared" ca="1" si="578"/>
        <v>EE_PATCH_AREA6</v>
      </c>
    </row>
    <row r="170" spans="2:45">
      <c r="B170" s="47" t="str">
        <f t="shared" ca="1" si="560"/>
        <v>CUST</v>
      </c>
      <c r="C170" s="47" t="s">
        <v>471</v>
      </c>
      <c r="D170" s="48" t="s">
        <v>58</v>
      </c>
      <c r="E170" s="60" t="str">
        <f ca="1">"0x"&amp;DEC2HEX(HEX2DEC(RIGHT(INDIRECT(ADDRESS(ROW()-1,COLUMN())),4))+2,4)</f>
        <v>0x1066</v>
      </c>
      <c r="F170" s="49">
        <v>16</v>
      </c>
      <c r="G170" s="49">
        <v>0</v>
      </c>
      <c r="H170" s="49">
        <v>1</v>
      </c>
      <c r="I170" s="49" t="s">
        <v>58</v>
      </c>
      <c r="J170" s="50" t="str">
        <f t="shared" si="561"/>
        <v>-</v>
      </c>
      <c r="K170" s="50">
        <f t="shared" si="562"/>
        <v>-32768</v>
      </c>
      <c r="L170" s="50">
        <f t="shared" si="563"/>
        <v>32767</v>
      </c>
      <c r="M170" s="51" t="s">
        <v>482</v>
      </c>
      <c r="N170" s="28"/>
      <c r="O170" s="52"/>
      <c r="P170" s="52"/>
      <c r="Q170" s="52"/>
      <c r="R170" s="52"/>
      <c r="S170" s="140"/>
      <c r="T170" s="165"/>
      <c r="U170" s="165"/>
      <c r="V170" s="165"/>
      <c r="W170" s="28"/>
      <c r="X170" s="52">
        <f t="shared" ca="1" si="564"/>
        <v>9830</v>
      </c>
      <c r="Y170" s="32"/>
      <c r="AC170" s="12">
        <f t="shared" si="607"/>
        <v>1</v>
      </c>
      <c r="AD170" s="12" t="str">
        <f t="shared" ca="1" si="565"/>
        <v>0x1066</v>
      </c>
      <c r="AE170" s="12" t="str">
        <f t="shared" si="566"/>
        <v>EE_P0_2</v>
      </c>
      <c r="AF170" s="12" t="str">
        <f t="shared" si="567"/>
        <v>-</v>
      </c>
      <c r="AG170" s="12" t="str">
        <f t="shared" si="568"/>
        <v>-</v>
      </c>
      <c r="AH170" s="12" t="str">
        <f t="shared" si="569"/>
        <v>-</v>
      </c>
      <c r="AI170" s="12" t="str">
        <f t="shared" si="570"/>
        <v>-</v>
      </c>
      <c r="AJ170" s="12" t="str">
        <f t="shared" si="571"/>
        <v>-</v>
      </c>
      <c r="AK170" s="12" t="str">
        <f t="shared" ca="1" si="572"/>
        <v>0x1066</v>
      </c>
      <c r="AL170" s="12" t="str">
        <f t="shared" ca="1" si="573"/>
        <v>CUST</v>
      </c>
      <c r="AM170" s="22">
        <f t="shared" si="617"/>
        <v>0</v>
      </c>
      <c r="AN170" s="12" t="str">
        <f t="shared" ca="1" si="574"/>
        <v>0x1066</v>
      </c>
      <c r="AO170" s="22" t="str">
        <f ca="1">IF(AF170="-",VLOOKUP(AD170,MemoryView!$A$3:$F$108,6,0),MID(VLOOKUP(AF170,MemoryView!$BD$3:$BE$108,2,0),15-AI170+1,AH170))</f>
        <v>2666</v>
      </c>
      <c r="AP170" s="22">
        <f t="shared" ca="1" si="575"/>
        <v>9830</v>
      </c>
      <c r="AQ170" s="53" t="str">
        <f t="shared" si="576"/>
        <v>-</v>
      </c>
      <c r="AR170" s="54" t="str">
        <f t="shared" ca="1" si="577"/>
        <v>EE_MEM #(`PARAM(16'h1066, 0, 16, 1)) EE_P0_2(); bit signed [16-1:0] EE_P0_2_V; assign EE_P0_2_V = EE_P0_2.GET;</v>
      </c>
      <c r="AS170" s="12" t="str">
        <f t="shared" ca="1" si="578"/>
        <v>EE_P0_2</v>
      </c>
    </row>
    <row r="171" spans="2:45" ht="102">
      <c r="B171" s="55" t="str">
        <f t="shared" ref="B171:B191" ca="1" si="724">INDIRECT(ADDRESS(ROW()-1,COLUMN()))</f>
        <v>CUST</v>
      </c>
      <c r="C171" s="55" t="s">
        <v>58</v>
      </c>
      <c r="D171" s="56" t="str">
        <f>RIGHT(C170,LEN(C170)-3)</f>
        <v>P0_2</v>
      </c>
      <c r="E171" s="57" t="str">
        <f ca="1">INDIRECT(ADDRESS(ROW()-1,COLUMN()))</f>
        <v>0x1066</v>
      </c>
      <c r="F171" s="57">
        <v>16</v>
      </c>
      <c r="G171" s="57">
        <v>0</v>
      </c>
      <c r="H171" s="57">
        <v>1</v>
      </c>
      <c r="I171" s="57" t="s">
        <v>76</v>
      </c>
      <c r="J171" s="50" t="str">
        <f t="shared" ref="J171:J191" si="725">IF(D171&lt;&gt;"-","["&amp;AI171&amp;":"&amp;AJ171&amp;"]","-")</f>
        <v>[15:0]</v>
      </c>
      <c r="K171" s="50">
        <f t="shared" ref="K171:K191" si="726">IF(H171,-L171-1,0)</f>
        <v>-32768</v>
      </c>
      <c r="L171" s="50">
        <f t="shared" ref="L171:L191" si="727">IF(H171,FLOOR((2^F171-1)/2,1),2^F171-1)</f>
        <v>32767</v>
      </c>
      <c r="M171" s="61" t="s">
        <v>79</v>
      </c>
      <c r="N171" s="28"/>
      <c r="O171" s="57">
        <v>9830</v>
      </c>
      <c r="P171" s="57">
        <f>O171</f>
        <v>9830</v>
      </c>
      <c r="Q171" s="57">
        <f>O171</f>
        <v>9830</v>
      </c>
      <c r="R171" s="57">
        <f>O171</f>
        <v>9830</v>
      </c>
      <c r="S171" s="163">
        <f>P171</f>
        <v>9830</v>
      </c>
      <c r="T171" s="163">
        <v>9830</v>
      </c>
      <c r="U171" s="163">
        <v>21706</v>
      </c>
      <c r="V171" s="163">
        <f>S171</f>
        <v>9830</v>
      </c>
      <c r="W171" s="59"/>
      <c r="X171" s="57">
        <f t="shared" ref="X171:X191" ca="1" si="728">IF(H171=0,AP171,    IF(AP171&lt;=2^(F171-1)-1,AP171,AP171-2^F171)  )</f>
        <v>9830</v>
      </c>
      <c r="Y171" s="32"/>
      <c r="AC171" s="12" t="b">
        <f t="shared" si="607"/>
        <v>1</v>
      </c>
      <c r="AD171" s="12" t="str">
        <f t="shared" ref="AD171:AD191" si="729">IF(AND(D171="-",C171&lt;&gt;"-"),E171,"-")</f>
        <v>-</v>
      </c>
      <c r="AE171" s="12" t="str">
        <f t="shared" ref="AE171:AE191" si="730">IF(D171="-",C171,"-")</f>
        <v>-</v>
      </c>
      <c r="AF171" s="12" t="str">
        <f t="shared" ref="AF171:AF191" ca="1" si="731">IF(AND(D171&lt;&gt;"-",ISTEXT(D171)),E171,"-")</f>
        <v>0x1066</v>
      </c>
      <c r="AG171" s="12" t="str">
        <f t="shared" ref="AG171:AG191" si="732">IF(AND(D171&lt;&gt;"-",ISTEXT(D171)),D171,"-")</f>
        <v>P0_2</v>
      </c>
      <c r="AH171" s="12">
        <f t="shared" ref="AH171:AH191" si="733">IF(D171&lt;&gt;"-",F171,"-")</f>
        <v>16</v>
      </c>
      <c r="AI171" s="12">
        <f t="shared" ref="AI171:AI191" si="734">IF(D171&lt;&gt;"-",G171+F171-1,"-")</f>
        <v>15</v>
      </c>
      <c r="AJ171" s="12">
        <f t="shared" ref="AJ171:AJ191" si="735">IF(D171&lt;&gt;"-",G171,"-")</f>
        <v>0</v>
      </c>
      <c r="AK171" s="12">
        <f t="shared" ref="AK171:AK191" si="736">IF(OR(AH171="-",AJ171="-"),AD171,(2^AH171-1)*2^AJ171)</f>
        <v>65535</v>
      </c>
      <c r="AL171" s="12" t="str">
        <f t="shared" ref="AL171:AL191" si="737">IF(D171="-",B171,"-")</f>
        <v>-</v>
      </c>
      <c r="AM171" s="22">
        <f t="shared" si="617"/>
        <v>9830</v>
      </c>
      <c r="AN171" s="12">
        <f t="shared" ref="AN171:AN191" si="738">IF(OR(AH171="-",AJ171="-"),AD171,IF(AM171&lt;0,AM171+2^AH171,AM171)*2^AJ171)</f>
        <v>9830</v>
      </c>
      <c r="AO171" s="22" t="str">
        <f ca="1">IF(AF171="-",VLOOKUP(AD171,MemoryView!$A$3:$F$108,6,0),MID(VLOOKUP(AF171,MemoryView!$BD$3:$BE$108,2,0),15-AI171+1,AH171))</f>
        <v>0010011001100110</v>
      </c>
      <c r="AP171" s="22">
        <f t="shared" ref="AP171:AP191" ca="1" si="739">IF(AF171="-",HEX2DEC(AO171),IF(LEN(AO171)&gt;8,BIN2DEC(LEFT(AO171,LEN(AO171)-8))*2^8+BIN2DEC(RIGHT(AO171,8)),BIN2DEC(AO171)))</f>
        <v>9830</v>
      </c>
      <c r="AQ171" s="53" t="str">
        <f t="shared" ref="AQ171:AQ191" si="740">IF(AG171&lt;&gt;"-",CONCATENATE("`EE_MNG.",AG171,".SET(",AM171,");        // [",K171,"..",L171,"]"),"-")</f>
        <v>`EE_MNG.P0_2.SET(9830);        // [-32768..32767]</v>
      </c>
      <c r="AR171" s="54" t="str">
        <f t="shared" ref="AR171:AR191" ca="1" si="741">IF(AND(AD171="-",AE171="-",AF171="-",AG171="-"),"-",IF(AG171&lt;&gt;"-",CONCATENATE("EE_MEM #(`PARAM(16'h",RIGHT(AF171,4),", ",G171,", ",F171,", ",H171,")) ",AG171,"(); bit ",IF(H171=0,"unsigned [","signed ["),F171,"-1:0] ", AG171,"_V; assign ",AG171,"_V = ",AG171,".GET;"), CONCATENATE("EE_MEM #(`PARAM(16'h",RIGHT(AD171,4),", ",G171,", ",F171,", ",H171,")) ",AE171,"(); bit ",IF(H171=0,"unsigned [","signed ["),F171,"-1:0] ", AE171,"_V; assign ",AE171,"_V = ",AE171,".GET;")))</f>
        <v>EE_MEM #(`PARAM(16'h1066, 0, 16, 1)) P0_2(); bit signed [16-1:0] P0_2_V; assign P0_2_V = P0_2.GET;</v>
      </c>
      <c r="AS171" s="12" t="str">
        <f t="shared" ref="AS171:AS191" ca="1" si="742">IF(AG171="-",AE171,INDIRECT(ADDRESS(ROW()-1,COLUMN())))</f>
        <v>EE_P0_2</v>
      </c>
    </row>
    <row r="172" spans="2:45">
      <c r="B172" s="47" t="str">
        <f t="shared" ca="1" si="724"/>
        <v>CUST</v>
      </c>
      <c r="C172" s="47" t="s">
        <v>472</v>
      </c>
      <c r="D172" s="48" t="s">
        <v>58</v>
      </c>
      <c r="E172" s="60" t="str">
        <f ca="1">"0x"&amp;DEC2HEX(HEX2DEC(RIGHT(INDIRECT(ADDRESS(ROW()-1,COLUMN())),4))+2,4)</f>
        <v>0x1068</v>
      </c>
      <c r="F172" s="49">
        <v>16</v>
      </c>
      <c r="G172" s="49">
        <v>0</v>
      </c>
      <c r="H172" s="49">
        <v>1</v>
      </c>
      <c r="I172" s="49" t="s">
        <v>58</v>
      </c>
      <c r="J172" s="50" t="str">
        <f t="shared" si="725"/>
        <v>-</v>
      </c>
      <c r="K172" s="50">
        <f t="shared" si="726"/>
        <v>-32768</v>
      </c>
      <c r="L172" s="50">
        <f t="shared" si="727"/>
        <v>32767</v>
      </c>
      <c r="M172" s="51" t="s">
        <v>483</v>
      </c>
      <c r="N172" s="28"/>
      <c r="O172" s="52"/>
      <c r="P172" s="52"/>
      <c r="Q172" s="52"/>
      <c r="R172" s="52"/>
      <c r="S172" s="140"/>
      <c r="T172" s="165"/>
      <c r="U172" s="165"/>
      <c r="V172" s="165"/>
      <c r="W172" s="28"/>
      <c r="X172" s="52">
        <f t="shared" ca="1" si="728"/>
        <v>8178</v>
      </c>
      <c r="Y172" s="32"/>
      <c r="AC172" s="12">
        <f t="shared" si="607"/>
        <v>1</v>
      </c>
      <c r="AD172" s="12" t="str">
        <f t="shared" ca="1" si="729"/>
        <v>0x1068</v>
      </c>
      <c r="AE172" s="12" t="str">
        <f t="shared" si="730"/>
        <v>EE_A0_2</v>
      </c>
      <c r="AF172" s="12" t="str">
        <f t="shared" si="731"/>
        <v>-</v>
      </c>
      <c r="AG172" s="12" t="str">
        <f t="shared" si="732"/>
        <v>-</v>
      </c>
      <c r="AH172" s="12" t="str">
        <f t="shared" si="733"/>
        <v>-</v>
      </c>
      <c r="AI172" s="12" t="str">
        <f t="shared" si="734"/>
        <v>-</v>
      </c>
      <c r="AJ172" s="12" t="str">
        <f t="shared" si="735"/>
        <v>-</v>
      </c>
      <c r="AK172" s="12" t="str">
        <f t="shared" ca="1" si="736"/>
        <v>0x1068</v>
      </c>
      <c r="AL172" s="12" t="str">
        <f t="shared" ca="1" si="737"/>
        <v>CUST</v>
      </c>
      <c r="AM172" s="22">
        <f t="shared" si="617"/>
        <v>0</v>
      </c>
      <c r="AN172" s="12" t="str">
        <f t="shared" ca="1" si="738"/>
        <v>0x1068</v>
      </c>
      <c r="AO172" s="22" t="str">
        <f ca="1">IF(AF172="-",VLOOKUP(AD172,MemoryView!$A$3:$F$108,6,0),MID(VLOOKUP(AF172,MemoryView!$BD$3:$BE$108,2,0),15-AI172+1,AH172))</f>
        <v>1FF2</v>
      </c>
      <c r="AP172" s="22">
        <f t="shared" ca="1" si="739"/>
        <v>8178</v>
      </c>
      <c r="AQ172" s="53" t="str">
        <f t="shared" si="740"/>
        <v>-</v>
      </c>
      <c r="AR172" s="54" t="str">
        <f t="shared" ca="1" si="741"/>
        <v>EE_MEM #(`PARAM(16'h1068, 0, 16, 1)) EE_A0_2(); bit signed [16-1:0] EE_A0_2_V; assign EE_A0_2_V = EE_A0_2.GET;</v>
      </c>
      <c r="AS172" s="12" t="str">
        <f t="shared" ca="1" si="742"/>
        <v>EE_A0_2</v>
      </c>
    </row>
    <row r="173" spans="2:45">
      <c r="B173" s="55" t="str">
        <f t="shared" ca="1" si="724"/>
        <v>CUST</v>
      </c>
      <c r="C173" s="55" t="s">
        <v>58</v>
      </c>
      <c r="D173" s="56" t="str">
        <f>RIGHT(C172,LEN(C172)-3)</f>
        <v>A0_2</v>
      </c>
      <c r="E173" s="57" t="str">
        <f ca="1">INDIRECT(ADDRESS(ROW()-1,COLUMN()))</f>
        <v>0x1068</v>
      </c>
      <c r="F173" s="57">
        <v>16</v>
      </c>
      <c r="G173" s="57">
        <v>0</v>
      </c>
      <c r="H173" s="57">
        <v>1</v>
      </c>
      <c r="I173" s="57" t="s">
        <v>76</v>
      </c>
      <c r="J173" s="50" t="str">
        <f t="shared" si="725"/>
        <v>[15:0]</v>
      </c>
      <c r="K173" s="50">
        <f t="shared" si="726"/>
        <v>-32768</v>
      </c>
      <c r="L173" s="50">
        <f t="shared" si="727"/>
        <v>32767</v>
      </c>
      <c r="M173" s="61" t="s">
        <v>484</v>
      </c>
      <c r="N173" s="28"/>
      <c r="O173" s="57">
        <v>8178</v>
      </c>
      <c r="P173" s="57">
        <f>O173</f>
        <v>8178</v>
      </c>
      <c r="Q173" s="57">
        <f>O173</f>
        <v>8178</v>
      </c>
      <c r="R173" s="57">
        <f>O173</f>
        <v>8178</v>
      </c>
      <c r="S173" s="163">
        <f>P173</f>
        <v>8178</v>
      </c>
      <c r="T173" s="163">
        <v>8178</v>
      </c>
      <c r="U173" s="163">
        <v>2</v>
      </c>
      <c r="V173" s="163">
        <f>S173</f>
        <v>8178</v>
      </c>
      <c r="W173" s="59"/>
      <c r="X173" s="57">
        <f t="shared" ca="1" si="728"/>
        <v>8178</v>
      </c>
      <c r="Y173" s="32"/>
      <c r="AC173" s="12" t="b">
        <f t="shared" si="607"/>
        <v>1</v>
      </c>
      <c r="AD173" s="12" t="str">
        <f t="shared" si="729"/>
        <v>-</v>
      </c>
      <c r="AE173" s="12" t="str">
        <f t="shared" si="730"/>
        <v>-</v>
      </c>
      <c r="AF173" s="12" t="str">
        <f t="shared" ca="1" si="731"/>
        <v>0x1068</v>
      </c>
      <c r="AG173" s="12" t="str">
        <f t="shared" si="732"/>
        <v>A0_2</v>
      </c>
      <c r="AH173" s="12">
        <f t="shared" si="733"/>
        <v>16</v>
      </c>
      <c r="AI173" s="12">
        <f t="shared" si="734"/>
        <v>15</v>
      </c>
      <c r="AJ173" s="12">
        <f t="shared" si="735"/>
        <v>0</v>
      </c>
      <c r="AK173" s="12">
        <f t="shared" si="736"/>
        <v>65535</v>
      </c>
      <c r="AL173" s="12" t="str">
        <f t="shared" si="737"/>
        <v>-</v>
      </c>
      <c r="AM173" s="22">
        <f t="shared" si="617"/>
        <v>8178</v>
      </c>
      <c r="AN173" s="12">
        <f t="shared" si="738"/>
        <v>8178</v>
      </c>
      <c r="AO173" s="22" t="str">
        <f ca="1">IF(AF173="-",VLOOKUP(AD173,MemoryView!$A$3:$F$108,6,0),MID(VLOOKUP(AF173,MemoryView!$BD$3:$BE$108,2,0),15-AI173+1,AH173))</f>
        <v>0001111111110010</v>
      </c>
      <c r="AP173" s="22">
        <f t="shared" ca="1" si="739"/>
        <v>8178</v>
      </c>
      <c r="AQ173" s="53" t="str">
        <f t="shared" si="740"/>
        <v>`EE_MNG.A0_2.SET(8178);        // [-32768..32767]</v>
      </c>
      <c r="AR173" s="54" t="str">
        <f t="shared" ca="1" si="741"/>
        <v>EE_MEM #(`PARAM(16'h1068, 0, 16, 1)) A0_2(); bit signed [16-1:0] A0_2_V; assign A0_2_V = A0_2.GET;</v>
      </c>
      <c r="AS173" s="12" t="str">
        <f t="shared" ca="1" si="742"/>
        <v>EE_A0_2</v>
      </c>
    </row>
    <row r="174" spans="2:45">
      <c r="B174" s="47" t="str">
        <f t="shared" ca="1" si="724"/>
        <v>CUST</v>
      </c>
      <c r="C174" s="47" t="s">
        <v>473</v>
      </c>
      <c r="D174" s="48" t="s">
        <v>58</v>
      </c>
      <c r="E174" s="60" t="str">
        <f ca="1">"0x"&amp;DEC2HEX(HEX2DEC(RIGHT(INDIRECT(ADDRESS(ROW()-1,COLUMN())),4))+2,4)</f>
        <v>0x106A</v>
      </c>
      <c r="F174" s="49">
        <v>16</v>
      </c>
      <c r="G174" s="49">
        <v>0</v>
      </c>
      <c r="H174" s="49">
        <v>1</v>
      </c>
      <c r="I174" s="49" t="s">
        <v>58</v>
      </c>
      <c r="J174" s="50" t="str">
        <f t="shared" si="725"/>
        <v>-</v>
      </c>
      <c r="K174" s="50">
        <f t="shared" si="726"/>
        <v>-32768</v>
      </c>
      <c r="L174" s="50">
        <f t="shared" si="727"/>
        <v>32767</v>
      </c>
      <c r="M174" s="51" t="s">
        <v>483</v>
      </c>
      <c r="N174" s="28"/>
      <c r="O174" s="52"/>
      <c r="P174" s="52"/>
      <c r="Q174" s="52"/>
      <c r="R174" s="52"/>
      <c r="S174" s="140"/>
      <c r="T174" s="165"/>
      <c r="U174" s="165"/>
      <c r="V174" s="165"/>
      <c r="W174" s="28"/>
      <c r="X174" s="52">
        <f t="shared" ca="1" si="728"/>
        <v>-2600</v>
      </c>
      <c r="Y174" s="32"/>
      <c r="AC174" s="12">
        <f t="shared" si="607"/>
        <v>1</v>
      </c>
      <c r="AD174" s="12" t="str">
        <f t="shared" ca="1" si="729"/>
        <v>0x106A</v>
      </c>
      <c r="AE174" s="12" t="str">
        <f t="shared" si="730"/>
        <v>EE_A1_2</v>
      </c>
      <c r="AF174" s="12" t="str">
        <f t="shared" si="731"/>
        <v>-</v>
      </c>
      <c r="AG174" s="12" t="str">
        <f t="shared" si="732"/>
        <v>-</v>
      </c>
      <c r="AH174" s="12" t="str">
        <f t="shared" si="733"/>
        <v>-</v>
      </c>
      <c r="AI174" s="12" t="str">
        <f t="shared" si="734"/>
        <v>-</v>
      </c>
      <c r="AJ174" s="12" t="str">
        <f t="shared" si="735"/>
        <v>-</v>
      </c>
      <c r="AK174" s="12" t="str">
        <f t="shared" ca="1" si="736"/>
        <v>0x106A</v>
      </c>
      <c r="AL174" s="12" t="str">
        <f t="shared" ca="1" si="737"/>
        <v>CUST</v>
      </c>
      <c r="AM174" s="22">
        <f t="shared" si="617"/>
        <v>0</v>
      </c>
      <c r="AN174" s="12" t="str">
        <f t="shared" ca="1" si="738"/>
        <v>0x106A</v>
      </c>
      <c r="AO174" s="22" t="str">
        <f ca="1">IF(AF174="-",VLOOKUP(AD174,MemoryView!$A$3:$F$108,6,0),MID(VLOOKUP(AF174,MemoryView!$BD$3:$BE$108,2,0),15-AI174+1,AH174))</f>
        <v>F5D8</v>
      </c>
      <c r="AP174" s="22">
        <f t="shared" ca="1" si="739"/>
        <v>62936</v>
      </c>
      <c r="AQ174" s="53" t="str">
        <f t="shared" si="740"/>
        <v>-</v>
      </c>
      <c r="AR174" s="54" t="str">
        <f t="shared" ca="1" si="741"/>
        <v>EE_MEM #(`PARAM(16'h106A, 0, 16, 1)) EE_A1_2(); bit signed [16-1:0] EE_A1_2_V; assign EE_A1_2_V = EE_A1_2.GET;</v>
      </c>
      <c r="AS174" s="12" t="str">
        <f t="shared" ca="1" si="742"/>
        <v>EE_A1_2</v>
      </c>
    </row>
    <row r="175" spans="2:45">
      <c r="B175" s="55" t="str">
        <f t="shared" ca="1" si="724"/>
        <v>CUST</v>
      </c>
      <c r="C175" s="55" t="s">
        <v>58</v>
      </c>
      <c r="D175" s="56" t="str">
        <f>RIGHT(C174,LEN(C174)-3)</f>
        <v>A1_2</v>
      </c>
      <c r="E175" s="57" t="str">
        <f ca="1">INDIRECT(ADDRESS(ROW()-1,COLUMN()))</f>
        <v>0x106A</v>
      </c>
      <c r="F175" s="57">
        <v>16</v>
      </c>
      <c r="G175" s="57">
        <v>0</v>
      </c>
      <c r="H175" s="57">
        <v>1</v>
      </c>
      <c r="I175" s="57" t="s">
        <v>76</v>
      </c>
      <c r="J175" s="50" t="str">
        <f t="shared" si="725"/>
        <v>[15:0]</v>
      </c>
      <c r="K175" s="50">
        <f t="shared" si="726"/>
        <v>-32768</v>
      </c>
      <c r="L175" s="50">
        <f t="shared" si="727"/>
        <v>32767</v>
      </c>
      <c r="M175" s="61" t="s">
        <v>484</v>
      </c>
      <c r="N175" s="28"/>
      <c r="O175" s="57">
        <v>-2600</v>
      </c>
      <c r="P175" s="57">
        <f>O175</f>
        <v>-2600</v>
      </c>
      <c r="Q175" s="57">
        <f>O175</f>
        <v>-2600</v>
      </c>
      <c r="R175" s="57">
        <f>O175</f>
        <v>-2600</v>
      </c>
      <c r="S175" s="163">
        <f>P175</f>
        <v>-2600</v>
      </c>
      <c r="T175" s="163">
        <v>-2600</v>
      </c>
      <c r="U175" s="163">
        <v>21706</v>
      </c>
      <c r="V175" s="163">
        <f>S175</f>
        <v>-2600</v>
      </c>
      <c r="W175" s="59"/>
      <c r="X175" s="57">
        <f t="shared" ca="1" si="728"/>
        <v>-2600</v>
      </c>
      <c r="Y175" s="32"/>
      <c r="AC175" s="12" t="b">
        <f t="shared" si="607"/>
        <v>1</v>
      </c>
      <c r="AD175" s="12" t="str">
        <f t="shared" si="729"/>
        <v>-</v>
      </c>
      <c r="AE175" s="12" t="str">
        <f t="shared" si="730"/>
        <v>-</v>
      </c>
      <c r="AF175" s="12" t="str">
        <f t="shared" ca="1" si="731"/>
        <v>0x106A</v>
      </c>
      <c r="AG175" s="12" t="str">
        <f t="shared" si="732"/>
        <v>A1_2</v>
      </c>
      <c r="AH175" s="12">
        <f t="shared" si="733"/>
        <v>16</v>
      </c>
      <c r="AI175" s="12">
        <f t="shared" si="734"/>
        <v>15</v>
      </c>
      <c r="AJ175" s="12">
        <f t="shared" si="735"/>
        <v>0</v>
      </c>
      <c r="AK175" s="12">
        <f t="shared" si="736"/>
        <v>65535</v>
      </c>
      <c r="AL175" s="12" t="str">
        <f t="shared" si="737"/>
        <v>-</v>
      </c>
      <c r="AM175" s="22">
        <f t="shared" si="617"/>
        <v>-2600</v>
      </c>
      <c r="AN175" s="12">
        <f t="shared" si="738"/>
        <v>62936</v>
      </c>
      <c r="AO175" s="22" t="str">
        <f ca="1">IF(AF175="-",VLOOKUP(AD175,MemoryView!$A$3:$F$108,6,0),MID(VLOOKUP(AF175,MemoryView!$BD$3:$BE$108,2,0),15-AI175+1,AH175))</f>
        <v>1111010111011000</v>
      </c>
      <c r="AP175" s="22">
        <f t="shared" ca="1" si="739"/>
        <v>62936</v>
      </c>
      <c r="AQ175" s="53" t="str">
        <f t="shared" si="740"/>
        <v>`EE_MNG.A1_2.SET(-2600);        // [-32768..32767]</v>
      </c>
      <c r="AR175" s="54" t="str">
        <f t="shared" ca="1" si="741"/>
        <v>EE_MEM #(`PARAM(16'h106A, 0, 16, 1)) A1_2(); bit signed [16-1:0] A1_2_V; assign A1_2_V = A1_2.GET;</v>
      </c>
      <c r="AS175" s="12" t="str">
        <f t="shared" ca="1" si="742"/>
        <v>EE_A1_2</v>
      </c>
    </row>
    <row r="176" spans="2:45">
      <c r="B176" s="47" t="str">
        <f t="shared" ca="1" si="724"/>
        <v>CUST</v>
      </c>
      <c r="C176" s="47" t="s">
        <v>474</v>
      </c>
      <c r="D176" s="48" t="s">
        <v>58</v>
      </c>
      <c r="E176" s="60" t="str">
        <f ca="1">"0x"&amp;DEC2HEX(HEX2DEC(RIGHT(INDIRECT(ADDRESS(ROW()-1,COLUMN())),4))+2,4)</f>
        <v>0x106C</v>
      </c>
      <c r="F176" s="49">
        <v>16</v>
      </c>
      <c r="G176" s="49">
        <v>0</v>
      </c>
      <c r="H176" s="49">
        <v>1</v>
      </c>
      <c r="I176" s="49" t="s">
        <v>58</v>
      </c>
      <c r="J176" s="50" t="str">
        <f t="shared" si="725"/>
        <v>-</v>
      </c>
      <c r="K176" s="50">
        <f t="shared" si="726"/>
        <v>-32768</v>
      </c>
      <c r="L176" s="50">
        <f t="shared" si="727"/>
        <v>32767</v>
      </c>
      <c r="M176" s="51" t="s">
        <v>483</v>
      </c>
      <c r="N176" s="28"/>
      <c r="O176" s="52"/>
      <c r="P176" s="52"/>
      <c r="Q176" s="52"/>
      <c r="R176" s="52"/>
      <c r="S176" s="140"/>
      <c r="T176" s="165"/>
      <c r="U176" s="165"/>
      <c r="V176" s="165"/>
      <c r="W176" s="28"/>
      <c r="X176" s="52">
        <f t="shared" ca="1" si="728"/>
        <v>-581</v>
      </c>
      <c r="Y176" s="32"/>
      <c r="AC176" s="12">
        <f t="shared" si="607"/>
        <v>1</v>
      </c>
      <c r="AD176" s="12" t="str">
        <f t="shared" ca="1" si="729"/>
        <v>0x106C</v>
      </c>
      <c r="AE176" s="12" t="str">
        <f t="shared" si="730"/>
        <v>EE_A2_2</v>
      </c>
      <c r="AF176" s="12" t="str">
        <f t="shared" si="731"/>
        <v>-</v>
      </c>
      <c r="AG176" s="12" t="str">
        <f t="shared" si="732"/>
        <v>-</v>
      </c>
      <c r="AH176" s="12" t="str">
        <f t="shared" si="733"/>
        <v>-</v>
      </c>
      <c r="AI176" s="12" t="str">
        <f t="shared" si="734"/>
        <v>-</v>
      </c>
      <c r="AJ176" s="12" t="str">
        <f t="shared" si="735"/>
        <v>-</v>
      </c>
      <c r="AK176" s="12" t="str">
        <f t="shared" ca="1" si="736"/>
        <v>0x106C</v>
      </c>
      <c r="AL176" s="12" t="str">
        <f t="shared" ca="1" si="737"/>
        <v>CUST</v>
      </c>
      <c r="AM176" s="22">
        <f t="shared" si="617"/>
        <v>0</v>
      </c>
      <c r="AN176" s="12" t="str">
        <f t="shared" ca="1" si="738"/>
        <v>0x106C</v>
      </c>
      <c r="AO176" s="22" t="str">
        <f ca="1">IF(AF176="-",VLOOKUP(AD176,MemoryView!$A$3:$F$108,6,0),MID(VLOOKUP(AF176,MemoryView!$BD$3:$BE$108,2,0),15-AI176+1,AH176))</f>
        <v>FDBB</v>
      </c>
      <c r="AP176" s="22">
        <f t="shared" ca="1" si="739"/>
        <v>64955</v>
      </c>
      <c r="AQ176" s="53" t="str">
        <f t="shared" si="740"/>
        <v>-</v>
      </c>
      <c r="AR176" s="54" t="str">
        <f t="shared" ca="1" si="741"/>
        <v>EE_MEM #(`PARAM(16'h106C, 0, 16, 1)) EE_A2_2(); bit signed [16-1:0] EE_A2_2_V; assign EE_A2_2_V = EE_A2_2.GET;</v>
      </c>
      <c r="AS176" s="12" t="str">
        <f t="shared" ca="1" si="742"/>
        <v>EE_A2_2</v>
      </c>
    </row>
    <row r="177" spans="2:45">
      <c r="B177" s="55" t="str">
        <f t="shared" ca="1" si="724"/>
        <v>CUST</v>
      </c>
      <c r="C177" s="55" t="s">
        <v>58</v>
      </c>
      <c r="D177" s="56" t="str">
        <f>RIGHT(C176,LEN(C176)-3)</f>
        <v>A2_2</v>
      </c>
      <c r="E177" s="57" t="str">
        <f ca="1">INDIRECT(ADDRESS(ROW()-1,COLUMN()))</f>
        <v>0x106C</v>
      </c>
      <c r="F177" s="57">
        <v>16</v>
      </c>
      <c r="G177" s="57">
        <v>0</v>
      </c>
      <c r="H177" s="57">
        <v>1</v>
      </c>
      <c r="I177" s="57" t="s">
        <v>76</v>
      </c>
      <c r="J177" s="50" t="str">
        <f t="shared" si="725"/>
        <v>[15:0]</v>
      </c>
      <c r="K177" s="50">
        <f t="shared" si="726"/>
        <v>-32768</v>
      </c>
      <c r="L177" s="50">
        <f t="shared" si="727"/>
        <v>32767</v>
      </c>
      <c r="M177" s="61" t="s">
        <v>484</v>
      </c>
      <c r="N177" s="28"/>
      <c r="O177" s="57">
        <v>-581</v>
      </c>
      <c r="P177" s="57">
        <f>O177</f>
        <v>-581</v>
      </c>
      <c r="Q177" s="57">
        <f>O177</f>
        <v>-581</v>
      </c>
      <c r="R177" s="57">
        <f>O177</f>
        <v>-581</v>
      </c>
      <c r="S177" s="163">
        <f>P177</f>
        <v>-581</v>
      </c>
      <c r="T177" s="163">
        <v>-581</v>
      </c>
      <c r="U177" s="163">
        <v>4254</v>
      </c>
      <c r="V177" s="163">
        <f>S177</f>
        <v>-581</v>
      </c>
      <c r="W177" s="59"/>
      <c r="X177" s="57">
        <f t="shared" ca="1" si="728"/>
        <v>-581</v>
      </c>
      <c r="Y177" s="32"/>
      <c r="AC177" s="12" t="b">
        <f t="shared" si="607"/>
        <v>1</v>
      </c>
      <c r="AD177" s="12" t="str">
        <f t="shared" si="729"/>
        <v>-</v>
      </c>
      <c r="AE177" s="12" t="str">
        <f t="shared" si="730"/>
        <v>-</v>
      </c>
      <c r="AF177" s="12" t="str">
        <f t="shared" ca="1" si="731"/>
        <v>0x106C</v>
      </c>
      <c r="AG177" s="12" t="str">
        <f t="shared" si="732"/>
        <v>A2_2</v>
      </c>
      <c r="AH177" s="12">
        <f t="shared" si="733"/>
        <v>16</v>
      </c>
      <c r="AI177" s="12">
        <f t="shared" si="734"/>
        <v>15</v>
      </c>
      <c r="AJ177" s="12">
        <f t="shared" si="735"/>
        <v>0</v>
      </c>
      <c r="AK177" s="12">
        <f t="shared" si="736"/>
        <v>65535</v>
      </c>
      <c r="AL177" s="12" t="str">
        <f t="shared" si="737"/>
        <v>-</v>
      </c>
      <c r="AM177" s="22">
        <f t="shared" si="617"/>
        <v>-581</v>
      </c>
      <c r="AN177" s="12">
        <f t="shared" si="738"/>
        <v>64955</v>
      </c>
      <c r="AO177" s="22" t="str">
        <f ca="1">IF(AF177="-",VLOOKUP(AD177,MemoryView!$A$3:$F$108,6,0),MID(VLOOKUP(AF177,MemoryView!$BD$3:$BE$108,2,0),15-AI177+1,AH177))</f>
        <v>1111110110111011</v>
      </c>
      <c r="AP177" s="22">
        <f t="shared" ca="1" si="739"/>
        <v>64955</v>
      </c>
      <c r="AQ177" s="53" t="str">
        <f t="shared" si="740"/>
        <v>`EE_MNG.A2_2.SET(-581);        // [-32768..32767]</v>
      </c>
      <c r="AR177" s="54" t="str">
        <f t="shared" ca="1" si="741"/>
        <v>EE_MEM #(`PARAM(16'h106C, 0, 16, 1)) A2_2(); bit signed [16-1:0] A2_2_V; assign A2_2_V = A2_2.GET;</v>
      </c>
      <c r="AS177" s="12" t="str">
        <f t="shared" ca="1" si="742"/>
        <v>EE_A2_2</v>
      </c>
    </row>
    <row r="178" spans="2:45">
      <c r="B178" s="47" t="str">
        <f t="shared" ca="1" si="724"/>
        <v>CUST</v>
      </c>
      <c r="C178" s="47" t="s">
        <v>475</v>
      </c>
      <c r="D178" s="48" t="s">
        <v>58</v>
      </c>
      <c r="E178" s="60" t="str">
        <f ca="1">"0x"&amp;DEC2HEX(HEX2DEC(RIGHT(INDIRECT(ADDRESS(ROW()-1,COLUMN())),4))+2,4)</f>
        <v>0x106E</v>
      </c>
      <c r="F178" s="49">
        <v>16</v>
      </c>
      <c r="G178" s="49">
        <v>0</v>
      </c>
      <c r="H178" s="49">
        <v>1</v>
      </c>
      <c r="I178" s="49" t="s">
        <v>58</v>
      </c>
      <c r="J178" s="50" t="str">
        <f t="shared" si="725"/>
        <v>-</v>
      </c>
      <c r="K178" s="50">
        <f t="shared" si="726"/>
        <v>-32768</v>
      </c>
      <c r="L178" s="50">
        <f t="shared" si="727"/>
        <v>32767</v>
      </c>
      <c r="M178" s="51" t="s">
        <v>483</v>
      </c>
      <c r="N178" s="28"/>
      <c r="O178" s="52"/>
      <c r="P178" s="52"/>
      <c r="Q178" s="52"/>
      <c r="R178" s="52"/>
      <c r="S178" s="140"/>
      <c r="T178" s="165"/>
      <c r="U178" s="165"/>
      <c r="V178" s="165"/>
      <c r="W178" s="28"/>
      <c r="X178" s="52">
        <f t="shared" ca="1" si="728"/>
        <v>1475</v>
      </c>
      <c r="Y178" s="32"/>
      <c r="AC178" s="12">
        <f t="shared" si="607"/>
        <v>1</v>
      </c>
      <c r="AD178" s="12" t="str">
        <f t="shared" ca="1" si="729"/>
        <v>0x106E</v>
      </c>
      <c r="AE178" s="12" t="str">
        <f t="shared" si="730"/>
        <v>EE_A3_2</v>
      </c>
      <c r="AF178" s="12" t="str">
        <f t="shared" si="731"/>
        <v>-</v>
      </c>
      <c r="AG178" s="12" t="str">
        <f t="shared" si="732"/>
        <v>-</v>
      </c>
      <c r="AH178" s="12" t="str">
        <f t="shared" si="733"/>
        <v>-</v>
      </c>
      <c r="AI178" s="12" t="str">
        <f t="shared" si="734"/>
        <v>-</v>
      </c>
      <c r="AJ178" s="12" t="str">
        <f t="shared" si="735"/>
        <v>-</v>
      </c>
      <c r="AK178" s="12" t="str">
        <f t="shared" ca="1" si="736"/>
        <v>0x106E</v>
      </c>
      <c r="AL178" s="12" t="str">
        <f t="shared" ca="1" si="737"/>
        <v>CUST</v>
      </c>
      <c r="AM178" s="22">
        <f t="shared" si="617"/>
        <v>0</v>
      </c>
      <c r="AN178" s="12" t="str">
        <f t="shared" ca="1" si="738"/>
        <v>0x106E</v>
      </c>
      <c r="AO178" s="22" t="str">
        <f ca="1">IF(AF178="-",VLOOKUP(AD178,MemoryView!$A$3:$F$108,6,0),MID(VLOOKUP(AF178,MemoryView!$BD$3:$BE$108,2,0),15-AI178+1,AH178))</f>
        <v>05C3</v>
      </c>
      <c r="AP178" s="22">
        <f t="shared" ca="1" si="739"/>
        <v>1475</v>
      </c>
      <c r="AQ178" s="53" t="str">
        <f t="shared" si="740"/>
        <v>-</v>
      </c>
      <c r="AR178" s="54" t="str">
        <f t="shared" ca="1" si="741"/>
        <v>EE_MEM #(`PARAM(16'h106E, 0, 16, 1)) EE_A3_2(); bit signed [16-1:0] EE_A3_2_V; assign EE_A3_2_V = EE_A3_2.GET;</v>
      </c>
      <c r="AS178" s="12" t="str">
        <f t="shared" ca="1" si="742"/>
        <v>EE_A3_2</v>
      </c>
    </row>
    <row r="179" spans="2:45">
      <c r="B179" s="55" t="str">
        <f t="shared" ca="1" si="724"/>
        <v>CUST</v>
      </c>
      <c r="C179" s="55" t="s">
        <v>58</v>
      </c>
      <c r="D179" s="56" t="str">
        <f>RIGHT(C178,LEN(C178)-3)</f>
        <v>A3_2</v>
      </c>
      <c r="E179" s="57" t="str">
        <f ca="1">INDIRECT(ADDRESS(ROW()-1,COLUMN()))</f>
        <v>0x106E</v>
      </c>
      <c r="F179" s="57">
        <v>16</v>
      </c>
      <c r="G179" s="57">
        <v>0</v>
      </c>
      <c r="H179" s="57">
        <v>1</v>
      </c>
      <c r="I179" s="57" t="s">
        <v>76</v>
      </c>
      <c r="J179" s="50" t="str">
        <f t="shared" si="725"/>
        <v>[15:0]</v>
      </c>
      <c r="K179" s="50">
        <f t="shared" si="726"/>
        <v>-32768</v>
      </c>
      <c r="L179" s="50">
        <f t="shared" si="727"/>
        <v>32767</v>
      </c>
      <c r="M179" s="61" t="s">
        <v>484</v>
      </c>
      <c r="N179" s="28"/>
      <c r="O179" s="57">
        <v>1475</v>
      </c>
      <c r="P179" s="57">
        <f>O179</f>
        <v>1475</v>
      </c>
      <c r="Q179" s="57">
        <f>O179</f>
        <v>1475</v>
      </c>
      <c r="R179" s="57">
        <f>O179</f>
        <v>1475</v>
      </c>
      <c r="S179" s="163">
        <f>P179</f>
        <v>1475</v>
      </c>
      <c r="T179" s="163">
        <v>1475</v>
      </c>
      <c r="U179" s="163">
        <v>33499</v>
      </c>
      <c r="V179" s="163">
        <f>S179</f>
        <v>1475</v>
      </c>
      <c r="W179" s="59"/>
      <c r="X179" s="57">
        <f t="shared" ca="1" si="728"/>
        <v>1475</v>
      </c>
      <c r="Y179" s="32"/>
      <c r="AC179" s="12" t="b">
        <f t="shared" si="607"/>
        <v>1</v>
      </c>
      <c r="AD179" s="12" t="str">
        <f t="shared" si="729"/>
        <v>-</v>
      </c>
      <c r="AE179" s="12" t="str">
        <f t="shared" si="730"/>
        <v>-</v>
      </c>
      <c r="AF179" s="12" t="str">
        <f t="shared" ca="1" si="731"/>
        <v>0x106E</v>
      </c>
      <c r="AG179" s="12" t="str">
        <f t="shared" si="732"/>
        <v>A3_2</v>
      </c>
      <c r="AH179" s="12">
        <f t="shared" si="733"/>
        <v>16</v>
      </c>
      <c r="AI179" s="12">
        <f t="shared" si="734"/>
        <v>15</v>
      </c>
      <c r="AJ179" s="12">
        <f t="shared" si="735"/>
        <v>0</v>
      </c>
      <c r="AK179" s="12">
        <f t="shared" si="736"/>
        <v>65535</v>
      </c>
      <c r="AL179" s="12" t="str">
        <f t="shared" si="737"/>
        <v>-</v>
      </c>
      <c r="AM179" s="22">
        <f t="shared" si="617"/>
        <v>1475</v>
      </c>
      <c r="AN179" s="12">
        <f t="shared" si="738"/>
        <v>1475</v>
      </c>
      <c r="AO179" s="22" t="str">
        <f ca="1">IF(AF179="-",VLOOKUP(AD179,MemoryView!$A$3:$F$108,6,0),MID(VLOOKUP(AF179,MemoryView!$BD$3:$BE$108,2,0),15-AI179+1,AH179))</f>
        <v>0000010111000011</v>
      </c>
      <c r="AP179" s="22">
        <f t="shared" ca="1" si="739"/>
        <v>1475</v>
      </c>
      <c r="AQ179" s="53" t="str">
        <f t="shared" si="740"/>
        <v>`EE_MNG.A3_2.SET(1475);        // [-32768..32767]</v>
      </c>
      <c r="AR179" s="54" t="str">
        <f t="shared" ca="1" si="741"/>
        <v>EE_MEM #(`PARAM(16'h106E, 0, 16, 1)) A3_2(); bit signed [16-1:0] A3_2_V; assign A3_2_V = A3_2.GET;</v>
      </c>
      <c r="AS179" s="12" t="str">
        <f t="shared" ca="1" si="742"/>
        <v>EE_A3_2</v>
      </c>
    </row>
    <row r="180" spans="2:45">
      <c r="B180" s="47" t="str">
        <f t="shared" ca="1" si="724"/>
        <v>CUST</v>
      </c>
      <c r="C180" s="47" t="s">
        <v>476</v>
      </c>
      <c r="D180" s="48" t="s">
        <v>58</v>
      </c>
      <c r="E180" s="60" t="str">
        <f ca="1">"0x"&amp;DEC2HEX(HEX2DEC(RIGHT(INDIRECT(ADDRESS(ROW()-1,COLUMN())),4))+2,4)</f>
        <v>0x1070</v>
      </c>
      <c r="F180" s="49">
        <v>16</v>
      </c>
      <c r="G180" s="49">
        <v>0</v>
      </c>
      <c r="H180" s="49">
        <v>1</v>
      </c>
      <c r="I180" s="49" t="s">
        <v>58</v>
      </c>
      <c r="J180" s="50" t="str">
        <f t="shared" si="725"/>
        <v>-</v>
      </c>
      <c r="K180" s="50">
        <f t="shared" si="726"/>
        <v>-32768</v>
      </c>
      <c r="L180" s="50">
        <f t="shared" si="727"/>
        <v>32767</v>
      </c>
      <c r="M180" s="51" t="s">
        <v>483</v>
      </c>
      <c r="N180" s="28"/>
      <c r="O180" s="52"/>
      <c r="P180" s="52"/>
      <c r="Q180" s="52"/>
      <c r="R180" s="52"/>
      <c r="S180" s="140"/>
      <c r="T180" s="165"/>
      <c r="U180" s="165"/>
      <c r="V180" s="165"/>
      <c r="W180" s="28"/>
      <c r="X180" s="52">
        <f t="shared" ca="1" si="728"/>
        <v>15429</v>
      </c>
      <c r="Y180" s="32"/>
      <c r="AC180" s="12">
        <f t="shared" si="607"/>
        <v>1</v>
      </c>
      <c r="AD180" s="12" t="str">
        <f t="shared" ca="1" si="729"/>
        <v>0x1070</v>
      </c>
      <c r="AE180" s="12" t="str">
        <f t="shared" si="730"/>
        <v>EE_B0_2</v>
      </c>
      <c r="AF180" s="12" t="str">
        <f t="shared" si="731"/>
        <v>-</v>
      </c>
      <c r="AG180" s="12" t="str">
        <f t="shared" si="732"/>
        <v>-</v>
      </c>
      <c r="AH180" s="12" t="str">
        <f t="shared" si="733"/>
        <v>-</v>
      </c>
      <c r="AI180" s="12" t="str">
        <f t="shared" si="734"/>
        <v>-</v>
      </c>
      <c r="AJ180" s="12" t="str">
        <f t="shared" si="735"/>
        <v>-</v>
      </c>
      <c r="AK180" s="12" t="str">
        <f t="shared" ca="1" si="736"/>
        <v>0x1070</v>
      </c>
      <c r="AL180" s="12" t="str">
        <f t="shared" ca="1" si="737"/>
        <v>CUST</v>
      </c>
      <c r="AM180" s="22">
        <f t="shared" si="617"/>
        <v>0</v>
      </c>
      <c r="AN180" s="12" t="str">
        <f t="shared" ca="1" si="738"/>
        <v>0x1070</v>
      </c>
      <c r="AO180" s="22" t="str">
        <f ca="1">IF(AF180="-",VLOOKUP(AD180,MemoryView!$A$3:$F$108,6,0),MID(VLOOKUP(AF180,MemoryView!$BD$3:$BE$108,2,0),15-AI180+1,AH180))</f>
        <v>3C45</v>
      </c>
      <c r="AP180" s="22">
        <f t="shared" ca="1" si="739"/>
        <v>15429</v>
      </c>
      <c r="AQ180" s="53" t="str">
        <f t="shared" si="740"/>
        <v>-</v>
      </c>
      <c r="AR180" s="54" t="str">
        <f t="shared" ca="1" si="741"/>
        <v>EE_MEM #(`PARAM(16'h1070, 0, 16, 1)) EE_B0_2(); bit signed [16-1:0] EE_B0_2_V; assign EE_B0_2_V = EE_B0_2.GET;</v>
      </c>
      <c r="AS180" s="12" t="str">
        <f t="shared" ca="1" si="742"/>
        <v>EE_B0_2</v>
      </c>
    </row>
    <row r="181" spans="2:45">
      <c r="B181" s="55" t="str">
        <f t="shared" ca="1" si="724"/>
        <v>CUST</v>
      </c>
      <c r="C181" s="55" t="s">
        <v>58</v>
      </c>
      <c r="D181" s="56" t="str">
        <f>RIGHT(C180,LEN(C180)-3)</f>
        <v>B0_2</v>
      </c>
      <c r="E181" s="57" t="str">
        <f ca="1">INDIRECT(ADDRESS(ROW()-1,COLUMN()))</f>
        <v>0x1070</v>
      </c>
      <c r="F181" s="57">
        <v>16</v>
      </c>
      <c r="G181" s="57">
        <v>0</v>
      </c>
      <c r="H181" s="57">
        <v>1</v>
      </c>
      <c r="I181" s="57" t="s">
        <v>76</v>
      </c>
      <c r="J181" s="50" t="str">
        <f t="shared" si="725"/>
        <v>[15:0]</v>
      </c>
      <c r="K181" s="50">
        <f t="shared" si="726"/>
        <v>-32768</v>
      </c>
      <c r="L181" s="50">
        <f t="shared" si="727"/>
        <v>32767</v>
      </c>
      <c r="M181" s="61" t="s">
        <v>484</v>
      </c>
      <c r="N181" s="28"/>
      <c r="O181" s="57">
        <v>15429</v>
      </c>
      <c r="P181" s="57">
        <f>O181</f>
        <v>15429</v>
      </c>
      <c r="Q181" s="57">
        <f>O181</f>
        <v>15429</v>
      </c>
      <c r="R181" s="57">
        <f>O181</f>
        <v>15429</v>
      </c>
      <c r="S181" s="163">
        <f>P181</f>
        <v>15429</v>
      </c>
      <c r="T181" s="163">
        <v>15429</v>
      </c>
      <c r="U181" s="163">
        <v>12256</v>
      </c>
      <c r="V181" s="163">
        <f>S181</f>
        <v>15429</v>
      </c>
      <c r="W181" s="59"/>
      <c r="X181" s="57">
        <f t="shared" ca="1" si="728"/>
        <v>15429</v>
      </c>
      <c r="Y181" s="32"/>
      <c r="AC181" s="12" t="b">
        <f t="shared" si="607"/>
        <v>1</v>
      </c>
      <c r="AD181" s="12" t="str">
        <f t="shared" si="729"/>
        <v>-</v>
      </c>
      <c r="AE181" s="12" t="str">
        <f t="shared" si="730"/>
        <v>-</v>
      </c>
      <c r="AF181" s="12" t="str">
        <f t="shared" ca="1" si="731"/>
        <v>0x1070</v>
      </c>
      <c r="AG181" s="12" t="str">
        <f t="shared" si="732"/>
        <v>B0_2</v>
      </c>
      <c r="AH181" s="12">
        <f t="shared" si="733"/>
        <v>16</v>
      </c>
      <c r="AI181" s="12">
        <f t="shared" si="734"/>
        <v>15</v>
      </c>
      <c r="AJ181" s="12">
        <f t="shared" si="735"/>
        <v>0</v>
      </c>
      <c r="AK181" s="12">
        <f t="shared" si="736"/>
        <v>65535</v>
      </c>
      <c r="AL181" s="12" t="str">
        <f t="shared" si="737"/>
        <v>-</v>
      </c>
      <c r="AM181" s="22">
        <f t="shared" si="617"/>
        <v>15429</v>
      </c>
      <c r="AN181" s="12">
        <f t="shared" si="738"/>
        <v>15429</v>
      </c>
      <c r="AO181" s="22" t="str">
        <f ca="1">IF(AF181="-",VLOOKUP(AD181,MemoryView!$A$3:$F$108,6,0),MID(VLOOKUP(AF181,MemoryView!$BD$3:$BE$108,2,0),15-AI181+1,AH181))</f>
        <v>0011110001000101</v>
      </c>
      <c r="AP181" s="22">
        <f t="shared" ca="1" si="739"/>
        <v>15429</v>
      </c>
      <c r="AQ181" s="53" t="str">
        <f t="shared" si="740"/>
        <v>`EE_MNG.B0_2.SET(15429);        // [-32768..32767]</v>
      </c>
      <c r="AR181" s="54" t="str">
        <f t="shared" ca="1" si="741"/>
        <v>EE_MEM #(`PARAM(16'h1070, 0, 16, 1)) B0_2(); bit signed [16-1:0] B0_2_V; assign B0_2_V = B0_2.GET;</v>
      </c>
      <c r="AS181" s="12" t="str">
        <f t="shared" ca="1" si="742"/>
        <v>EE_B0_2</v>
      </c>
    </row>
    <row r="182" spans="2:45">
      <c r="B182" s="47" t="str">
        <f t="shared" ca="1" si="724"/>
        <v>CUST</v>
      </c>
      <c r="C182" s="47" t="s">
        <v>477</v>
      </c>
      <c r="D182" s="48" t="s">
        <v>58</v>
      </c>
      <c r="E182" s="60" t="str">
        <f ca="1">"0x"&amp;DEC2HEX(HEX2DEC(RIGHT(INDIRECT(ADDRESS(ROW()-1,COLUMN())),4))+2,4)</f>
        <v>0x1072</v>
      </c>
      <c r="F182" s="49">
        <v>16</v>
      </c>
      <c r="G182" s="49">
        <v>0</v>
      </c>
      <c r="H182" s="49">
        <v>1</v>
      </c>
      <c r="I182" s="49" t="s">
        <v>58</v>
      </c>
      <c r="J182" s="50" t="str">
        <f t="shared" si="725"/>
        <v>-</v>
      </c>
      <c r="K182" s="50">
        <f t="shared" si="726"/>
        <v>-32768</v>
      </c>
      <c r="L182" s="50">
        <f t="shared" si="727"/>
        <v>32767</v>
      </c>
      <c r="M182" s="51" t="s">
        <v>483</v>
      </c>
      <c r="N182" s="28"/>
      <c r="O182" s="52"/>
      <c r="P182" s="52"/>
      <c r="Q182" s="52"/>
      <c r="R182" s="52"/>
      <c r="S182" s="140"/>
      <c r="T182" s="165"/>
      <c r="U182" s="165"/>
      <c r="V182" s="165"/>
      <c r="W182" s="28"/>
      <c r="X182" s="52">
        <f t="shared" ca="1" si="728"/>
        <v>-4400</v>
      </c>
      <c r="Y182" s="32"/>
      <c r="AC182" s="12">
        <f t="shared" si="607"/>
        <v>1</v>
      </c>
      <c r="AD182" s="12" t="str">
        <f t="shared" ca="1" si="729"/>
        <v>0x1072</v>
      </c>
      <c r="AE182" s="12" t="str">
        <f t="shared" si="730"/>
        <v>EE_B1_2</v>
      </c>
      <c r="AF182" s="12" t="str">
        <f t="shared" si="731"/>
        <v>-</v>
      </c>
      <c r="AG182" s="12" t="str">
        <f t="shared" si="732"/>
        <v>-</v>
      </c>
      <c r="AH182" s="12" t="str">
        <f t="shared" si="733"/>
        <v>-</v>
      </c>
      <c r="AI182" s="12" t="str">
        <f t="shared" si="734"/>
        <v>-</v>
      </c>
      <c r="AJ182" s="12" t="str">
        <f t="shared" si="735"/>
        <v>-</v>
      </c>
      <c r="AK182" s="12" t="str">
        <f t="shared" ca="1" si="736"/>
        <v>0x1072</v>
      </c>
      <c r="AL182" s="12" t="str">
        <f t="shared" ca="1" si="737"/>
        <v>CUST</v>
      </c>
      <c r="AM182" s="22">
        <f t="shared" si="617"/>
        <v>0</v>
      </c>
      <c r="AN182" s="12" t="str">
        <f t="shared" ca="1" si="738"/>
        <v>0x1072</v>
      </c>
      <c r="AO182" s="22" t="str">
        <f ca="1">IF(AF182="-",VLOOKUP(AD182,MemoryView!$A$3:$F$108,6,0),MID(VLOOKUP(AF182,MemoryView!$BD$3:$BE$108,2,0),15-AI182+1,AH182))</f>
        <v>EED0</v>
      </c>
      <c r="AP182" s="22">
        <f t="shared" ca="1" si="739"/>
        <v>61136</v>
      </c>
      <c r="AQ182" s="53" t="str">
        <f t="shared" si="740"/>
        <v>-</v>
      </c>
      <c r="AR182" s="54" t="str">
        <f t="shared" ca="1" si="741"/>
        <v>EE_MEM #(`PARAM(16'h1072, 0, 16, 1)) EE_B1_2(); bit signed [16-1:0] EE_B1_2_V; assign EE_B1_2_V = EE_B1_2.GET;</v>
      </c>
      <c r="AS182" s="12" t="str">
        <f t="shared" ca="1" si="742"/>
        <v>EE_B1_2</v>
      </c>
    </row>
    <row r="183" spans="2:45">
      <c r="B183" s="55" t="str">
        <f t="shared" ca="1" si="724"/>
        <v>CUST</v>
      </c>
      <c r="C183" s="55" t="s">
        <v>58</v>
      </c>
      <c r="D183" s="56" t="str">
        <f>RIGHT(C182,LEN(C182)-3)</f>
        <v>B1_2</v>
      </c>
      <c r="E183" s="57" t="str">
        <f ca="1">INDIRECT(ADDRESS(ROW()-1,COLUMN()))</f>
        <v>0x1072</v>
      </c>
      <c r="F183" s="57">
        <v>16</v>
      </c>
      <c r="G183" s="57">
        <v>0</v>
      </c>
      <c r="H183" s="57">
        <v>1</v>
      </c>
      <c r="I183" s="57" t="s">
        <v>76</v>
      </c>
      <c r="J183" s="50" t="str">
        <f t="shared" si="725"/>
        <v>[15:0]</v>
      </c>
      <c r="K183" s="50">
        <f t="shared" si="726"/>
        <v>-32768</v>
      </c>
      <c r="L183" s="50">
        <f t="shared" si="727"/>
        <v>32767</v>
      </c>
      <c r="M183" s="61" t="s">
        <v>484</v>
      </c>
      <c r="N183" s="28"/>
      <c r="O183" s="57">
        <v>-4400</v>
      </c>
      <c r="P183" s="57">
        <f>O183</f>
        <v>-4400</v>
      </c>
      <c r="Q183" s="57">
        <f>O183</f>
        <v>-4400</v>
      </c>
      <c r="R183" s="57">
        <f>O183</f>
        <v>-4400</v>
      </c>
      <c r="S183" s="163">
        <f>P183</f>
        <v>-4400</v>
      </c>
      <c r="T183" s="163">
        <v>-4400</v>
      </c>
      <c r="U183" s="163">
        <v>20999</v>
      </c>
      <c r="V183" s="163">
        <f>S183</f>
        <v>-4400</v>
      </c>
      <c r="W183" s="59"/>
      <c r="X183" s="57">
        <f t="shared" ca="1" si="728"/>
        <v>-4400</v>
      </c>
      <c r="Y183" s="32"/>
      <c r="AC183" s="12" t="b">
        <f t="shared" si="607"/>
        <v>1</v>
      </c>
      <c r="AD183" s="12" t="str">
        <f t="shared" si="729"/>
        <v>-</v>
      </c>
      <c r="AE183" s="12" t="str">
        <f t="shared" si="730"/>
        <v>-</v>
      </c>
      <c r="AF183" s="12" t="str">
        <f t="shared" ca="1" si="731"/>
        <v>0x1072</v>
      </c>
      <c r="AG183" s="12" t="str">
        <f t="shared" si="732"/>
        <v>B1_2</v>
      </c>
      <c r="AH183" s="12">
        <f t="shared" si="733"/>
        <v>16</v>
      </c>
      <c r="AI183" s="12">
        <f t="shared" si="734"/>
        <v>15</v>
      </c>
      <c r="AJ183" s="12">
        <f t="shared" si="735"/>
        <v>0</v>
      </c>
      <c r="AK183" s="12">
        <f t="shared" si="736"/>
        <v>65535</v>
      </c>
      <c r="AL183" s="12" t="str">
        <f t="shared" si="737"/>
        <v>-</v>
      </c>
      <c r="AM183" s="22">
        <f t="shared" si="617"/>
        <v>-4400</v>
      </c>
      <c r="AN183" s="12">
        <f t="shared" si="738"/>
        <v>61136</v>
      </c>
      <c r="AO183" s="22" t="str">
        <f ca="1">IF(AF183="-",VLOOKUP(AD183,MemoryView!$A$3:$F$108,6,0),MID(VLOOKUP(AF183,MemoryView!$BD$3:$BE$108,2,0),15-AI183+1,AH183))</f>
        <v>1110111011010000</v>
      </c>
      <c r="AP183" s="22">
        <f t="shared" ca="1" si="739"/>
        <v>61136</v>
      </c>
      <c r="AQ183" s="53" t="str">
        <f t="shared" si="740"/>
        <v>`EE_MNG.B1_2.SET(-4400);        // [-32768..32767]</v>
      </c>
      <c r="AR183" s="54" t="str">
        <f t="shared" ca="1" si="741"/>
        <v>EE_MEM #(`PARAM(16'h1072, 0, 16, 1)) B1_2(); bit signed [16-1:0] B1_2_V; assign B1_2_V = B1_2.GET;</v>
      </c>
      <c r="AS183" s="12" t="str">
        <f t="shared" ca="1" si="742"/>
        <v>EE_B1_2</v>
      </c>
    </row>
    <row r="184" spans="2:45">
      <c r="B184" s="47" t="str">
        <f t="shared" ca="1" si="724"/>
        <v>CUST</v>
      </c>
      <c r="C184" s="47" t="s">
        <v>478</v>
      </c>
      <c r="D184" s="48" t="s">
        <v>58</v>
      </c>
      <c r="E184" s="60" t="str">
        <f ca="1">"0x"&amp;DEC2HEX(HEX2DEC(RIGHT(INDIRECT(ADDRESS(ROW()-1,COLUMN())),4))+2,4)</f>
        <v>0x1074</v>
      </c>
      <c r="F184" s="49">
        <v>16</v>
      </c>
      <c r="G184" s="49">
        <v>0</v>
      </c>
      <c r="H184" s="49">
        <v>1</v>
      </c>
      <c r="I184" s="49" t="s">
        <v>58</v>
      </c>
      <c r="J184" s="50" t="str">
        <f t="shared" si="725"/>
        <v>-</v>
      </c>
      <c r="K184" s="50">
        <f t="shared" si="726"/>
        <v>-32768</v>
      </c>
      <c r="L184" s="50">
        <f t="shared" si="727"/>
        <v>32767</v>
      </c>
      <c r="M184" s="51" t="s">
        <v>483</v>
      </c>
      <c r="N184" s="28"/>
      <c r="O184" s="52"/>
      <c r="P184" s="52"/>
      <c r="Q184" s="52"/>
      <c r="R184" s="52"/>
      <c r="S184" s="140"/>
      <c r="T184" s="165"/>
      <c r="U184" s="165"/>
      <c r="V184" s="165"/>
      <c r="W184" s="28"/>
      <c r="X184" s="52">
        <f t="shared" ca="1" si="728"/>
        <v>-2052</v>
      </c>
      <c r="Y184" s="32"/>
      <c r="AC184" s="12">
        <f t="shared" si="607"/>
        <v>1</v>
      </c>
      <c r="AD184" s="12" t="str">
        <f t="shared" ca="1" si="729"/>
        <v>0x1074</v>
      </c>
      <c r="AE184" s="12" t="str">
        <f t="shared" si="730"/>
        <v>EE_B2_2</v>
      </c>
      <c r="AF184" s="12" t="str">
        <f t="shared" si="731"/>
        <v>-</v>
      </c>
      <c r="AG184" s="12" t="str">
        <f t="shared" si="732"/>
        <v>-</v>
      </c>
      <c r="AH184" s="12" t="str">
        <f t="shared" si="733"/>
        <v>-</v>
      </c>
      <c r="AI184" s="12" t="str">
        <f t="shared" si="734"/>
        <v>-</v>
      </c>
      <c r="AJ184" s="12" t="str">
        <f t="shared" si="735"/>
        <v>-</v>
      </c>
      <c r="AK184" s="12" t="str">
        <f t="shared" ca="1" si="736"/>
        <v>0x1074</v>
      </c>
      <c r="AL184" s="12" t="str">
        <f t="shared" ca="1" si="737"/>
        <v>CUST</v>
      </c>
      <c r="AM184" s="22">
        <f t="shared" si="617"/>
        <v>0</v>
      </c>
      <c r="AN184" s="12" t="str">
        <f t="shared" ca="1" si="738"/>
        <v>0x1074</v>
      </c>
      <c r="AO184" s="22" t="str">
        <f ca="1">IF(AF184="-",VLOOKUP(AD184,MemoryView!$A$3:$F$108,6,0),MID(VLOOKUP(AF184,MemoryView!$BD$3:$BE$108,2,0),15-AI184+1,AH184))</f>
        <v>F7FC</v>
      </c>
      <c r="AP184" s="22">
        <f t="shared" ca="1" si="739"/>
        <v>63484</v>
      </c>
      <c r="AQ184" s="53" t="str">
        <f t="shared" si="740"/>
        <v>-</v>
      </c>
      <c r="AR184" s="54" t="str">
        <f t="shared" ca="1" si="741"/>
        <v>EE_MEM #(`PARAM(16'h1074, 0, 16, 1)) EE_B2_2(); bit signed [16-1:0] EE_B2_2_V; assign EE_B2_2_V = EE_B2_2.GET;</v>
      </c>
      <c r="AS184" s="12" t="str">
        <f t="shared" ca="1" si="742"/>
        <v>EE_B2_2</v>
      </c>
    </row>
    <row r="185" spans="2:45">
      <c r="B185" s="55" t="str">
        <f t="shared" ca="1" si="724"/>
        <v>CUST</v>
      </c>
      <c r="C185" s="55" t="s">
        <v>58</v>
      </c>
      <c r="D185" s="56" t="str">
        <f>RIGHT(C184,LEN(C184)-3)</f>
        <v>B2_2</v>
      </c>
      <c r="E185" s="57" t="str">
        <f ca="1">INDIRECT(ADDRESS(ROW()-1,COLUMN()))</f>
        <v>0x1074</v>
      </c>
      <c r="F185" s="57">
        <v>16</v>
      </c>
      <c r="G185" s="57">
        <v>0</v>
      </c>
      <c r="H185" s="57">
        <v>1</v>
      </c>
      <c r="I185" s="57" t="s">
        <v>76</v>
      </c>
      <c r="J185" s="50" t="str">
        <f t="shared" si="725"/>
        <v>[15:0]</v>
      </c>
      <c r="K185" s="50">
        <f t="shared" si="726"/>
        <v>-32768</v>
      </c>
      <c r="L185" s="50">
        <f t="shared" si="727"/>
        <v>32767</v>
      </c>
      <c r="M185" s="61" t="s">
        <v>484</v>
      </c>
      <c r="N185" s="28"/>
      <c r="O185" s="57">
        <v>-2052</v>
      </c>
      <c r="P185" s="57">
        <f>O185</f>
        <v>-2052</v>
      </c>
      <c r="Q185" s="57">
        <f>O185</f>
        <v>-2052</v>
      </c>
      <c r="R185" s="57">
        <f>O185</f>
        <v>-2052</v>
      </c>
      <c r="S185" s="163">
        <f>P185</f>
        <v>-2052</v>
      </c>
      <c r="T185" s="163">
        <v>-2052</v>
      </c>
      <c r="U185" s="163">
        <v>29598</v>
      </c>
      <c r="V185" s="163">
        <f>S185</f>
        <v>-2052</v>
      </c>
      <c r="W185" s="59"/>
      <c r="X185" s="57">
        <f t="shared" ca="1" si="728"/>
        <v>-2052</v>
      </c>
      <c r="Y185" s="32"/>
      <c r="AC185" s="12" t="b">
        <f t="shared" si="607"/>
        <v>1</v>
      </c>
      <c r="AD185" s="12" t="str">
        <f t="shared" si="729"/>
        <v>-</v>
      </c>
      <c r="AE185" s="12" t="str">
        <f t="shared" si="730"/>
        <v>-</v>
      </c>
      <c r="AF185" s="12" t="str">
        <f t="shared" ca="1" si="731"/>
        <v>0x1074</v>
      </c>
      <c r="AG185" s="12" t="str">
        <f t="shared" si="732"/>
        <v>B2_2</v>
      </c>
      <c r="AH185" s="12">
        <f t="shared" si="733"/>
        <v>16</v>
      </c>
      <c r="AI185" s="12">
        <f t="shared" si="734"/>
        <v>15</v>
      </c>
      <c r="AJ185" s="12">
        <f t="shared" si="735"/>
        <v>0</v>
      </c>
      <c r="AK185" s="12">
        <f t="shared" si="736"/>
        <v>65535</v>
      </c>
      <c r="AL185" s="12" t="str">
        <f t="shared" si="737"/>
        <v>-</v>
      </c>
      <c r="AM185" s="22">
        <f t="shared" si="617"/>
        <v>-2052</v>
      </c>
      <c r="AN185" s="12">
        <f t="shared" si="738"/>
        <v>63484</v>
      </c>
      <c r="AO185" s="22" t="str">
        <f ca="1">IF(AF185="-",VLOOKUP(AD185,MemoryView!$A$3:$F$108,6,0),MID(VLOOKUP(AF185,MemoryView!$BD$3:$BE$108,2,0),15-AI185+1,AH185))</f>
        <v>1111011111111100</v>
      </c>
      <c r="AP185" s="22">
        <f t="shared" ca="1" si="739"/>
        <v>63484</v>
      </c>
      <c r="AQ185" s="53" t="str">
        <f t="shared" si="740"/>
        <v>`EE_MNG.B2_2.SET(-2052);        // [-32768..32767]</v>
      </c>
      <c r="AR185" s="54" t="str">
        <f t="shared" ca="1" si="741"/>
        <v>EE_MEM #(`PARAM(16'h1074, 0, 16, 1)) B2_2(); bit signed [16-1:0] B2_2_V; assign B2_2_V = B2_2.GET;</v>
      </c>
      <c r="AS185" s="12" t="str">
        <f t="shared" ca="1" si="742"/>
        <v>EE_B2_2</v>
      </c>
    </row>
    <row r="186" spans="2:45">
      <c r="B186" s="47" t="str">
        <f t="shared" ca="1" si="724"/>
        <v>CUST</v>
      </c>
      <c r="C186" s="47" t="s">
        <v>479</v>
      </c>
      <c r="D186" s="48" t="s">
        <v>58</v>
      </c>
      <c r="E186" s="60" t="str">
        <f ca="1">"0x"&amp;DEC2HEX(HEX2DEC(RIGHT(INDIRECT(ADDRESS(ROW()-1,COLUMN())),4))+2,4)</f>
        <v>0x1076</v>
      </c>
      <c r="F186" s="49">
        <v>16</v>
      </c>
      <c r="G186" s="49">
        <v>0</v>
      </c>
      <c r="H186" s="49">
        <v>1</v>
      </c>
      <c r="I186" s="49" t="s">
        <v>58</v>
      </c>
      <c r="J186" s="50" t="str">
        <f t="shared" si="725"/>
        <v>-</v>
      </c>
      <c r="K186" s="50">
        <f t="shared" si="726"/>
        <v>-32768</v>
      </c>
      <c r="L186" s="50">
        <f t="shared" si="727"/>
        <v>32767</v>
      </c>
      <c r="M186" s="51" t="s">
        <v>483</v>
      </c>
      <c r="N186" s="28"/>
      <c r="O186" s="52"/>
      <c r="P186" s="52"/>
      <c r="Q186" s="52"/>
      <c r="R186" s="52"/>
      <c r="S186" s="140"/>
      <c r="T186" s="165"/>
      <c r="U186" s="165"/>
      <c r="V186" s="165"/>
      <c r="W186" s="28"/>
      <c r="X186" s="52">
        <f t="shared" ca="1" si="728"/>
        <v>3349</v>
      </c>
      <c r="Y186" s="32"/>
      <c r="AC186" s="12">
        <f t="shared" si="607"/>
        <v>1</v>
      </c>
      <c r="AD186" s="12" t="str">
        <f t="shared" ca="1" si="729"/>
        <v>0x1076</v>
      </c>
      <c r="AE186" s="12" t="str">
        <f t="shared" si="730"/>
        <v>EE_B3_2</v>
      </c>
      <c r="AF186" s="12" t="str">
        <f t="shared" si="731"/>
        <v>-</v>
      </c>
      <c r="AG186" s="12" t="str">
        <f t="shared" si="732"/>
        <v>-</v>
      </c>
      <c r="AH186" s="12" t="str">
        <f t="shared" si="733"/>
        <v>-</v>
      </c>
      <c r="AI186" s="12" t="str">
        <f t="shared" si="734"/>
        <v>-</v>
      </c>
      <c r="AJ186" s="12" t="str">
        <f t="shared" si="735"/>
        <v>-</v>
      </c>
      <c r="AK186" s="12" t="str">
        <f t="shared" ca="1" si="736"/>
        <v>0x1076</v>
      </c>
      <c r="AL186" s="12" t="str">
        <f t="shared" ca="1" si="737"/>
        <v>CUST</v>
      </c>
      <c r="AM186" s="22">
        <f t="shared" si="617"/>
        <v>0</v>
      </c>
      <c r="AN186" s="12" t="str">
        <f t="shared" ca="1" si="738"/>
        <v>0x1076</v>
      </c>
      <c r="AO186" s="22" t="str">
        <f ca="1">IF(AF186="-",VLOOKUP(AD186,MemoryView!$A$3:$F$108,6,0),MID(VLOOKUP(AF186,MemoryView!$BD$3:$BE$108,2,0),15-AI186+1,AH186))</f>
        <v>0D15</v>
      </c>
      <c r="AP186" s="22">
        <f t="shared" ca="1" si="739"/>
        <v>3349</v>
      </c>
      <c r="AQ186" s="53" t="str">
        <f t="shared" si="740"/>
        <v>-</v>
      </c>
      <c r="AR186" s="54" t="str">
        <f t="shared" ca="1" si="741"/>
        <v>EE_MEM #(`PARAM(16'h1076, 0, 16, 1)) EE_B3_2(); bit signed [16-1:0] EE_B3_2_V; assign EE_B3_2_V = EE_B3_2.GET;</v>
      </c>
      <c r="AS186" s="12" t="str">
        <f t="shared" ca="1" si="742"/>
        <v>EE_B3_2</v>
      </c>
    </row>
    <row r="187" spans="2:45">
      <c r="B187" s="55" t="str">
        <f t="shared" ca="1" si="724"/>
        <v>CUST</v>
      </c>
      <c r="C187" s="55" t="s">
        <v>58</v>
      </c>
      <c r="D187" s="56" t="str">
        <f>RIGHT(C186,LEN(C186)-3)</f>
        <v>B3_2</v>
      </c>
      <c r="E187" s="57" t="str">
        <f ca="1">INDIRECT(ADDRESS(ROW()-1,COLUMN()))</f>
        <v>0x1076</v>
      </c>
      <c r="F187" s="57">
        <v>16</v>
      </c>
      <c r="G187" s="57">
        <v>0</v>
      </c>
      <c r="H187" s="57">
        <v>1</v>
      </c>
      <c r="I187" s="57" t="s">
        <v>76</v>
      </c>
      <c r="J187" s="50" t="str">
        <f t="shared" si="725"/>
        <v>[15:0]</v>
      </c>
      <c r="K187" s="50">
        <f t="shared" si="726"/>
        <v>-32768</v>
      </c>
      <c r="L187" s="50">
        <f t="shared" si="727"/>
        <v>32767</v>
      </c>
      <c r="M187" s="61" t="s">
        <v>484</v>
      </c>
      <c r="N187" s="28"/>
      <c r="O187" s="57">
        <v>3349</v>
      </c>
      <c r="P187" s="57">
        <f>O187</f>
        <v>3349</v>
      </c>
      <c r="Q187" s="57">
        <f>O187</f>
        <v>3349</v>
      </c>
      <c r="R187" s="57">
        <f>O187</f>
        <v>3349</v>
      </c>
      <c r="S187" s="163">
        <f>P187</f>
        <v>3349</v>
      </c>
      <c r="T187" s="163">
        <v>3349</v>
      </c>
      <c r="U187" s="163">
        <v>21215</v>
      </c>
      <c r="V187" s="163">
        <f>S187</f>
        <v>3349</v>
      </c>
      <c r="W187" s="59"/>
      <c r="X187" s="57">
        <f t="shared" ca="1" si="728"/>
        <v>3349</v>
      </c>
      <c r="Y187" s="32"/>
      <c r="AC187" s="12" t="b">
        <f t="shared" si="607"/>
        <v>1</v>
      </c>
      <c r="AD187" s="12" t="str">
        <f t="shared" si="729"/>
        <v>-</v>
      </c>
      <c r="AE187" s="12" t="str">
        <f t="shared" si="730"/>
        <v>-</v>
      </c>
      <c r="AF187" s="12" t="str">
        <f t="shared" ca="1" si="731"/>
        <v>0x1076</v>
      </c>
      <c r="AG187" s="12" t="str">
        <f t="shared" si="732"/>
        <v>B3_2</v>
      </c>
      <c r="AH187" s="12">
        <f t="shared" si="733"/>
        <v>16</v>
      </c>
      <c r="AI187" s="12">
        <f t="shared" si="734"/>
        <v>15</v>
      </c>
      <c r="AJ187" s="12">
        <f t="shared" si="735"/>
        <v>0</v>
      </c>
      <c r="AK187" s="12">
        <f t="shared" si="736"/>
        <v>65535</v>
      </c>
      <c r="AL187" s="12" t="str">
        <f t="shared" si="737"/>
        <v>-</v>
      </c>
      <c r="AM187" s="22">
        <f t="shared" si="617"/>
        <v>3349</v>
      </c>
      <c r="AN187" s="12">
        <f t="shared" si="738"/>
        <v>3349</v>
      </c>
      <c r="AO187" s="22" t="str">
        <f ca="1">IF(AF187="-",VLOOKUP(AD187,MemoryView!$A$3:$F$108,6,0),MID(VLOOKUP(AF187,MemoryView!$BD$3:$BE$108,2,0),15-AI187+1,AH187))</f>
        <v>0000110100010101</v>
      </c>
      <c r="AP187" s="22">
        <f t="shared" ca="1" si="739"/>
        <v>3349</v>
      </c>
      <c r="AQ187" s="53" t="str">
        <f t="shared" si="740"/>
        <v>`EE_MNG.B3_2.SET(3349);        // [-32768..32767]</v>
      </c>
      <c r="AR187" s="54" t="str">
        <f t="shared" ca="1" si="741"/>
        <v>EE_MEM #(`PARAM(16'h1076, 0, 16, 1)) B3_2(); bit signed [16-1:0] B3_2_V; assign B3_2_V = B3_2.GET;</v>
      </c>
      <c r="AS187" s="12" t="str">
        <f t="shared" ca="1" si="742"/>
        <v>EE_B3_2</v>
      </c>
    </row>
    <row r="188" spans="2:45">
      <c r="B188" s="47" t="str">
        <f t="shared" ca="1" si="724"/>
        <v>CUST</v>
      </c>
      <c r="C188" s="47" t="s">
        <v>480</v>
      </c>
      <c r="D188" s="48" t="s">
        <v>58</v>
      </c>
      <c r="E188" s="60" t="str">
        <f ca="1">"0x"&amp;DEC2HEX(HEX2DEC(RIGHT(INDIRECT(ADDRESS(ROW()-1,COLUMN())),4))+2,4)</f>
        <v>0x1078</v>
      </c>
      <c r="F188" s="49">
        <v>16</v>
      </c>
      <c r="G188" s="49">
        <v>0</v>
      </c>
      <c r="H188" s="49">
        <v>1</v>
      </c>
      <c r="I188" s="49" t="s">
        <v>58</v>
      </c>
      <c r="J188" s="50" t="str">
        <f t="shared" si="725"/>
        <v>-</v>
      </c>
      <c r="K188" s="50">
        <f t="shared" si="726"/>
        <v>-32768</v>
      </c>
      <c r="L188" s="50">
        <f t="shared" si="727"/>
        <v>32767</v>
      </c>
      <c r="M188" s="51" t="s">
        <v>483</v>
      </c>
      <c r="N188" s="28"/>
      <c r="O188" s="52"/>
      <c r="P188" s="52"/>
      <c r="Q188" s="52"/>
      <c r="R188" s="52"/>
      <c r="S188" s="140"/>
      <c r="T188" s="165"/>
      <c r="U188" s="165"/>
      <c r="V188" s="165"/>
      <c r="W188" s="28"/>
      <c r="X188" s="52">
        <f t="shared" ca="1" si="728"/>
        <v>2</v>
      </c>
      <c r="Y188" s="32"/>
      <c r="AC188" s="12">
        <f t="shared" si="607"/>
        <v>1</v>
      </c>
      <c r="AD188" s="12" t="str">
        <f t="shared" ca="1" si="729"/>
        <v>0x1078</v>
      </c>
      <c r="AE188" s="12" t="str">
        <f t="shared" si="730"/>
        <v>EE_C0_2</v>
      </c>
      <c r="AF188" s="12" t="str">
        <f t="shared" si="731"/>
        <v>-</v>
      </c>
      <c r="AG188" s="12" t="str">
        <f t="shared" si="732"/>
        <v>-</v>
      </c>
      <c r="AH188" s="12" t="str">
        <f t="shared" si="733"/>
        <v>-</v>
      </c>
      <c r="AI188" s="12" t="str">
        <f t="shared" si="734"/>
        <v>-</v>
      </c>
      <c r="AJ188" s="12" t="str">
        <f t="shared" si="735"/>
        <v>-</v>
      </c>
      <c r="AK188" s="12" t="str">
        <f t="shared" ca="1" si="736"/>
        <v>0x1078</v>
      </c>
      <c r="AL188" s="12" t="str">
        <f t="shared" ca="1" si="737"/>
        <v>CUST</v>
      </c>
      <c r="AM188" s="22">
        <f t="shared" si="617"/>
        <v>0</v>
      </c>
      <c r="AN188" s="12" t="str">
        <f t="shared" ca="1" si="738"/>
        <v>0x1078</v>
      </c>
      <c r="AO188" s="22" t="str">
        <f ca="1">IF(AF188="-",VLOOKUP(AD188,MemoryView!$A$3:$F$108,6,0),MID(VLOOKUP(AF188,MemoryView!$BD$3:$BE$108,2,0),15-AI188+1,AH188))</f>
        <v>0002</v>
      </c>
      <c r="AP188" s="22">
        <f t="shared" ca="1" si="739"/>
        <v>2</v>
      </c>
      <c r="AQ188" s="53" t="str">
        <f t="shared" si="740"/>
        <v>-</v>
      </c>
      <c r="AR188" s="54" t="str">
        <f t="shared" ca="1" si="741"/>
        <v>EE_MEM #(`PARAM(16'h1078, 0, 16, 1)) EE_C0_2(); bit signed [16-1:0] EE_C0_2_V; assign EE_C0_2_V = EE_C0_2.GET;</v>
      </c>
      <c r="AS188" s="12" t="str">
        <f t="shared" ca="1" si="742"/>
        <v>EE_C0_2</v>
      </c>
    </row>
    <row r="189" spans="2:45">
      <c r="B189" s="55" t="str">
        <f t="shared" ca="1" si="724"/>
        <v>CUST</v>
      </c>
      <c r="C189" s="55" t="s">
        <v>58</v>
      </c>
      <c r="D189" s="56" t="str">
        <f>RIGHT(C188,LEN(C188)-3)</f>
        <v>C0_2</v>
      </c>
      <c r="E189" s="57" t="str">
        <f ca="1">INDIRECT(ADDRESS(ROW()-1,COLUMN()))</f>
        <v>0x1078</v>
      </c>
      <c r="F189" s="57">
        <v>16</v>
      </c>
      <c r="G189" s="57">
        <v>0</v>
      </c>
      <c r="H189" s="57">
        <v>1</v>
      </c>
      <c r="I189" s="57" t="s">
        <v>76</v>
      </c>
      <c r="J189" s="50" t="str">
        <f t="shared" si="725"/>
        <v>[15:0]</v>
      </c>
      <c r="K189" s="50">
        <f t="shared" si="726"/>
        <v>-32768</v>
      </c>
      <c r="L189" s="50">
        <f t="shared" si="727"/>
        <v>32767</v>
      </c>
      <c r="M189" s="61" t="s">
        <v>484</v>
      </c>
      <c r="N189" s="28"/>
      <c r="O189" s="57">
        <v>2</v>
      </c>
      <c r="P189" s="57">
        <f>O189</f>
        <v>2</v>
      </c>
      <c r="Q189" s="57">
        <f>O189</f>
        <v>2</v>
      </c>
      <c r="R189" s="57">
        <f>O189</f>
        <v>2</v>
      </c>
      <c r="S189" s="163">
        <f>P189</f>
        <v>2</v>
      </c>
      <c r="T189" s="163">
        <v>2</v>
      </c>
      <c r="U189" s="163">
        <v>29142</v>
      </c>
      <c r="V189" s="163">
        <f>S189</f>
        <v>2</v>
      </c>
      <c r="W189" s="59"/>
      <c r="X189" s="57">
        <f t="shared" ca="1" si="728"/>
        <v>2</v>
      </c>
      <c r="Y189" s="32"/>
      <c r="AC189" s="12" t="b">
        <f t="shared" si="607"/>
        <v>1</v>
      </c>
      <c r="AD189" s="12" t="str">
        <f t="shared" si="729"/>
        <v>-</v>
      </c>
      <c r="AE189" s="12" t="str">
        <f t="shared" si="730"/>
        <v>-</v>
      </c>
      <c r="AF189" s="12" t="str">
        <f t="shared" ca="1" si="731"/>
        <v>0x1078</v>
      </c>
      <c r="AG189" s="12" t="str">
        <f t="shared" si="732"/>
        <v>C0_2</v>
      </c>
      <c r="AH189" s="12">
        <f t="shared" si="733"/>
        <v>16</v>
      </c>
      <c r="AI189" s="12">
        <f t="shared" si="734"/>
        <v>15</v>
      </c>
      <c r="AJ189" s="12">
        <f t="shared" si="735"/>
        <v>0</v>
      </c>
      <c r="AK189" s="12">
        <f t="shared" si="736"/>
        <v>65535</v>
      </c>
      <c r="AL189" s="12" t="str">
        <f t="shared" si="737"/>
        <v>-</v>
      </c>
      <c r="AM189" s="22">
        <f t="shared" si="617"/>
        <v>2</v>
      </c>
      <c r="AN189" s="12">
        <f t="shared" si="738"/>
        <v>2</v>
      </c>
      <c r="AO189" s="22" t="str">
        <f ca="1">IF(AF189="-",VLOOKUP(AD189,MemoryView!$A$3:$F$108,6,0),MID(VLOOKUP(AF189,MemoryView!$BD$3:$BE$108,2,0),15-AI189+1,AH189))</f>
        <v>0000000000000010</v>
      </c>
      <c r="AP189" s="22">
        <f t="shared" ca="1" si="739"/>
        <v>2</v>
      </c>
      <c r="AQ189" s="53" t="str">
        <f t="shared" si="740"/>
        <v>`EE_MNG.C0_2.SET(2);        // [-32768..32767]</v>
      </c>
      <c r="AR189" s="54" t="str">
        <f t="shared" ca="1" si="741"/>
        <v>EE_MEM #(`PARAM(16'h1078, 0, 16, 1)) C0_2(); bit signed [16-1:0] C0_2_V; assign C0_2_V = C0_2.GET;</v>
      </c>
      <c r="AS189" s="12" t="str">
        <f t="shared" ca="1" si="742"/>
        <v>EE_C0_2</v>
      </c>
    </row>
    <row r="190" spans="2:45">
      <c r="B190" s="47" t="str">
        <f t="shared" ca="1" si="724"/>
        <v>CUST</v>
      </c>
      <c r="C190" s="47" t="s">
        <v>481</v>
      </c>
      <c r="D190" s="48" t="s">
        <v>58</v>
      </c>
      <c r="E190" s="60" t="str">
        <f ca="1">"0x"&amp;DEC2HEX(HEX2DEC(RIGHT(INDIRECT(ADDRESS(ROW()-1,COLUMN())),4))+2,4)</f>
        <v>0x107A</v>
      </c>
      <c r="F190" s="49">
        <v>16</v>
      </c>
      <c r="G190" s="49">
        <v>0</v>
      </c>
      <c r="H190" s="49">
        <v>1</v>
      </c>
      <c r="I190" s="49" t="s">
        <v>58</v>
      </c>
      <c r="J190" s="50" t="str">
        <f t="shared" si="725"/>
        <v>-</v>
      </c>
      <c r="K190" s="50">
        <f t="shared" si="726"/>
        <v>-32768</v>
      </c>
      <c r="L190" s="50">
        <f t="shared" si="727"/>
        <v>32767</v>
      </c>
      <c r="M190" s="51" t="s">
        <v>483</v>
      </c>
      <c r="N190" s="28"/>
      <c r="O190" s="52"/>
      <c r="P190" s="52"/>
      <c r="Q190" s="52"/>
      <c r="R190" s="52"/>
      <c r="S190" s="140"/>
      <c r="T190" s="165"/>
      <c r="U190" s="165"/>
      <c r="V190" s="165"/>
      <c r="W190" s="28"/>
      <c r="X190" s="52">
        <f t="shared" ca="1" si="728"/>
        <v>0</v>
      </c>
      <c r="Y190" s="32"/>
      <c r="AC190" s="12">
        <f t="shared" si="607"/>
        <v>1</v>
      </c>
      <c r="AD190" s="12" t="str">
        <f t="shared" ca="1" si="729"/>
        <v>0x107A</v>
      </c>
      <c r="AE190" s="12" t="str">
        <f t="shared" si="730"/>
        <v>EE_C1_2</v>
      </c>
      <c r="AF190" s="12" t="str">
        <f t="shared" si="731"/>
        <v>-</v>
      </c>
      <c r="AG190" s="12" t="str">
        <f t="shared" si="732"/>
        <v>-</v>
      </c>
      <c r="AH190" s="12" t="str">
        <f t="shared" si="733"/>
        <v>-</v>
      </c>
      <c r="AI190" s="12" t="str">
        <f t="shared" si="734"/>
        <v>-</v>
      </c>
      <c r="AJ190" s="12" t="str">
        <f t="shared" si="735"/>
        <v>-</v>
      </c>
      <c r="AK190" s="12" t="str">
        <f t="shared" ca="1" si="736"/>
        <v>0x107A</v>
      </c>
      <c r="AL190" s="12" t="str">
        <f t="shared" ca="1" si="737"/>
        <v>CUST</v>
      </c>
      <c r="AM190" s="22">
        <f t="shared" si="617"/>
        <v>0</v>
      </c>
      <c r="AN190" s="12" t="str">
        <f t="shared" ca="1" si="738"/>
        <v>0x107A</v>
      </c>
      <c r="AO190" s="22" t="str">
        <f ca="1">IF(AF190="-",VLOOKUP(AD190,MemoryView!$A$3:$F$108,6,0),MID(VLOOKUP(AF190,MemoryView!$BD$3:$BE$108,2,0),15-AI190+1,AH190))</f>
        <v>0000</v>
      </c>
      <c r="AP190" s="22">
        <f t="shared" ca="1" si="739"/>
        <v>0</v>
      </c>
      <c r="AQ190" s="53" t="str">
        <f t="shared" si="740"/>
        <v>-</v>
      </c>
      <c r="AR190" s="54" t="str">
        <f t="shared" ca="1" si="741"/>
        <v>EE_MEM #(`PARAM(16'h107A, 0, 16, 1)) EE_C1_2(); bit signed [16-1:0] EE_C1_2_V; assign EE_C1_2_V = EE_C1_2.GET;</v>
      </c>
      <c r="AS190" s="12" t="str">
        <f t="shared" ca="1" si="742"/>
        <v>EE_C1_2</v>
      </c>
    </row>
    <row r="191" spans="2:45">
      <c r="B191" s="55" t="str">
        <f t="shared" ca="1" si="724"/>
        <v>CUST</v>
      </c>
      <c r="C191" s="55" t="s">
        <v>58</v>
      </c>
      <c r="D191" s="56" t="str">
        <f>RIGHT(C190,LEN(C190)-3)</f>
        <v>C1_2</v>
      </c>
      <c r="E191" s="57" t="str">
        <f ca="1">INDIRECT(ADDRESS(ROW()-1,COLUMN()))</f>
        <v>0x107A</v>
      </c>
      <c r="F191" s="57">
        <v>16</v>
      </c>
      <c r="G191" s="57">
        <v>0</v>
      </c>
      <c r="H191" s="57">
        <v>1</v>
      </c>
      <c r="I191" s="57" t="s">
        <v>76</v>
      </c>
      <c r="J191" s="50" t="str">
        <f t="shared" si="725"/>
        <v>[15:0]</v>
      </c>
      <c r="K191" s="50">
        <f t="shared" si="726"/>
        <v>-32768</v>
      </c>
      <c r="L191" s="50">
        <f t="shared" si="727"/>
        <v>32767</v>
      </c>
      <c r="M191" s="61" t="s">
        <v>484</v>
      </c>
      <c r="N191" s="28"/>
      <c r="O191" s="57">
        <v>0</v>
      </c>
      <c r="P191" s="57">
        <f>O191</f>
        <v>0</v>
      </c>
      <c r="Q191" s="57">
        <f>O191</f>
        <v>0</v>
      </c>
      <c r="R191" s="57">
        <f>O191</f>
        <v>0</v>
      </c>
      <c r="S191" s="163">
        <f>P191</f>
        <v>0</v>
      </c>
      <c r="T191" s="163">
        <v>0</v>
      </c>
      <c r="U191" s="163">
        <v>33499</v>
      </c>
      <c r="V191" s="163">
        <f>S191</f>
        <v>0</v>
      </c>
      <c r="W191" s="59"/>
      <c r="X191" s="57">
        <f t="shared" ca="1" si="728"/>
        <v>0</v>
      </c>
      <c r="Y191" s="32"/>
      <c r="AC191" s="12" t="b">
        <f t="shared" si="607"/>
        <v>1</v>
      </c>
      <c r="AD191" s="12" t="str">
        <f t="shared" si="729"/>
        <v>-</v>
      </c>
      <c r="AE191" s="12" t="str">
        <f t="shared" si="730"/>
        <v>-</v>
      </c>
      <c r="AF191" s="12" t="str">
        <f t="shared" ca="1" si="731"/>
        <v>0x107A</v>
      </c>
      <c r="AG191" s="12" t="str">
        <f t="shared" si="732"/>
        <v>C1_2</v>
      </c>
      <c r="AH191" s="12">
        <f t="shared" si="733"/>
        <v>16</v>
      </c>
      <c r="AI191" s="12">
        <f t="shared" si="734"/>
        <v>15</v>
      </c>
      <c r="AJ191" s="12">
        <f t="shared" si="735"/>
        <v>0</v>
      </c>
      <c r="AK191" s="12">
        <f t="shared" si="736"/>
        <v>65535</v>
      </c>
      <c r="AL191" s="12" t="str">
        <f t="shared" si="737"/>
        <v>-</v>
      </c>
      <c r="AM191" s="22">
        <f t="shared" si="617"/>
        <v>0</v>
      </c>
      <c r="AN191" s="12">
        <f t="shared" si="738"/>
        <v>0</v>
      </c>
      <c r="AO191" s="22" t="str">
        <f ca="1">IF(AF191="-",VLOOKUP(AD191,MemoryView!$A$3:$F$108,6,0),MID(VLOOKUP(AF191,MemoryView!$BD$3:$BE$108,2,0),15-AI191+1,AH191))</f>
        <v>0000000000000000</v>
      </c>
      <c r="AP191" s="22">
        <f t="shared" ca="1" si="739"/>
        <v>0</v>
      </c>
      <c r="AQ191" s="53" t="str">
        <f t="shared" si="740"/>
        <v>`EE_MNG.C1_2.SET(0);        // [-32768..32767]</v>
      </c>
      <c r="AR191" s="54" t="str">
        <f t="shared" ca="1" si="741"/>
        <v>EE_MEM #(`PARAM(16'h107A, 0, 16, 1)) C1_2(); bit signed [16-1:0] C1_2_V; assign C1_2_V = C1_2.GET;</v>
      </c>
      <c r="AS191" s="12" t="str">
        <f t="shared" ca="1" si="742"/>
        <v>EE_C1_2</v>
      </c>
    </row>
    <row r="192" spans="2:45">
      <c r="B192" s="47" t="str">
        <f t="shared" ref="B192:B306" ca="1" si="743">INDIRECT(ADDRESS(ROW()-1,COLUMN()))</f>
        <v>CUST</v>
      </c>
      <c r="C192" s="47" t="s">
        <v>132</v>
      </c>
      <c r="D192" s="48" t="s">
        <v>58</v>
      </c>
      <c r="E192" s="60" t="str">
        <f ca="1">"0x"&amp;DEC2HEX(HEX2DEC(RIGHT(INDIRECT(ADDRESS(ROW()-1,COLUMN())),4))+2,4)</f>
        <v>0x107C</v>
      </c>
      <c r="F192" s="49">
        <v>16</v>
      </c>
      <c r="G192" s="49">
        <v>0</v>
      </c>
      <c r="H192" s="49">
        <v>1</v>
      </c>
      <c r="I192" s="49" t="s">
        <v>58</v>
      </c>
      <c r="J192" s="50" t="str">
        <f t="shared" ref="J192:J292" si="744">IF(D192&lt;&gt;"-","["&amp;AI192&amp;":"&amp;AJ192&amp;"]","-")</f>
        <v>-</v>
      </c>
      <c r="K192" s="50">
        <f t="shared" ref="K192:K292" si="745">IF(H192,-L192-1,0)</f>
        <v>-32768</v>
      </c>
      <c r="L192" s="50">
        <f t="shared" ref="L192:L292" si="746">IF(H192,FLOOR((2^F192-1)/2,1),2^F192-1)</f>
        <v>32767</v>
      </c>
      <c r="M192" s="51" t="s">
        <v>133</v>
      </c>
      <c r="N192" s="28"/>
      <c r="O192" s="52"/>
      <c r="P192" s="52"/>
      <c r="Q192" s="52"/>
      <c r="R192" s="52"/>
      <c r="S192" s="140"/>
      <c r="T192" s="165"/>
      <c r="U192" s="165"/>
      <c r="V192" s="165"/>
      <c r="W192" s="28"/>
      <c r="X192" s="52">
        <f t="shared" ref="X192:X292" ca="1" si="747">IF(H192=0,AP192,    IF(AP192&lt;=2^(F192-1)-1,AP192,AP192-2^F192)  )</f>
        <v>585</v>
      </c>
      <c r="Y192" s="32"/>
      <c r="AC192" s="12">
        <f t="shared" si="607"/>
        <v>1</v>
      </c>
      <c r="AD192" s="12" t="str">
        <f t="shared" ref="AD192:AD292" ca="1" si="748">IF(AND(D192="-",C192&lt;&gt;"-"),E192,"-")</f>
        <v>0x107C</v>
      </c>
      <c r="AE192" s="12" t="str">
        <f t="shared" ref="AE192:AE292" si="749">IF(D192="-",C192,"-")</f>
        <v>EE_N0</v>
      </c>
      <c r="AF192" s="12" t="str">
        <f t="shared" ref="AF192:AF292" si="750">IF(AND(D192&lt;&gt;"-",ISTEXT(D192)),E192,"-")</f>
        <v>-</v>
      </c>
      <c r="AG192" s="12" t="str">
        <f t="shared" ref="AG192:AG292" si="751">IF(AND(D192&lt;&gt;"-",ISTEXT(D192)),D192,"-")</f>
        <v>-</v>
      </c>
      <c r="AH192" s="12" t="str">
        <f t="shared" ref="AH192:AH292" si="752">IF(D192&lt;&gt;"-",F192,"-")</f>
        <v>-</v>
      </c>
      <c r="AI192" s="12" t="str">
        <f t="shared" ref="AI192:AI292" si="753">IF(D192&lt;&gt;"-",G192+F192-1,"-")</f>
        <v>-</v>
      </c>
      <c r="AJ192" s="12" t="str">
        <f t="shared" ref="AJ192:AJ292" si="754">IF(D192&lt;&gt;"-",G192,"-")</f>
        <v>-</v>
      </c>
      <c r="AK192" s="12" t="str">
        <f t="shared" ref="AK192:AK292" ca="1" si="755">IF(OR(AH192="-",AJ192="-"),AD192,(2^AH192-1)*2^AJ192)</f>
        <v>0x107C</v>
      </c>
      <c r="AL192" s="12" t="str">
        <f t="shared" ref="AL192:AL292" ca="1" si="756">IF(D192="-",B192,"-")</f>
        <v>CUST</v>
      </c>
      <c r="AM192" s="22">
        <f t="shared" si="617"/>
        <v>0</v>
      </c>
      <c r="AN192" s="12" t="str">
        <f t="shared" ref="AN192:AN292" ca="1" si="757">IF(OR(AH192="-",AJ192="-"),AD192,IF(AM192&lt;0,AM192+2^AH192,AM192)*2^AJ192)</f>
        <v>0x107C</v>
      </c>
      <c r="AO192" s="22" t="str">
        <f ca="1">IF(AF192="-",VLOOKUP(AD192,MemoryView!$A$3:$F$108,6,0),MID(VLOOKUP(AF192,MemoryView!$BD$3:$BE$108,2,0),15-AI192+1,AH192))</f>
        <v>0249</v>
      </c>
      <c r="AP192" s="22">
        <f t="shared" ref="AP192:AP292" ca="1" si="758">IF(AF192="-",HEX2DEC(AO192),IF(LEN(AO192)&gt;8,BIN2DEC(LEFT(AO192,LEN(AO192)-8))*2^8+BIN2DEC(RIGHT(AO192,8)),BIN2DEC(AO192)))</f>
        <v>585</v>
      </c>
      <c r="AQ192" s="53" t="str">
        <f t="shared" ref="AQ192:AQ292" si="759">IF(AG192&lt;&gt;"-",CONCATENATE("`EE_MNG.",AG192,".SET(",AM192,");        // [",K192,"..",L192,"]"),"-")</f>
        <v>-</v>
      </c>
      <c r="AR192" s="54" t="str">
        <f t="shared" ref="AR192:AR292" ca="1" si="760">IF(AND(AD192="-",AE192="-",AF192="-",AG192="-"),"-",IF(AG192&lt;&gt;"-",CONCATENATE("EE_MEM #(`PARAM(16'h",RIGHT(AF192,4),", ",G192,", ",F192,", ",H192,")) ",AG192,"(); bit ",IF(H192=0,"unsigned [","signed ["),F192,"-1:0] ", AG192,"_V; assign ",AG192,"_V = ",AG192,".GET;"), CONCATENATE("EE_MEM #(`PARAM(16'h",RIGHT(AD192,4),", ",G192,", ",F192,", ",H192,")) ",AE192,"(); bit ",IF(H192=0,"unsigned [","signed ["),F192,"-1:0] ", AE192,"_V; assign ",AE192,"_V = ",AE192,".GET;")))</f>
        <v>EE_MEM #(`PARAM(16'h107C, 0, 16, 1)) EE_N0(); bit signed [16-1:0] EE_N0_V; assign EE_N0_V = EE_N0.GET;</v>
      </c>
      <c r="AS192" s="12" t="str">
        <f t="shared" ref="AS192:AS292" ca="1" si="761">IF(AG192="-",AE192,INDIRECT(ADDRESS(ROW()-1,COLUMN())))</f>
        <v>EE_N0</v>
      </c>
    </row>
    <row r="193" spans="2:45">
      <c r="B193" s="55" t="str">
        <f t="shared" ca="1" si="743"/>
        <v>CUST</v>
      </c>
      <c r="C193" s="55" t="s">
        <v>58</v>
      </c>
      <c r="D193" s="56" t="str">
        <f>RIGHT(C192,LEN(C192)-3)</f>
        <v>N0</v>
      </c>
      <c r="E193" s="57" t="str">
        <f ca="1">INDIRECT(ADDRESS(ROW()-1,COLUMN()))</f>
        <v>0x107C</v>
      </c>
      <c r="F193" s="57">
        <v>16</v>
      </c>
      <c r="G193" s="57">
        <v>0</v>
      </c>
      <c r="H193" s="57">
        <v>1</v>
      </c>
      <c r="I193" s="57" t="s">
        <v>76</v>
      </c>
      <c r="J193" s="50" t="str">
        <f t="shared" si="744"/>
        <v>[15:0]</v>
      </c>
      <c r="K193" s="50">
        <f t="shared" si="745"/>
        <v>-32768</v>
      </c>
      <c r="L193" s="50">
        <f t="shared" si="746"/>
        <v>32767</v>
      </c>
      <c r="M193" s="58" t="s">
        <v>134</v>
      </c>
      <c r="N193" s="28"/>
      <c r="O193" s="57">
        <v>1072</v>
      </c>
      <c r="P193" s="57">
        <f>O193</f>
        <v>1072</v>
      </c>
      <c r="Q193" s="57">
        <f>O193</f>
        <v>1072</v>
      </c>
      <c r="R193" s="57">
        <f>O193</f>
        <v>1072</v>
      </c>
      <c r="S193" s="163">
        <v>585</v>
      </c>
      <c r="T193" s="163">
        <v>585</v>
      </c>
      <c r="U193" s="163">
        <v>8276</v>
      </c>
      <c r="V193" s="163">
        <v>1024</v>
      </c>
      <c r="W193" s="59"/>
      <c r="X193" s="57">
        <f t="shared" ca="1" si="747"/>
        <v>585</v>
      </c>
      <c r="Y193" s="32"/>
      <c r="AC193" s="12" t="b">
        <f t="shared" si="607"/>
        <v>1</v>
      </c>
      <c r="AD193" s="12" t="str">
        <f t="shared" si="748"/>
        <v>-</v>
      </c>
      <c r="AE193" s="12" t="str">
        <f t="shared" si="749"/>
        <v>-</v>
      </c>
      <c r="AF193" s="12" t="str">
        <f t="shared" ca="1" si="750"/>
        <v>0x107C</v>
      </c>
      <c r="AG193" s="12" t="str">
        <f t="shared" si="751"/>
        <v>N0</v>
      </c>
      <c r="AH193" s="12">
        <f t="shared" si="752"/>
        <v>16</v>
      </c>
      <c r="AI193" s="12">
        <f t="shared" si="753"/>
        <v>15</v>
      </c>
      <c r="AJ193" s="12">
        <f t="shared" si="754"/>
        <v>0</v>
      </c>
      <c r="AK193" s="12">
        <f t="shared" si="755"/>
        <v>65535</v>
      </c>
      <c r="AL193" s="12" t="str">
        <f t="shared" si="756"/>
        <v>-</v>
      </c>
      <c r="AM193" s="22">
        <f t="shared" si="617"/>
        <v>585</v>
      </c>
      <c r="AN193" s="12">
        <f t="shared" si="757"/>
        <v>585</v>
      </c>
      <c r="AO193" s="22" t="str">
        <f ca="1">IF(AF193="-",VLOOKUP(AD193,MemoryView!$A$3:$F$108,6,0),MID(VLOOKUP(AF193,MemoryView!$BD$3:$BE$108,2,0),15-AI193+1,AH193))</f>
        <v>0000001001001001</v>
      </c>
      <c r="AP193" s="22">
        <f t="shared" ca="1" si="758"/>
        <v>585</v>
      </c>
      <c r="AQ193" s="53" t="str">
        <f t="shared" si="759"/>
        <v>`EE_MNG.N0.SET(585);        // [-32768..32767]</v>
      </c>
      <c r="AR193" s="54" t="str">
        <f t="shared" ca="1" si="760"/>
        <v>EE_MEM #(`PARAM(16'h107C, 0, 16, 1)) N0(); bit signed [16-1:0] N0_V; assign N0_V = N0.GET;</v>
      </c>
      <c r="AS193" s="12" t="str">
        <f t="shared" ca="1" si="761"/>
        <v>EE_N0</v>
      </c>
    </row>
    <row r="194" spans="2:45">
      <c r="B194" s="47" t="str">
        <f t="shared" ca="1" si="743"/>
        <v>CUST</v>
      </c>
      <c r="C194" s="47" t="s">
        <v>135</v>
      </c>
      <c r="D194" s="48" t="s">
        <v>58</v>
      </c>
      <c r="E194" s="60" t="str">
        <f ca="1">"0x"&amp;DEC2HEX(HEX2DEC(RIGHT(INDIRECT(ADDRESS(ROW()-1,COLUMN())),4))+2,4)</f>
        <v>0x107E</v>
      </c>
      <c r="F194" s="49">
        <v>16</v>
      </c>
      <c r="G194" s="49">
        <v>0</v>
      </c>
      <c r="H194" s="49">
        <v>1</v>
      </c>
      <c r="I194" s="49" t="s">
        <v>58</v>
      </c>
      <c r="J194" s="50" t="str">
        <f t="shared" si="744"/>
        <v>-</v>
      </c>
      <c r="K194" s="50">
        <f t="shared" si="745"/>
        <v>-32768</v>
      </c>
      <c r="L194" s="50">
        <f t="shared" si="746"/>
        <v>32767</v>
      </c>
      <c r="M194" s="51" t="s">
        <v>133</v>
      </c>
      <c r="N194" s="28"/>
      <c r="O194" s="52"/>
      <c r="P194" s="52"/>
      <c r="Q194" s="52"/>
      <c r="R194" s="52"/>
      <c r="S194" s="140"/>
      <c r="T194" s="165"/>
      <c r="U194" s="165"/>
      <c r="V194" s="165"/>
      <c r="W194" s="28"/>
      <c r="X194" s="52">
        <f t="shared" ca="1" si="747"/>
        <v>2048</v>
      </c>
      <c r="Y194" s="32"/>
      <c r="AC194" s="12">
        <f t="shared" si="607"/>
        <v>1</v>
      </c>
      <c r="AD194" s="12" t="str">
        <f t="shared" ca="1" si="748"/>
        <v>0x107E</v>
      </c>
      <c r="AE194" s="12" t="str">
        <f t="shared" si="749"/>
        <v>EE_N1</v>
      </c>
      <c r="AF194" s="12" t="str">
        <f t="shared" si="750"/>
        <v>-</v>
      </c>
      <c r="AG194" s="12" t="str">
        <f t="shared" si="751"/>
        <v>-</v>
      </c>
      <c r="AH194" s="12" t="str">
        <f t="shared" si="752"/>
        <v>-</v>
      </c>
      <c r="AI194" s="12" t="str">
        <f t="shared" si="753"/>
        <v>-</v>
      </c>
      <c r="AJ194" s="12" t="str">
        <f t="shared" si="754"/>
        <v>-</v>
      </c>
      <c r="AK194" s="12" t="str">
        <f t="shared" ca="1" si="755"/>
        <v>0x107E</v>
      </c>
      <c r="AL194" s="12" t="str">
        <f t="shared" ca="1" si="756"/>
        <v>CUST</v>
      </c>
      <c r="AM194" s="22">
        <f t="shared" si="617"/>
        <v>0</v>
      </c>
      <c r="AN194" s="12" t="str">
        <f t="shared" ca="1" si="757"/>
        <v>0x107E</v>
      </c>
      <c r="AO194" s="22" t="str">
        <f ca="1">IF(AF194="-",VLOOKUP(AD194,MemoryView!$A$3:$F$108,6,0),MID(VLOOKUP(AF194,MemoryView!$BD$3:$BE$108,2,0),15-AI194+1,AH194))</f>
        <v>0800</v>
      </c>
      <c r="AP194" s="22">
        <f t="shared" ca="1" si="758"/>
        <v>2048</v>
      </c>
      <c r="AQ194" s="53" t="str">
        <f t="shared" si="759"/>
        <v>-</v>
      </c>
      <c r="AR194" s="54" t="str">
        <f t="shared" ca="1" si="760"/>
        <v>EE_MEM #(`PARAM(16'h107E, 0, 16, 1)) EE_N1(); bit signed [16-1:0] EE_N1_V; assign EE_N1_V = EE_N1.GET;</v>
      </c>
      <c r="AS194" s="12" t="str">
        <f t="shared" ca="1" si="761"/>
        <v>EE_N1</v>
      </c>
    </row>
    <row r="195" spans="2:45">
      <c r="B195" s="55" t="str">
        <f t="shared" ca="1" si="743"/>
        <v>CUST</v>
      </c>
      <c r="C195" s="55" t="s">
        <v>58</v>
      </c>
      <c r="D195" s="56" t="str">
        <f>RIGHT(C194,LEN(C194)-3)</f>
        <v>N1</v>
      </c>
      <c r="E195" s="57" t="str">
        <f ca="1">INDIRECT(ADDRESS(ROW()-1,COLUMN()))</f>
        <v>0x107E</v>
      </c>
      <c r="F195" s="57">
        <v>16</v>
      </c>
      <c r="G195" s="57">
        <v>0</v>
      </c>
      <c r="H195" s="57">
        <v>1</v>
      </c>
      <c r="I195" s="57" t="s">
        <v>76</v>
      </c>
      <c r="J195" s="50" t="str">
        <f t="shared" si="744"/>
        <v>[15:0]</v>
      </c>
      <c r="K195" s="50">
        <f t="shared" si="745"/>
        <v>-32768</v>
      </c>
      <c r="L195" s="50">
        <f t="shared" si="746"/>
        <v>32767</v>
      </c>
      <c r="M195" s="58" t="s">
        <v>134</v>
      </c>
      <c r="N195" s="28"/>
      <c r="O195" s="57">
        <v>4988</v>
      </c>
      <c r="P195" s="57">
        <f>O195</f>
        <v>4988</v>
      </c>
      <c r="Q195" s="57">
        <f>O195</f>
        <v>4988</v>
      </c>
      <c r="R195" s="57">
        <f>O195</f>
        <v>4988</v>
      </c>
      <c r="S195" s="163">
        <v>2048</v>
      </c>
      <c r="T195" s="163">
        <v>2048</v>
      </c>
      <c r="U195" s="163">
        <v>32265</v>
      </c>
      <c r="V195" s="163">
        <v>4763</v>
      </c>
      <c r="W195" s="59"/>
      <c r="X195" s="57">
        <f t="shared" ca="1" si="747"/>
        <v>2048</v>
      </c>
      <c r="Y195" s="32"/>
      <c r="AC195" s="12" t="b">
        <f t="shared" si="607"/>
        <v>1</v>
      </c>
      <c r="AD195" s="12" t="str">
        <f t="shared" si="748"/>
        <v>-</v>
      </c>
      <c r="AE195" s="12" t="str">
        <f t="shared" si="749"/>
        <v>-</v>
      </c>
      <c r="AF195" s="12" t="str">
        <f t="shared" ca="1" si="750"/>
        <v>0x107E</v>
      </c>
      <c r="AG195" s="12" t="str">
        <f t="shared" si="751"/>
        <v>N1</v>
      </c>
      <c r="AH195" s="12">
        <f t="shared" si="752"/>
        <v>16</v>
      </c>
      <c r="AI195" s="12">
        <f t="shared" si="753"/>
        <v>15</v>
      </c>
      <c r="AJ195" s="12">
        <f t="shared" si="754"/>
        <v>0</v>
      </c>
      <c r="AK195" s="12">
        <f t="shared" si="755"/>
        <v>65535</v>
      </c>
      <c r="AL195" s="12" t="str">
        <f t="shared" si="756"/>
        <v>-</v>
      </c>
      <c r="AM195" s="22">
        <f t="shared" si="617"/>
        <v>2048</v>
      </c>
      <c r="AN195" s="12">
        <f t="shared" si="757"/>
        <v>2048</v>
      </c>
      <c r="AO195" s="22" t="str">
        <f ca="1">IF(AF195="-",VLOOKUP(AD195,MemoryView!$A$3:$F$108,6,0),MID(VLOOKUP(AF195,MemoryView!$BD$3:$BE$108,2,0),15-AI195+1,AH195))</f>
        <v>0000100000000000</v>
      </c>
      <c r="AP195" s="22">
        <f t="shared" ca="1" si="758"/>
        <v>2048</v>
      </c>
      <c r="AQ195" s="53" t="str">
        <f t="shared" si="759"/>
        <v>`EE_MNG.N1.SET(2048);        // [-32768..32767]</v>
      </c>
      <c r="AR195" s="54" t="str">
        <f t="shared" ca="1" si="760"/>
        <v>EE_MEM #(`PARAM(16'h107E, 0, 16, 1)) N1(); bit signed [16-1:0] N1_V; assign N1_V = N1.GET;</v>
      </c>
      <c r="AS195" s="12" t="str">
        <f t="shared" ca="1" si="761"/>
        <v>EE_N1</v>
      </c>
    </row>
    <row r="196" spans="2:45">
      <c r="B196" s="47" t="str">
        <f t="shared" ca="1" si="743"/>
        <v>CUST</v>
      </c>
      <c r="C196" s="47" t="s">
        <v>136</v>
      </c>
      <c r="D196" s="48" t="s">
        <v>58</v>
      </c>
      <c r="E196" s="60" t="str">
        <f ca="1">"0x"&amp;DEC2HEX(HEX2DEC(RIGHT(INDIRECT(ADDRESS(ROW()-1,COLUMN())),4))+2,4)</f>
        <v>0x1080</v>
      </c>
      <c r="F196" s="49">
        <v>16</v>
      </c>
      <c r="G196" s="49">
        <v>0</v>
      </c>
      <c r="H196" s="49">
        <v>1</v>
      </c>
      <c r="I196" s="49" t="s">
        <v>58</v>
      </c>
      <c r="J196" s="50" t="str">
        <f t="shared" si="744"/>
        <v>-</v>
      </c>
      <c r="K196" s="50">
        <f t="shared" si="745"/>
        <v>-32768</v>
      </c>
      <c r="L196" s="50">
        <f t="shared" si="746"/>
        <v>32767</v>
      </c>
      <c r="M196" s="51" t="s">
        <v>133</v>
      </c>
      <c r="N196" s="28"/>
      <c r="O196" s="52"/>
      <c r="P196" s="52"/>
      <c r="Q196" s="52"/>
      <c r="R196" s="52"/>
      <c r="S196" s="140"/>
      <c r="T196" s="165"/>
      <c r="U196" s="165"/>
      <c r="V196" s="165"/>
      <c r="W196" s="28"/>
      <c r="X196" s="52">
        <f t="shared" ca="1" si="747"/>
        <v>0</v>
      </c>
      <c r="Y196" s="32"/>
      <c r="AC196" s="12">
        <f t="shared" ref="AC196:AC211" si="762">IF($AG196="-",1,COUNTIF($AG$3:$AG$319,$AG196)&lt;2)</f>
        <v>1</v>
      </c>
      <c r="AD196" s="12" t="str">
        <f t="shared" ca="1" si="748"/>
        <v>0x1080</v>
      </c>
      <c r="AE196" s="12" t="str">
        <f t="shared" si="749"/>
        <v>EE_N2</v>
      </c>
      <c r="AF196" s="12" t="str">
        <f t="shared" si="750"/>
        <v>-</v>
      </c>
      <c r="AG196" s="12" t="str">
        <f t="shared" si="751"/>
        <v>-</v>
      </c>
      <c r="AH196" s="12" t="str">
        <f t="shared" si="752"/>
        <v>-</v>
      </c>
      <c r="AI196" s="12" t="str">
        <f t="shared" si="753"/>
        <v>-</v>
      </c>
      <c r="AJ196" s="12" t="str">
        <f t="shared" si="754"/>
        <v>-</v>
      </c>
      <c r="AK196" s="12" t="str">
        <f t="shared" ca="1" si="755"/>
        <v>0x1080</v>
      </c>
      <c r="AL196" s="12" t="str">
        <f t="shared" ca="1" si="756"/>
        <v>CUST</v>
      </c>
      <c r="AM196" s="22">
        <f t="shared" ref="AM196:AM211" si="763">HLOOKUP($AM$2,$N$2:$W$319,ROW()-ROW($AM$2)+1,0)</f>
        <v>0</v>
      </c>
      <c r="AN196" s="12" t="str">
        <f t="shared" ca="1" si="757"/>
        <v>0x1080</v>
      </c>
      <c r="AO196" s="22" t="str">
        <f ca="1">IF(AF196="-",VLOOKUP(AD196,MemoryView!$A$3:$F$108,6,0),MID(VLOOKUP(AF196,MemoryView!$BD$3:$BE$108,2,0),15-AI196+1,AH196))</f>
        <v>0000</v>
      </c>
      <c r="AP196" s="22">
        <f t="shared" ca="1" si="758"/>
        <v>0</v>
      </c>
      <c r="AQ196" s="53" t="str">
        <f t="shared" si="759"/>
        <v>-</v>
      </c>
      <c r="AR196" s="54" t="str">
        <f t="shared" ca="1" si="760"/>
        <v>EE_MEM #(`PARAM(16'h1080, 0, 16, 1)) EE_N2(); bit signed [16-1:0] EE_N2_V; assign EE_N2_V = EE_N2.GET;</v>
      </c>
      <c r="AS196" s="12" t="str">
        <f t="shared" ca="1" si="761"/>
        <v>EE_N2</v>
      </c>
    </row>
    <row r="197" spans="2:45">
      <c r="B197" s="55" t="str">
        <f t="shared" ca="1" si="743"/>
        <v>CUST</v>
      </c>
      <c r="C197" s="55" t="s">
        <v>58</v>
      </c>
      <c r="D197" s="56" t="str">
        <f>RIGHT(C196,LEN(C196)-3)</f>
        <v>N2</v>
      </c>
      <c r="E197" s="57" t="str">
        <f ca="1">INDIRECT(ADDRESS(ROW()-1,COLUMN()))</f>
        <v>0x1080</v>
      </c>
      <c r="F197" s="57">
        <v>16</v>
      </c>
      <c r="G197" s="57">
        <v>0</v>
      </c>
      <c r="H197" s="57">
        <v>1</v>
      </c>
      <c r="I197" s="57" t="s">
        <v>76</v>
      </c>
      <c r="J197" s="50" t="str">
        <f t="shared" si="744"/>
        <v>[15:0]</v>
      </c>
      <c r="K197" s="50">
        <f t="shared" si="745"/>
        <v>-32768</v>
      </c>
      <c r="L197" s="50">
        <f t="shared" si="746"/>
        <v>32767</v>
      </c>
      <c r="M197" s="58" t="s">
        <v>134</v>
      </c>
      <c r="N197" s="28"/>
      <c r="O197" s="57">
        <v>8</v>
      </c>
      <c r="P197" s="57">
        <f>O197</f>
        <v>8</v>
      </c>
      <c r="Q197" s="57">
        <f>O197</f>
        <v>8</v>
      </c>
      <c r="R197" s="57">
        <f>O197</f>
        <v>8</v>
      </c>
      <c r="S197" s="163">
        <v>0</v>
      </c>
      <c r="T197" s="163">
        <v>0</v>
      </c>
      <c r="U197" s="163">
        <v>24287</v>
      </c>
      <c r="V197" s="163">
        <v>-1</v>
      </c>
      <c r="W197" s="59"/>
      <c r="X197" s="57">
        <f t="shared" ca="1" si="747"/>
        <v>0</v>
      </c>
      <c r="Y197" s="32"/>
      <c r="AC197" s="12" t="b">
        <f t="shared" si="762"/>
        <v>1</v>
      </c>
      <c r="AD197" s="12" t="str">
        <f t="shared" si="748"/>
        <v>-</v>
      </c>
      <c r="AE197" s="12" t="str">
        <f t="shared" si="749"/>
        <v>-</v>
      </c>
      <c r="AF197" s="12" t="str">
        <f t="shared" ca="1" si="750"/>
        <v>0x1080</v>
      </c>
      <c r="AG197" s="12" t="str">
        <f t="shared" si="751"/>
        <v>N2</v>
      </c>
      <c r="AH197" s="12">
        <f t="shared" si="752"/>
        <v>16</v>
      </c>
      <c r="AI197" s="12">
        <f t="shared" si="753"/>
        <v>15</v>
      </c>
      <c r="AJ197" s="12">
        <f t="shared" si="754"/>
        <v>0</v>
      </c>
      <c r="AK197" s="12">
        <f t="shared" si="755"/>
        <v>65535</v>
      </c>
      <c r="AL197" s="12" t="str">
        <f t="shared" si="756"/>
        <v>-</v>
      </c>
      <c r="AM197" s="22">
        <f t="shared" si="763"/>
        <v>0</v>
      </c>
      <c r="AN197" s="12">
        <f t="shared" si="757"/>
        <v>0</v>
      </c>
      <c r="AO197" s="22" t="str">
        <f ca="1">IF(AF197="-",VLOOKUP(AD197,MemoryView!$A$3:$F$108,6,0),MID(VLOOKUP(AF197,MemoryView!$BD$3:$BE$108,2,0),15-AI197+1,AH197))</f>
        <v>0000000000000000</v>
      </c>
      <c r="AP197" s="22">
        <f t="shared" ca="1" si="758"/>
        <v>0</v>
      </c>
      <c r="AQ197" s="53" t="str">
        <f t="shared" si="759"/>
        <v>`EE_MNG.N2.SET(0);        // [-32768..32767]</v>
      </c>
      <c r="AR197" s="54" t="str">
        <f t="shared" ca="1" si="760"/>
        <v>EE_MEM #(`PARAM(16'h1080, 0, 16, 1)) N2(); bit signed [16-1:0] N2_V; assign N2_V = N2.GET;</v>
      </c>
      <c r="AS197" s="12" t="str">
        <f t="shared" ca="1" si="761"/>
        <v>EE_N2</v>
      </c>
    </row>
    <row r="198" spans="2:45">
      <c r="B198" s="47" t="str">
        <f t="shared" ca="1" si="743"/>
        <v>CUST</v>
      </c>
      <c r="C198" s="47" t="s">
        <v>137</v>
      </c>
      <c r="D198" s="48" t="s">
        <v>58</v>
      </c>
      <c r="E198" s="60" t="str">
        <f ca="1">"0x"&amp;DEC2HEX(HEX2DEC(RIGHT(INDIRECT(ADDRESS(ROW()-1,COLUMN())),4))+2,4)</f>
        <v>0x1082</v>
      </c>
      <c r="F198" s="49">
        <v>16</v>
      </c>
      <c r="G198" s="49">
        <v>0</v>
      </c>
      <c r="H198" s="49">
        <v>1</v>
      </c>
      <c r="I198" s="49" t="s">
        <v>58</v>
      </c>
      <c r="J198" s="50" t="str">
        <f t="shared" si="744"/>
        <v>-</v>
      </c>
      <c r="K198" s="50">
        <f t="shared" si="745"/>
        <v>-32768</v>
      </c>
      <c r="L198" s="50">
        <f t="shared" si="746"/>
        <v>32767</v>
      </c>
      <c r="M198" s="51" t="s">
        <v>133</v>
      </c>
      <c r="N198" s="28"/>
      <c r="O198" s="52"/>
      <c r="P198" s="52"/>
      <c r="Q198" s="52"/>
      <c r="R198" s="52"/>
      <c r="S198" s="140"/>
      <c r="T198" s="165"/>
      <c r="U198" s="165"/>
      <c r="V198" s="165"/>
      <c r="W198" s="28"/>
      <c r="X198" s="52">
        <f t="shared" ca="1" si="747"/>
        <v>0</v>
      </c>
      <c r="Y198" s="32"/>
      <c r="AC198" s="12">
        <f t="shared" si="762"/>
        <v>1</v>
      </c>
      <c r="AD198" s="12" t="str">
        <f t="shared" ca="1" si="748"/>
        <v>0x1082</v>
      </c>
      <c r="AE198" s="12" t="str">
        <f t="shared" si="749"/>
        <v>EE_N3</v>
      </c>
      <c r="AF198" s="12" t="str">
        <f t="shared" si="750"/>
        <v>-</v>
      </c>
      <c r="AG198" s="12" t="str">
        <f t="shared" si="751"/>
        <v>-</v>
      </c>
      <c r="AH198" s="12" t="str">
        <f t="shared" si="752"/>
        <v>-</v>
      </c>
      <c r="AI198" s="12" t="str">
        <f t="shared" si="753"/>
        <v>-</v>
      </c>
      <c r="AJ198" s="12" t="str">
        <f t="shared" si="754"/>
        <v>-</v>
      </c>
      <c r="AK198" s="12" t="str">
        <f t="shared" ca="1" si="755"/>
        <v>0x1082</v>
      </c>
      <c r="AL198" s="12" t="str">
        <f t="shared" ca="1" si="756"/>
        <v>CUST</v>
      </c>
      <c r="AM198" s="22">
        <f t="shared" si="763"/>
        <v>0</v>
      </c>
      <c r="AN198" s="12" t="str">
        <f t="shared" ca="1" si="757"/>
        <v>0x1082</v>
      </c>
      <c r="AO198" s="22" t="str">
        <f ca="1">IF(AF198="-",VLOOKUP(AD198,MemoryView!$A$3:$F$108,6,0),MID(VLOOKUP(AF198,MemoryView!$BD$3:$BE$108,2,0),15-AI198+1,AH198))</f>
        <v>0000</v>
      </c>
      <c r="AP198" s="22">
        <f t="shared" ca="1" si="758"/>
        <v>0</v>
      </c>
      <c r="AQ198" s="53" t="str">
        <f t="shared" si="759"/>
        <v>-</v>
      </c>
      <c r="AR198" s="54" t="str">
        <f t="shared" ca="1" si="760"/>
        <v>EE_MEM #(`PARAM(16'h1082, 0, 16, 1)) EE_N3(); bit signed [16-1:0] EE_N3_V; assign EE_N3_V = EE_N3.GET;</v>
      </c>
      <c r="AS198" s="12" t="str">
        <f t="shared" ca="1" si="761"/>
        <v>EE_N3</v>
      </c>
    </row>
    <row r="199" spans="2:45">
      <c r="B199" s="55" t="str">
        <f t="shared" ca="1" si="743"/>
        <v>CUST</v>
      </c>
      <c r="C199" s="55" t="s">
        <v>58</v>
      </c>
      <c r="D199" s="56" t="str">
        <f>RIGHT(C198,LEN(C198)-3)</f>
        <v>N3</v>
      </c>
      <c r="E199" s="57" t="str">
        <f ca="1">INDIRECT(ADDRESS(ROW()-1,COLUMN()))</f>
        <v>0x1082</v>
      </c>
      <c r="F199" s="57">
        <v>16</v>
      </c>
      <c r="G199" s="57">
        <v>0</v>
      </c>
      <c r="H199" s="57">
        <v>1</v>
      </c>
      <c r="I199" s="57" t="s">
        <v>76</v>
      </c>
      <c r="J199" s="50" t="str">
        <f t="shared" si="744"/>
        <v>[15:0]</v>
      </c>
      <c r="K199" s="50">
        <f t="shared" si="745"/>
        <v>-32768</v>
      </c>
      <c r="L199" s="50">
        <f t="shared" si="746"/>
        <v>32767</v>
      </c>
      <c r="M199" s="58" t="s">
        <v>134</v>
      </c>
      <c r="N199" s="28"/>
      <c r="O199" s="57">
        <v>-90</v>
      </c>
      <c r="P199" s="57">
        <f>O199</f>
        <v>-90</v>
      </c>
      <c r="Q199" s="57">
        <f>O199</f>
        <v>-90</v>
      </c>
      <c r="R199" s="57">
        <f>O199</f>
        <v>-90</v>
      </c>
      <c r="S199" s="163">
        <v>0</v>
      </c>
      <c r="T199" s="163">
        <v>0</v>
      </c>
      <c r="U199" s="163">
        <v>33499</v>
      </c>
      <c r="V199" s="163">
        <v>2</v>
      </c>
      <c r="W199" s="59"/>
      <c r="X199" s="57">
        <f t="shared" ca="1" si="747"/>
        <v>0</v>
      </c>
      <c r="Y199" s="32"/>
      <c r="AC199" s="12" t="b">
        <f t="shared" si="762"/>
        <v>1</v>
      </c>
      <c r="AD199" s="12" t="str">
        <f t="shared" si="748"/>
        <v>-</v>
      </c>
      <c r="AE199" s="12" t="str">
        <f t="shared" si="749"/>
        <v>-</v>
      </c>
      <c r="AF199" s="12" t="str">
        <f t="shared" ca="1" si="750"/>
        <v>0x1082</v>
      </c>
      <c r="AG199" s="12" t="str">
        <f t="shared" si="751"/>
        <v>N3</v>
      </c>
      <c r="AH199" s="12">
        <f t="shared" si="752"/>
        <v>16</v>
      </c>
      <c r="AI199" s="12">
        <f t="shared" si="753"/>
        <v>15</v>
      </c>
      <c r="AJ199" s="12">
        <f t="shared" si="754"/>
        <v>0</v>
      </c>
      <c r="AK199" s="12">
        <f t="shared" si="755"/>
        <v>65535</v>
      </c>
      <c r="AL199" s="12" t="str">
        <f t="shared" si="756"/>
        <v>-</v>
      </c>
      <c r="AM199" s="22">
        <f t="shared" si="763"/>
        <v>0</v>
      </c>
      <c r="AN199" s="12">
        <f t="shared" si="757"/>
        <v>0</v>
      </c>
      <c r="AO199" s="22" t="str">
        <f ca="1">IF(AF199="-",VLOOKUP(AD199,MemoryView!$A$3:$F$108,6,0),MID(VLOOKUP(AF199,MemoryView!$BD$3:$BE$108,2,0),15-AI199+1,AH199))</f>
        <v>0000000000000000</v>
      </c>
      <c r="AP199" s="22">
        <f t="shared" ca="1" si="758"/>
        <v>0</v>
      </c>
      <c r="AQ199" s="53" t="str">
        <f t="shared" si="759"/>
        <v>`EE_MNG.N3.SET(0);        // [-32768..32767]</v>
      </c>
      <c r="AR199" s="54" t="str">
        <f t="shared" ca="1" si="760"/>
        <v>EE_MEM #(`PARAM(16'h1082, 0, 16, 1)) N3(); bit signed [16-1:0] N3_V; assign N3_V = N3.GET;</v>
      </c>
      <c r="AS199" s="12" t="str">
        <f t="shared" ca="1" si="761"/>
        <v>EE_N3</v>
      </c>
    </row>
    <row r="200" spans="2:45">
      <c r="B200" s="47" t="str">
        <f t="shared" ca="1" si="743"/>
        <v>CUST</v>
      </c>
      <c r="C200" s="47" t="s">
        <v>138</v>
      </c>
      <c r="D200" s="48" t="s">
        <v>58</v>
      </c>
      <c r="E200" s="60" t="str">
        <f ca="1">"0x"&amp;DEC2HEX(HEX2DEC(RIGHT(INDIRECT(ADDRESS(ROW()-1,COLUMN())),4))+2,4)</f>
        <v>0x1084</v>
      </c>
      <c r="F200" s="49">
        <v>16</v>
      </c>
      <c r="G200" s="49">
        <v>0</v>
      </c>
      <c r="H200" s="49">
        <v>1</v>
      </c>
      <c r="I200" s="49" t="s">
        <v>58</v>
      </c>
      <c r="J200" s="50" t="str">
        <f t="shared" si="744"/>
        <v>-</v>
      </c>
      <c r="K200" s="50">
        <f t="shared" si="745"/>
        <v>-32768</v>
      </c>
      <c r="L200" s="50">
        <f t="shared" si="746"/>
        <v>32767</v>
      </c>
      <c r="M200" s="51" t="s">
        <v>139</v>
      </c>
      <c r="N200" s="28"/>
      <c r="O200" s="52"/>
      <c r="P200" s="52"/>
      <c r="Q200" s="52"/>
      <c r="R200" s="52"/>
      <c r="S200" s="140"/>
      <c r="T200" s="165"/>
      <c r="U200" s="165"/>
      <c r="V200" s="165"/>
      <c r="W200" s="28"/>
      <c r="X200" s="52">
        <f t="shared" ca="1" si="747"/>
        <v>3563</v>
      </c>
      <c r="Y200" s="32"/>
      <c r="AC200" s="12">
        <f t="shared" si="762"/>
        <v>1</v>
      </c>
      <c r="AD200" s="12" t="str">
        <f t="shared" ca="1" si="748"/>
        <v>0x1084</v>
      </c>
      <c r="AE200" s="12" t="str">
        <f t="shared" si="749"/>
        <v>EE_SHA</v>
      </c>
      <c r="AF200" s="12" t="str">
        <f t="shared" si="750"/>
        <v>-</v>
      </c>
      <c r="AG200" s="12" t="str">
        <f t="shared" si="751"/>
        <v>-</v>
      </c>
      <c r="AH200" s="12" t="str">
        <f t="shared" si="752"/>
        <v>-</v>
      </c>
      <c r="AI200" s="12" t="str">
        <f t="shared" si="753"/>
        <v>-</v>
      </c>
      <c r="AJ200" s="12" t="str">
        <f t="shared" si="754"/>
        <v>-</v>
      </c>
      <c r="AK200" s="12" t="str">
        <f t="shared" ca="1" si="755"/>
        <v>0x1084</v>
      </c>
      <c r="AL200" s="12" t="str">
        <f t="shared" ca="1" si="756"/>
        <v>CUST</v>
      </c>
      <c r="AM200" s="22">
        <f t="shared" si="763"/>
        <v>0</v>
      </c>
      <c r="AN200" s="12" t="str">
        <f t="shared" ca="1" si="757"/>
        <v>0x1084</v>
      </c>
      <c r="AO200" s="22" t="str">
        <f ca="1">IF(AF200="-",VLOOKUP(AD200,MemoryView!$A$3:$F$108,6,0),MID(VLOOKUP(AF200,MemoryView!$BD$3:$BE$108,2,0),15-AI200+1,AH200))</f>
        <v>0DEB</v>
      </c>
      <c r="AP200" s="22">
        <f t="shared" ca="1" si="758"/>
        <v>3563</v>
      </c>
      <c r="AQ200" s="53" t="str">
        <f t="shared" si="759"/>
        <v>-</v>
      </c>
      <c r="AR200" s="54" t="str">
        <f t="shared" ca="1" si="760"/>
        <v>EE_MEM #(`PARAM(16'h1084, 0, 16, 1)) EE_SHA(); bit signed [16-1:0] EE_SHA_V; assign EE_SHA_V = EE_SHA.GET;</v>
      </c>
      <c r="AS200" s="12" t="str">
        <f t="shared" ca="1" si="761"/>
        <v>EE_SHA</v>
      </c>
    </row>
    <row r="201" spans="2:45">
      <c r="B201" s="55" t="str">
        <f t="shared" ca="1" si="743"/>
        <v>CUST</v>
      </c>
      <c r="C201" s="55" t="s">
        <v>58</v>
      </c>
      <c r="D201" s="56" t="str">
        <f>RIGHT(C200,LEN(C200)-3)</f>
        <v>SHA</v>
      </c>
      <c r="E201" s="57" t="str">
        <f ca="1">INDIRECT(ADDRESS(ROW()-1,COLUMN()))</f>
        <v>0x1084</v>
      </c>
      <c r="F201" s="57">
        <v>16</v>
      </c>
      <c r="G201" s="57">
        <v>0</v>
      </c>
      <c r="H201" s="57">
        <v>1</v>
      </c>
      <c r="I201" s="57" t="s">
        <v>76</v>
      </c>
      <c r="J201" s="50" t="str">
        <f t="shared" si="744"/>
        <v>[15:0]</v>
      </c>
      <c r="K201" s="50">
        <f t="shared" si="745"/>
        <v>-32768</v>
      </c>
      <c r="L201" s="50">
        <f t="shared" si="746"/>
        <v>32767</v>
      </c>
      <c r="M201" s="58" t="s">
        <v>140</v>
      </c>
      <c r="N201" s="28"/>
      <c r="O201" s="57">
        <v>5389</v>
      </c>
      <c r="P201" s="57">
        <f>O201</f>
        <v>5389</v>
      </c>
      <c r="Q201" s="57">
        <f>O201</f>
        <v>5389</v>
      </c>
      <c r="R201" s="57">
        <f>O201</f>
        <v>5389</v>
      </c>
      <c r="S201" s="163">
        <v>3563</v>
      </c>
      <c r="T201" s="163">
        <v>3563</v>
      </c>
      <c r="U201" s="163">
        <v>16530</v>
      </c>
      <c r="V201" s="163">
        <f>S201</f>
        <v>3563</v>
      </c>
      <c r="W201" s="59"/>
      <c r="X201" s="57">
        <f t="shared" ca="1" si="747"/>
        <v>3563</v>
      </c>
      <c r="Y201" s="32"/>
      <c r="AC201" s="12" t="b">
        <f t="shared" si="762"/>
        <v>1</v>
      </c>
      <c r="AD201" s="12" t="str">
        <f t="shared" si="748"/>
        <v>-</v>
      </c>
      <c r="AE201" s="12" t="str">
        <f t="shared" si="749"/>
        <v>-</v>
      </c>
      <c r="AF201" s="12" t="str">
        <f t="shared" ca="1" si="750"/>
        <v>0x1084</v>
      </c>
      <c r="AG201" s="12" t="str">
        <f t="shared" si="751"/>
        <v>SHA</v>
      </c>
      <c r="AH201" s="12">
        <f t="shared" si="752"/>
        <v>16</v>
      </c>
      <c r="AI201" s="12">
        <f t="shared" si="753"/>
        <v>15</v>
      </c>
      <c r="AJ201" s="12">
        <f t="shared" si="754"/>
        <v>0</v>
      </c>
      <c r="AK201" s="12">
        <f t="shared" si="755"/>
        <v>65535</v>
      </c>
      <c r="AL201" s="12" t="str">
        <f t="shared" si="756"/>
        <v>-</v>
      </c>
      <c r="AM201" s="22">
        <f t="shared" si="763"/>
        <v>3563</v>
      </c>
      <c r="AN201" s="12">
        <f t="shared" si="757"/>
        <v>3563</v>
      </c>
      <c r="AO201" s="22" t="str">
        <f ca="1">IF(AF201="-",VLOOKUP(AD201,MemoryView!$A$3:$F$108,6,0),MID(VLOOKUP(AF201,MemoryView!$BD$3:$BE$108,2,0),15-AI201+1,AH201))</f>
        <v>0000110111101011</v>
      </c>
      <c r="AP201" s="22">
        <f t="shared" ca="1" si="758"/>
        <v>3563</v>
      </c>
      <c r="AQ201" s="53" t="str">
        <f t="shared" si="759"/>
        <v>`EE_MNG.SHA.SET(3563);        // [-32768..32767]</v>
      </c>
      <c r="AR201" s="54" t="str">
        <f t="shared" ca="1" si="760"/>
        <v>EE_MEM #(`PARAM(16'h1084, 0, 16, 1)) SHA(); bit signed [16-1:0] SHA_V; assign SHA_V = SHA.GET;</v>
      </c>
      <c r="AS201" s="12" t="str">
        <f t="shared" ca="1" si="761"/>
        <v>EE_SHA</v>
      </c>
    </row>
    <row r="202" spans="2:45">
      <c r="B202" s="47" t="str">
        <f t="shared" ca="1" si="743"/>
        <v>CUST</v>
      </c>
      <c r="C202" s="47" t="s">
        <v>141</v>
      </c>
      <c r="D202" s="48" t="s">
        <v>58</v>
      </c>
      <c r="E202" s="60" t="str">
        <f ca="1">"0x"&amp;DEC2HEX(HEX2DEC(RIGHT(INDIRECT(ADDRESS(ROW()-1,COLUMN())),4))+2,4)</f>
        <v>0x1086</v>
      </c>
      <c r="F202" s="49">
        <v>16</v>
      </c>
      <c r="G202" s="49">
        <v>0</v>
      </c>
      <c r="H202" s="49">
        <v>1</v>
      </c>
      <c r="I202" s="49" t="s">
        <v>58</v>
      </c>
      <c r="J202" s="50" t="str">
        <f t="shared" si="744"/>
        <v>-</v>
      </c>
      <c r="K202" s="50">
        <f t="shared" si="745"/>
        <v>-32768</v>
      </c>
      <c r="L202" s="50">
        <f t="shared" si="746"/>
        <v>32767</v>
      </c>
      <c r="M202" s="51" t="s">
        <v>139</v>
      </c>
      <c r="N202" s="28"/>
      <c r="O202" s="52"/>
      <c r="P202" s="52"/>
      <c r="Q202" s="52"/>
      <c r="R202" s="52"/>
      <c r="S202" s="165"/>
      <c r="T202" s="165"/>
      <c r="U202" s="165"/>
      <c r="V202" s="165"/>
      <c r="W202" s="28"/>
      <c r="X202" s="52">
        <f t="shared" ca="1" si="747"/>
        <v>17507</v>
      </c>
      <c r="Y202" s="32"/>
      <c r="AC202" s="12">
        <f t="shared" si="762"/>
        <v>1</v>
      </c>
      <c r="AD202" s="12" t="str">
        <f t="shared" ca="1" si="748"/>
        <v>0x1086</v>
      </c>
      <c r="AE202" s="12" t="str">
        <f t="shared" si="749"/>
        <v>EE_SHB</v>
      </c>
      <c r="AF202" s="12" t="str">
        <f t="shared" si="750"/>
        <v>-</v>
      </c>
      <c r="AG202" s="12" t="str">
        <f t="shared" si="751"/>
        <v>-</v>
      </c>
      <c r="AH202" s="12" t="str">
        <f t="shared" si="752"/>
        <v>-</v>
      </c>
      <c r="AI202" s="12" t="str">
        <f t="shared" si="753"/>
        <v>-</v>
      </c>
      <c r="AJ202" s="12" t="str">
        <f t="shared" si="754"/>
        <v>-</v>
      </c>
      <c r="AK202" s="12" t="str">
        <f t="shared" ca="1" si="755"/>
        <v>0x1086</v>
      </c>
      <c r="AL202" s="12" t="str">
        <f t="shared" ca="1" si="756"/>
        <v>CUST</v>
      </c>
      <c r="AM202" s="22">
        <f t="shared" si="763"/>
        <v>0</v>
      </c>
      <c r="AN202" s="12" t="str">
        <f t="shared" ca="1" si="757"/>
        <v>0x1086</v>
      </c>
      <c r="AO202" s="22" t="str">
        <f ca="1">IF(AF202="-",VLOOKUP(AD202,MemoryView!$A$3:$F$108,6,0),MID(VLOOKUP(AF202,MemoryView!$BD$3:$BE$108,2,0),15-AI202+1,AH202))</f>
        <v>4463</v>
      </c>
      <c r="AP202" s="22">
        <f t="shared" ca="1" si="758"/>
        <v>17507</v>
      </c>
      <c r="AQ202" s="53" t="str">
        <f t="shared" si="759"/>
        <v>-</v>
      </c>
      <c r="AR202" s="54" t="str">
        <f t="shared" ca="1" si="760"/>
        <v>EE_MEM #(`PARAM(16'h1086, 0, 16, 1)) EE_SHB(); bit signed [16-1:0] EE_SHB_V; assign EE_SHB_V = EE_SHB.GET;</v>
      </c>
      <c r="AS202" s="12" t="str">
        <f t="shared" ca="1" si="761"/>
        <v>EE_SHB</v>
      </c>
    </row>
    <row r="203" spans="2:45">
      <c r="B203" s="55" t="str">
        <f t="shared" ca="1" si="743"/>
        <v>CUST</v>
      </c>
      <c r="C203" s="55" t="s">
        <v>58</v>
      </c>
      <c r="D203" s="56" t="str">
        <f>RIGHT(C202,LEN(C202)-3)</f>
        <v>SHB</v>
      </c>
      <c r="E203" s="57" t="str">
        <f ca="1">INDIRECT(ADDRESS(ROW()-1,COLUMN()))</f>
        <v>0x1086</v>
      </c>
      <c r="F203" s="57">
        <v>16</v>
      </c>
      <c r="G203" s="57">
        <v>0</v>
      </c>
      <c r="H203" s="57">
        <v>1</v>
      </c>
      <c r="I203" s="57" t="s">
        <v>76</v>
      </c>
      <c r="J203" s="50" t="str">
        <f t="shared" si="744"/>
        <v>[15:0]</v>
      </c>
      <c r="K203" s="50">
        <f t="shared" si="745"/>
        <v>-32768</v>
      </c>
      <c r="L203" s="50">
        <f t="shared" si="746"/>
        <v>32767</v>
      </c>
      <c r="M203" s="58" t="s">
        <v>140</v>
      </c>
      <c r="N203" s="28"/>
      <c r="O203" s="57">
        <v>15852</v>
      </c>
      <c r="P203" s="57">
        <f>O203</f>
        <v>15852</v>
      </c>
      <c r="Q203" s="57">
        <f>O203</f>
        <v>15852</v>
      </c>
      <c r="R203" s="57">
        <f>O203</f>
        <v>15852</v>
      </c>
      <c r="S203" s="163">
        <v>17507</v>
      </c>
      <c r="T203" s="163">
        <v>17507</v>
      </c>
      <c r="U203" s="163">
        <v>32482</v>
      </c>
      <c r="V203" s="163">
        <f>S203</f>
        <v>17507</v>
      </c>
      <c r="W203" s="59"/>
      <c r="X203" s="57">
        <f t="shared" ca="1" si="747"/>
        <v>17507</v>
      </c>
      <c r="Y203" s="32"/>
      <c r="AC203" s="12" t="b">
        <f t="shared" si="762"/>
        <v>1</v>
      </c>
      <c r="AD203" s="12" t="str">
        <f t="shared" si="748"/>
        <v>-</v>
      </c>
      <c r="AE203" s="12" t="str">
        <f t="shared" si="749"/>
        <v>-</v>
      </c>
      <c r="AF203" s="12" t="str">
        <f t="shared" ca="1" si="750"/>
        <v>0x1086</v>
      </c>
      <c r="AG203" s="12" t="str">
        <f t="shared" si="751"/>
        <v>SHB</v>
      </c>
      <c r="AH203" s="12">
        <f t="shared" si="752"/>
        <v>16</v>
      </c>
      <c r="AI203" s="12">
        <f t="shared" si="753"/>
        <v>15</v>
      </c>
      <c r="AJ203" s="12">
        <f t="shared" si="754"/>
        <v>0</v>
      </c>
      <c r="AK203" s="12">
        <f t="shared" si="755"/>
        <v>65535</v>
      </c>
      <c r="AL203" s="12" t="str">
        <f t="shared" si="756"/>
        <v>-</v>
      </c>
      <c r="AM203" s="22">
        <f t="shared" si="763"/>
        <v>17507</v>
      </c>
      <c r="AN203" s="12">
        <f t="shared" si="757"/>
        <v>17507</v>
      </c>
      <c r="AO203" s="22" t="str">
        <f ca="1">IF(AF203="-",VLOOKUP(AD203,MemoryView!$A$3:$F$108,6,0),MID(VLOOKUP(AF203,MemoryView!$BD$3:$BE$108,2,0),15-AI203+1,AH203))</f>
        <v>0100010001100011</v>
      </c>
      <c r="AP203" s="22">
        <f t="shared" ca="1" si="758"/>
        <v>17507</v>
      </c>
      <c r="AQ203" s="53" t="str">
        <f t="shared" si="759"/>
        <v>`EE_MNG.SHB.SET(17507);        // [-32768..32767]</v>
      </c>
      <c r="AR203" s="54" t="str">
        <f t="shared" ca="1" si="760"/>
        <v>EE_MEM #(`PARAM(16'h1086, 0, 16, 1)) SHB(); bit signed [16-1:0] SHB_V; assign SHB_V = SHB.GET;</v>
      </c>
      <c r="AS203" s="12" t="str">
        <f t="shared" ca="1" si="761"/>
        <v>EE_SHB</v>
      </c>
    </row>
    <row r="204" spans="2:45">
      <c r="B204" s="47" t="str">
        <f t="shared" ca="1" si="743"/>
        <v>CUST</v>
      </c>
      <c r="C204" s="47" t="s">
        <v>142</v>
      </c>
      <c r="D204" s="48" t="s">
        <v>58</v>
      </c>
      <c r="E204" s="60" t="str">
        <f ca="1">"0x"&amp;DEC2HEX(HEX2DEC(RIGHT(INDIRECT(ADDRESS(ROW()-1,COLUMN())),4))+2,4)</f>
        <v>0x1088</v>
      </c>
      <c r="F204" s="49">
        <v>16</v>
      </c>
      <c r="G204" s="49">
        <v>0</v>
      </c>
      <c r="H204" s="49">
        <v>1</v>
      </c>
      <c r="I204" s="49" t="s">
        <v>58</v>
      </c>
      <c r="J204" s="50" t="str">
        <f t="shared" si="744"/>
        <v>-</v>
      </c>
      <c r="K204" s="50">
        <f t="shared" si="745"/>
        <v>-32768</v>
      </c>
      <c r="L204" s="50">
        <f t="shared" si="746"/>
        <v>32767</v>
      </c>
      <c r="M204" s="51" t="s">
        <v>139</v>
      </c>
      <c r="N204" s="28"/>
      <c r="O204" s="52"/>
      <c r="P204" s="52"/>
      <c r="Q204" s="52"/>
      <c r="R204" s="52"/>
      <c r="S204" s="165"/>
      <c r="T204" s="165"/>
      <c r="U204" s="165"/>
      <c r="V204" s="165"/>
      <c r="W204" s="28"/>
      <c r="X204" s="52">
        <f t="shared" ca="1" si="747"/>
        <v>2236</v>
      </c>
      <c r="Y204" s="32"/>
      <c r="AC204" s="12">
        <f t="shared" si="762"/>
        <v>1</v>
      </c>
      <c r="AD204" s="12" t="str">
        <f t="shared" ca="1" si="748"/>
        <v>0x1088</v>
      </c>
      <c r="AE204" s="12" t="str">
        <f t="shared" si="749"/>
        <v>EE_SHC</v>
      </c>
      <c r="AF204" s="12" t="str">
        <f t="shared" si="750"/>
        <v>-</v>
      </c>
      <c r="AG204" s="12" t="str">
        <f t="shared" si="751"/>
        <v>-</v>
      </c>
      <c r="AH204" s="12" t="str">
        <f t="shared" si="752"/>
        <v>-</v>
      </c>
      <c r="AI204" s="12" t="str">
        <f t="shared" si="753"/>
        <v>-</v>
      </c>
      <c r="AJ204" s="12" t="str">
        <f t="shared" si="754"/>
        <v>-</v>
      </c>
      <c r="AK204" s="12" t="str">
        <f t="shared" ca="1" si="755"/>
        <v>0x1088</v>
      </c>
      <c r="AL204" s="12" t="str">
        <f t="shared" ca="1" si="756"/>
        <v>CUST</v>
      </c>
      <c r="AM204" s="22">
        <f t="shared" si="763"/>
        <v>0</v>
      </c>
      <c r="AN204" s="12" t="str">
        <f t="shared" ca="1" si="757"/>
        <v>0x1088</v>
      </c>
      <c r="AO204" s="22" t="str">
        <f ca="1">IF(AF204="-",VLOOKUP(AD204,MemoryView!$A$3:$F$108,6,0),MID(VLOOKUP(AF204,MemoryView!$BD$3:$BE$108,2,0),15-AI204+1,AH204))</f>
        <v>08BC</v>
      </c>
      <c r="AP204" s="22">
        <f t="shared" ca="1" si="758"/>
        <v>2236</v>
      </c>
      <c r="AQ204" s="53" t="str">
        <f t="shared" si="759"/>
        <v>-</v>
      </c>
      <c r="AR204" s="54" t="str">
        <f t="shared" ca="1" si="760"/>
        <v>EE_MEM #(`PARAM(16'h1088, 0, 16, 1)) EE_SHC(); bit signed [16-1:0] EE_SHC_V; assign EE_SHC_V = EE_SHC.GET;</v>
      </c>
      <c r="AS204" s="12" t="str">
        <f t="shared" ca="1" si="761"/>
        <v>EE_SHC</v>
      </c>
    </row>
    <row r="205" spans="2:45">
      <c r="B205" s="55" t="str">
        <f t="shared" ca="1" si="743"/>
        <v>CUST</v>
      </c>
      <c r="C205" s="55" t="s">
        <v>58</v>
      </c>
      <c r="D205" s="56" t="str">
        <f>RIGHT(C204,LEN(C204)-3)</f>
        <v>SHC</v>
      </c>
      <c r="E205" s="57" t="str">
        <f ca="1">INDIRECT(ADDRESS(ROW()-1,COLUMN()))</f>
        <v>0x1088</v>
      </c>
      <c r="F205" s="57">
        <v>16</v>
      </c>
      <c r="G205" s="57">
        <v>0</v>
      </c>
      <c r="H205" s="57">
        <v>1</v>
      </c>
      <c r="I205" s="57" t="s">
        <v>76</v>
      </c>
      <c r="J205" s="50" t="str">
        <f t="shared" si="744"/>
        <v>[15:0]</v>
      </c>
      <c r="K205" s="50">
        <f t="shared" si="745"/>
        <v>-32768</v>
      </c>
      <c r="L205" s="50">
        <f t="shared" si="746"/>
        <v>32767</v>
      </c>
      <c r="M205" s="58" t="s">
        <v>140</v>
      </c>
      <c r="N205" s="28"/>
      <c r="O205" s="57">
        <v>1596</v>
      </c>
      <c r="P205" s="57">
        <f>O205</f>
        <v>1596</v>
      </c>
      <c r="Q205" s="57">
        <f>O205</f>
        <v>1596</v>
      </c>
      <c r="R205" s="57">
        <f>O205</f>
        <v>1596</v>
      </c>
      <c r="S205" s="163">
        <v>2236</v>
      </c>
      <c r="T205" s="163">
        <v>2236</v>
      </c>
      <c r="U205" s="163">
        <v>21517</v>
      </c>
      <c r="V205" s="163">
        <f>S205</f>
        <v>2236</v>
      </c>
      <c r="W205" s="59"/>
      <c r="X205" s="57">
        <f t="shared" ca="1" si="747"/>
        <v>2236</v>
      </c>
      <c r="Y205" s="32"/>
      <c r="AC205" s="12" t="b">
        <f t="shared" si="762"/>
        <v>1</v>
      </c>
      <c r="AD205" s="12" t="str">
        <f t="shared" si="748"/>
        <v>-</v>
      </c>
      <c r="AE205" s="12" t="str">
        <f t="shared" si="749"/>
        <v>-</v>
      </c>
      <c r="AF205" s="12" t="str">
        <f t="shared" ca="1" si="750"/>
        <v>0x1088</v>
      </c>
      <c r="AG205" s="12" t="str">
        <f t="shared" si="751"/>
        <v>SHC</v>
      </c>
      <c r="AH205" s="12">
        <f t="shared" si="752"/>
        <v>16</v>
      </c>
      <c r="AI205" s="12">
        <f t="shared" si="753"/>
        <v>15</v>
      </c>
      <c r="AJ205" s="12">
        <f t="shared" si="754"/>
        <v>0</v>
      </c>
      <c r="AK205" s="12">
        <f t="shared" si="755"/>
        <v>65535</v>
      </c>
      <c r="AL205" s="12" t="str">
        <f t="shared" si="756"/>
        <v>-</v>
      </c>
      <c r="AM205" s="22">
        <f t="shared" si="763"/>
        <v>2236</v>
      </c>
      <c r="AN205" s="12">
        <f t="shared" si="757"/>
        <v>2236</v>
      </c>
      <c r="AO205" s="22" t="str">
        <f ca="1">IF(AF205="-",VLOOKUP(AD205,MemoryView!$A$3:$F$108,6,0),MID(VLOOKUP(AF205,MemoryView!$BD$3:$BE$108,2,0),15-AI205+1,AH205))</f>
        <v>0000100010111100</v>
      </c>
      <c r="AP205" s="22">
        <f t="shared" ca="1" si="758"/>
        <v>2236</v>
      </c>
      <c r="AQ205" s="53" t="str">
        <f t="shared" si="759"/>
        <v>`EE_MNG.SHC.SET(2236);        // [-32768..32767]</v>
      </c>
      <c r="AR205" s="54" t="str">
        <f t="shared" ca="1" si="760"/>
        <v>EE_MEM #(`PARAM(16'h1088, 0, 16, 1)) SHC(); bit signed [16-1:0] SHC_V; assign SHC_V = SHC.GET;</v>
      </c>
      <c r="AS205" s="12" t="str">
        <f t="shared" ca="1" si="761"/>
        <v>EE_SHC</v>
      </c>
    </row>
    <row r="206" spans="2:45">
      <c r="B206" s="47" t="str">
        <f t="shared" ca="1" si="743"/>
        <v>CUST</v>
      </c>
      <c r="C206" s="47" t="s">
        <v>143</v>
      </c>
      <c r="D206" s="48" t="s">
        <v>58</v>
      </c>
      <c r="E206" s="60" t="str">
        <f ca="1">"0x"&amp;DEC2HEX(HEX2DEC(RIGHT(INDIRECT(ADDRESS(ROW()-1,COLUMN())),4))+2,4)</f>
        <v>0x108A</v>
      </c>
      <c r="F206" s="49">
        <v>16</v>
      </c>
      <c r="G206" s="49">
        <v>0</v>
      </c>
      <c r="H206" s="49">
        <v>0</v>
      </c>
      <c r="I206" s="49" t="s">
        <v>58</v>
      </c>
      <c r="J206" s="50" t="str">
        <f t="shared" si="744"/>
        <v>-</v>
      </c>
      <c r="K206" s="50">
        <f t="shared" si="745"/>
        <v>0</v>
      </c>
      <c r="L206" s="50">
        <f t="shared" si="746"/>
        <v>65535</v>
      </c>
      <c r="M206" s="51" t="s">
        <v>144</v>
      </c>
      <c r="N206" s="28"/>
      <c r="O206" s="52"/>
      <c r="P206" s="52"/>
      <c r="Q206" s="52"/>
      <c r="R206" s="52"/>
      <c r="S206" s="140"/>
      <c r="T206" s="165"/>
      <c r="U206" s="165"/>
      <c r="V206" s="165"/>
      <c r="W206" s="28"/>
      <c r="X206" s="52">
        <f t="shared" ca="1" si="747"/>
        <v>120</v>
      </c>
      <c r="Y206" s="32"/>
      <c r="AC206" s="12">
        <f t="shared" si="762"/>
        <v>1</v>
      </c>
      <c r="AD206" s="12" t="str">
        <f t="shared" ca="1" si="748"/>
        <v>0x108A</v>
      </c>
      <c r="AE206" s="12" t="str">
        <f t="shared" si="749"/>
        <v>EE_NTC_CAL0</v>
      </c>
      <c r="AF206" s="12" t="str">
        <f t="shared" si="750"/>
        <v>-</v>
      </c>
      <c r="AG206" s="12" t="str">
        <f t="shared" si="751"/>
        <v>-</v>
      </c>
      <c r="AH206" s="12" t="str">
        <f t="shared" si="752"/>
        <v>-</v>
      </c>
      <c r="AI206" s="12" t="str">
        <f t="shared" si="753"/>
        <v>-</v>
      </c>
      <c r="AJ206" s="12" t="str">
        <f t="shared" si="754"/>
        <v>-</v>
      </c>
      <c r="AK206" s="12" t="str">
        <f t="shared" ca="1" si="755"/>
        <v>0x108A</v>
      </c>
      <c r="AL206" s="12" t="str">
        <f t="shared" ca="1" si="756"/>
        <v>CUST</v>
      </c>
      <c r="AM206" s="22">
        <f t="shared" si="763"/>
        <v>0</v>
      </c>
      <c r="AN206" s="12" t="str">
        <f t="shared" ca="1" si="757"/>
        <v>0x108A</v>
      </c>
      <c r="AO206" s="22" t="str">
        <f ca="1">IF(AF206="-",VLOOKUP(AD206,MemoryView!$A$3:$F$108,6,0),MID(VLOOKUP(AF206,MemoryView!$BD$3:$BE$108,2,0),15-AI206+1,AH206))</f>
        <v>0078</v>
      </c>
      <c r="AP206" s="22">
        <f t="shared" ca="1" si="758"/>
        <v>120</v>
      </c>
      <c r="AQ206" s="53" t="str">
        <f t="shared" si="759"/>
        <v>-</v>
      </c>
      <c r="AR206" s="54" t="str">
        <f t="shared" ca="1" si="760"/>
        <v>EE_MEM #(`PARAM(16'h108A, 0, 16, 0)) EE_NTC_CAL0(); bit unsigned [16-1:0] EE_NTC_CAL0_V; assign EE_NTC_CAL0_V = EE_NTC_CAL0.GET;</v>
      </c>
      <c r="AS206" s="12" t="str">
        <f t="shared" ca="1" si="761"/>
        <v>EE_NTC_CAL0</v>
      </c>
    </row>
    <row r="207" spans="2:45" ht="38.25">
      <c r="B207" s="55" t="str">
        <f t="shared" ca="1" si="743"/>
        <v>CUST</v>
      </c>
      <c r="C207" s="55" t="s">
        <v>58</v>
      </c>
      <c r="D207" s="56" t="s">
        <v>145</v>
      </c>
      <c r="E207" s="57" t="str">
        <f ca="1">INDIRECT(ADDRESS(ROW()-1,COLUMN()))</f>
        <v>0x108A</v>
      </c>
      <c r="F207" s="57">
        <v>4</v>
      </c>
      <c r="G207" s="57">
        <v>4</v>
      </c>
      <c r="H207" s="57">
        <v>0</v>
      </c>
      <c r="I207" s="57" t="s">
        <v>68</v>
      </c>
      <c r="J207" s="50" t="str">
        <f t="shared" si="744"/>
        <v>[7:4]</v>
      </c>
      <c r="K207" s="50">
        <f t="shared" si="745"/>
        <v>0</v>
      </c>
      <c r="L207" s="50">
        <f t="shared" si="746"/>
        <v>15</v>
      </c>
      <c r="M207" s="61" t="s">
        <v>486</v>
      </c>
      <c r="N207" s="28"/>
      <c r="O207" s="57">
        <v>7</v>
      </c>
      <c r="P207" s="57">
        <f t="shared" ref="P207:P208" si="764">O207</f>
        <v>7</v>
      </c>
      <c r="Q207" s="57">
        <f t="shared" ref="Q207:Q208" si="765">O207</f>
        <v>7</v>
      </c>
      <c r="R207" s="57">
        <f t="shared" ref="R207:S208" si="766">O207</f>
        <v>7</v>
      </c>
      <c r="S207" s="163">
        <f t="shared" si="766"/>
        <v>7</v>
      </c>
      <c r="T207" s="163">
        <v>7</v>
      </c>
      <c r="U207" s="163">
        <f>S207</f>
        <v>7</v>
      </c>
      <c r="V207" s="163">
        <f>S207</f>
        <v>7</v>
      </c>
      <c r="W207" s="59"/>
      <c r="X207" s="57">
        <f t="shared" ca="1" si="747"/>
        <v>7</v>
      </c>
      <c r="Y207" s="32"/>
      <c r="AC207" s="12" t="b">
        <f t="shared" si="762"/>
        <v>1</v>
      </c>
      <c r="AD207" s="12" t="str">
        <f t="shared" si="748"/>
        <v>-</v>
      </c>
      <c r="AE207" s="12" t="str">
        <f t="shared" si="749"/>
        <v>-</v>
      </c>
      <c r="AF207" s="12" t="str">
        <f t="shared" ca="1" si="750"/>
        <v>0x108A</v>
      </c>
      <c r="AG207" s="12" t="str">
        <f t="shared" si="751"/>
        <v>NTC_THRD_LR</v>
      </c>
      <c r="AH207" s="12">
        <f t="shared" si="752"/>
        <v>4</v>
      </c>
      <c r="AI207" s="12">
        <f t="shared" si="753"/>
        <v>7</v>
      </c>
      <c r="AJ207" s="12">
        <f t="shared" si="754"/>
        <v>4</v>
      </c>
      <c r="AK207" s="12">
        <f t="shared" si="755"/>
        <v>240</v>
      </c>
      <c r="AL207" s="12" t="str">
        <f t="shared" si="756"/>
        <v>-</v>
      </c>
      <c r="AM207" s="22">
        <f t="shared" si="763"/>
        <v>7</v>
      </c>
      <c r="AN207" s="12">
        <f t="shared" si="757"/>
        <v>112</v>
      </c>
      <c r="AO207" s="22" t="str">
        <f ca="1">IF(AF207="-",VLOOKUP(AD207,MemoryView!$A$3:$F$108,6,0),MID(VLOOKUP(AF207,MemoryView!$BD$3:$BE$108,2,0),15-AI207+1,AH207))</f>
        <v>0111</v>
      </c>
      <c r="AP207" s="22">
        <f t="shared" ca="1" si="758"/>
        <v>7</v>
      </c>
      <c r="AQ207" s="53" t="str">
        <f t="shared" si="759"/>
        <v>`EE_MNG.NTC_THRD_LR.SET(7);        // [0..15]</v>
      </c>
      <c r="AR207" s="54" t="str">
        <f t="shared" ca="1" si="760"/>
        <v>EE_MEM #(`PARAM(16'h108A, 4, 4, 0)) NTC_THRD_LR(); bit unsigned [4-1:0] NTC_THRD_LR_V; assign NTC_THRD_LR_V = NTC_THRD_LR.GET;</v>
      </c>
      <c r="AS207" s="12" t="str">
        <f t="shared" ca="1" si="761"/>
        <v>EE_NTC_CAL0</v>
      </c>
    </row>
    <row r="208" spans="2:45" ht="38.25">
      <c r="B208" s="55" t="str">
        <f t="shared" ca="1" si="743"/>
        <v>CUST</v>
      </c>
      <c r="C208" s="55" t="s">
        <v>58</v>
      </c>
      <c r="D208" s="56" t="s">
        <v>146</v>
      </c>
      <c r="E208" s="57" t="str">
        <f ca="1">INDIRECT(ADDRESS(ROW()-1,COLUMN()))</f>
        <v>0x108A</v>
      </c>
      <c r="F208" s="57">
        <v>4</v>
      </c>
      <c r="G208" s="57">
        <v>0</v>
      </c>
      <c r="H208" s="57">
        <v>0</v>
      </c>
      <c r="I208" s="57" t="s">
        <v>68</v>
      </c>
      <c r="J208" s="50" t="str">
        <f t="shared" si="744"/>
        <v>[3:0]</v>
      </c>
      <c r="K208" s="50">
        <f t="shared" si="745"/>
        <v>0</v>
      </c>
      <c r="L208" s="50">
        <f t="shared" si="746"/>
        <v>15</v>
      </c>
      <c r="M208" s="61" t="s">
        <v>487</v>
      </c>
      <c r="N208" s="28"/>
      <c r="O208" s="57">
        <v>8</v>
      </c>
      <c r="P208" s="57">
        <f t="shared" si="764"/>
        <v>8</v>
      </c>
      <c r="Q208" s="57">
        <f t="shared" si="765"/>
        <v>8</v>
      </c>
      <c r="R208" s="57">
        <f t="shared" si="766"/>
        <v>8</v>
      </c>
      <c r="S208" s="163">
        <f t="shared" si="766"/>
        <v>8</v>
      </c>
      <c r="T208" s="163">
        <v>8</v>
      </c>
      <c r="U208" s="163">
        <f>S208</f>
        <v>8</v>
      </c>
      <c r="V208" s="163">
        <f>S208</f>
        <v>8</v>
      </c>
      <c r="W208" s="59"/>
      <c r="X208" s="57">
        <f t="shared" ca="1" si="747"/>
        <v>8</v>
      </c>
      <c r="Y208" s="32"/>
      <c r="AC208" s="12" t="b">
        <f t="shared" si="762"/>
        <v>1</v>
      </c>
      <c r="AD208" s="12" t="str">
        <f t="shared" si="748"/>
        <v>-</v>
      </c>
      <c r="AE208" s="12" t="str">
        <f t="shared" si="749"/>
        <v>-</v>
      </c>
      <c r="AF208" s="12" t="str">
        <f t="shared" ca="1" si="750"/>
        <v>0x108A</v>
      </c>
      <c r="AG208" s="12" t="str">
        <f t="shared" si="751"/>
        <v>NTC_THRD_HR</v>
      </c>
      <c r="AH208" s="12">
        <f t="shared" si="752"/>
        <v>4</v>
      </c>
      <c r="AI208" s="12">
        <f t="shared" si="753"/>
        <v>3</v>
      </c>
      <c r="AJ208" s="12">
        <f t="shared" si="754"/>
        <v>0</v>
      </c>
      <c r="AK208" s="12">
        <f t="shared" si="755"/>
        <v>15</v>
      </c>
      <c r="AL208" s="12" t="str">
        <f t="shared" si="756"/>
        <v>-</v>
      </c>
      <c r="AM208" s="22">
        <f t="shared" si="763"/>
        <v>8</v>
      </c>
      <c r="AN208" s="12">
        <f t="shared" si="757"/>
        <v>8</v>
      </c>
      <c r="AO208" s="22" t="str">
        <f ca="1">IF(AF208="-",VLOOKUP(AD208,MemoryView!$A$3:$F$108,6,0),MID(VLOOKUP(AF208,MemoryView!$BD$3:$BE$108,2,0),15-AI208+1,AH208))</f>
        <v>1000</v>
      </c>
      <c r="AP208" s="22">
        <f t="shared" ca="1" si="758"/>
        <v>8</v>
      </c>
      <c r="AQ208" s="53" t="str">
        <f t="shared" si="759"/>
        <v>`EE_MNG.NTC_THRD_HR.SET(8);        // [0..15]</v>
      </c>
      <c r="AR208" s="54" t="str">
        <f t="shared" ca="1" si="760"/>
        <v>EE_MEM #(`PARAM(16'h108A, 0, 4, 0)) NTC_THRD_HR(); bit unsigned [4-1:0] NTC_THRD_HR_V; assign NTC_THRD_HR_V = NTC_THRD_HR.GET;</v>
      </c>
      <c r="AS208" s="12" t="str">
        <f t="shared" ca="1" si="761"/>
        <v>EE_NTC_CAL0</v>
      </c>
    </row>
    <row r="209" spans="2:45">
      <c r="B209" s="47" t="s">
        <v>147</v>
      </c>
      <c r="C209" s="47" t="s">
        <v>148</v>
      </c>
      <c r="D209" s="48" t="s">
        <v>58</v>
      </c>
      <c r="E209" s="60" t="str">
        <f ca="1">"0x"&amp;DEC2HEX(HEX2DEC(RIGHT(INDIRECT(ADDRESS(ROW()-1,COLUMN())),4))+2,4)</f>
        <v>0x108C</v>
      </c>
      <c r="F209" s="49">
        <v>16</v>
      </c>
      <c r="G209" s="49">
        <v>0</v>
      </c>
      <c r="H209" s="49">
        <v>0</v>
      </c>
      <c r="I209" s="49" t="s">
        <v>58</v>
      </c>
      <c r="J209" s="50" t="str">
        <f t="shared" si="744"/>
        <v>-</v>
      </c>
      <c r="K209" s="50">
        <f t="shared" si="745"/>
        <v>0</v>
      </c>
      <c r="L209" s="50">
        <f t="shared" si="746"/>
        <v>65535</v>
      </c>
      <c r="M209" s="51" t="s">
        <v>149</v>
      </c>
      <c r="N209" s="28"/>
      <c r="O209" s="52"/>
      <c r="P209" s="52"/>
      <c r="Q209" s="52"/>
      <c r="R209" s="52"/>
      <c r="S209" s="140"/>
      <c r="T209" s="165"/>
      <c r="U209" s="165"/>
      <c r="V209" s="165"/>
      <c r="W209" s="28"/>
      <c r="X209" s="52">
        <f t="shared" ca="1" si="747"/>
        <v>0</v>
      </c>
      <c r="Y209" s="32"/>
      <c r="AC209" s="12">
        <f t="shared" si="762"/>
        <v>1</v>
      </c>
      <c r="AD209" s="12" t="str">
        <f t="shared" ca="1" si="748"/>
        <v>0x108C</v>
      </c>
      <c r="AE209" s="12" t="str">
        <f t="shared" si="749"/>
        <v>EE_MLX_CHECKSUM</v>
      </c>
      <c r="AF209" s="12" t="str">
        <f t="shared" si="750"/>
        <v>-</v>
      </c>
      <c r="AG209" s="12" t="str">
        <f t="shared" si="751"/>
        <v>-</v>
      </c>
      <c r="AH209" s="12" t="str">
        <f t="shared" si="752"/>
        <v>-</v>
      </c>
      <c r="AI209" s="12" t="str">
        <f t="shared" si="753"/>
        <v>-</v>
      </c>
      <c r="AJ209" s="12" t="str">
        <f t="shared" si="754"/>
        <v>-</v>
      </c>
      <c r="AK209" s="12" t="str">
        <f t="shared" ca="1" si="755"/>
        <v>0x108C</v>
      </c>
      <c r="AL209" s="12" t="str">
        <f t="shared" si="756"/>
        <v>MLX</v>
      </c>
      <c r="AM209" s="22">
        <f t="shared" si="763"/>
        <v>0</v>
      </c>
      <c r="AN209" s="12" t="str">
        <f t="shared" ca="1" si="757"/>
        <v>0x108C</v>
      </c>
      <c r="AO209" s="22" t="str">
        <f ca="1">IF(AF209="-",VLOOKUP(AD209,MemoryView!$A$3:$F$108,6,0),MID(VLOOKUP(AF209,MemoryView!$BD$3:$BE$108,2,0),15-AI209+1,AH209))</f>
        <v>0000</v>
      </c>
      <c r="AP209" s="22">
        <f t="shared" ca="1" si="758"/>
        <v>0</v>
      </c>
      <c r="AQ209" s="53" t="str">
        <f t="shared" si="759"/>
        <v>-</v>
      </c>
      <c r="AR209" s="54" t="str">
        <f t="shared" ca="1" si="760"/>
        <v>EE_MEM #(`PARAM(16'h108C, 0, 16, 0)) EE_MLX_CHECKSUM(); bit unsigned [16-1:0] EE_MLX_CHECKSUM_V; assign EE_MLX_CHECKSUM_V = EE_MLX_CHECKSUM.GET;</v>
      </c>
      <c r="AS209" s="12" t="str">
        <f t="shared" ca="1" si="761"/>
        <v>EE_MLX_CHECKSUM</v>
      </c>
    </row>
    <row r="210" spans="2:45" ht="25.5">
      <c r="B210" s="55" t="str">
        <f t="shared" ca="1" si="743"/>
        <v>MLX</v>
      </c>
      <c r="C210" s="55" t="s">
        <v>58</v>
      </c>
      <c r="D210" s="56" t="str">
        <f>RIGHT(C209,LEN(C209)-3)</f>
        <v>MLX_CHECKSUM</v>
      </c>
      <c r="E210" s="57" t="str">
        <f ca="1">INDIRECT(ADDRESS(ROW()-1,COLUMN()))</f>
        <v>0x108C</v>
      </c>
      <c r="F210" s="57">
        <v>16</v>
      </c>
      <c r="G210" s="57">
        <v>0</v>
      </c>
      <c r="H210" s="57">
        <v>0</v>
      </c>
      <c r="I210" s="57" t="s">
        <v>65</v>
      </c>
      <c r="J210" s="50" t="str">
        <f t="shared" si="744"/>
        <v>[15:0]</v>
      </c>
      <c r="K210" s="50">
        <f t="shared" si="745"/>
        <v>0</v>
      </c>
      <c r="L210" s="50">
        <f t="shared" si="746"/>
        <v>65535</v>
      </c>
      <c r="M210" s="58" t="s">
        <v>737</v>
      </c>
      <c r="N210" s="28"/>
      <c r="O210" s="57">
        <v>0</v>
      </c>
      <c r="P210" s="57">
        <f>O210</f>
        <v>0</v>
      </c>
      <c r="Q210" s="57">
        <f>O210</f>
        <v>0</v>
      </c>
      <c r="R210" s="57">
        <f>O210</f>
        <v>0</v>
      </c>
      <c r="S210" s="163">
        <f>P210</f>
        <v>0</v>
      </c>
      <c r="T210" s="163">
        <v>0</v>
      </c>
      <c r="U210" s="163">
        <f>S210</f>
        <v>0</v>
      </c>
      <c r="V210" s="163">
        <f>S210</f>
        <v>0</v>
      </c>
      <c r="W210" s="59"/>
      <c r="X210" s="57">
        <f t="shared" ca="1" si="747"/>
        <v>0</v>
      </c>
      <c r="Y210" s="32"/>
      <c r="AC210" s="12" t="b">
        <f t="shared" si="762"/>
        <v>1</v>
      </c>
      <c r="AD210" s="12" t="str">
        <f t="shared" si="748"/>
        <v>-</v>
      </c>
      <c r="AE210" s="12" t="str">
        <f t="shared" si="749"/>
        <v>-</v>
      </c>
      <c r="AF210" s="12" t="str">
        <f t="shared" ca="1" si="750"/>
        <v>0x108C</v>
      </c>
      <c r="AG210" s="12" t="str">
        <f t="shared" si="751"/>
        <v>MLX_CHECKSUM</v>
      </c>
      <c r="AH210" s="12">
        <f t="shared" si="752"/>
        <v>16</v>
      </c>
      <c r="AI210" s="12">
        <f t="shared" si="753"/>
        <v>15</v>
      </c>
      <c r="AJ210" s="12">
        <f t="shared" si="754"/>
        <v>0</v>
      </c>
      <c r="AK210" s="12">
        <f t="shared" si="755"/>
        <v>65535</v>
      </c>
      <c r="AL210" s="12" t="str">
        <f t="shared" si="756"/>
        <v>-</v>
      </c>
      <c r="AM210" s="22">
        <f t="shared" si="763"/>
        <v>0</v>
      </c>
      <c r="AN210" s="12">
        <f t="shared" si="757"/>
        <v>0</v>
      </c>
      <c r="AO210" s="22" t="str">
        <f ca="1">IF(AF210="-",VLOOKUP(AD210,MemoryView!$A$3:$F$108,6,0),MID(VLOOKUP(AF210,MemoryView!$BD$3:$BE$108,2,0),15-AI210+1,AH210))</f>
        <v>0000000000000000</v>
      </c>
      <c r="AP210" s="22">
        <f t="shared" ca="1" si="758"/>
        <v>0</v>
      </c>
      <c r="AQ210" s="53" t="str">
        <f t="shared" si="759"/>
        <v>`EE_MNG.MLX_CHECKSUM.SET(0);        // [0..65535]</v>
      </c>
      <c r="AR210" s="54" t="str">
        <f t="shared" ca="1" si="760"/>
        <v>EE_MEM #(`PARAM(16'h108C, 0, 16, 0)) MLX_CHECKSUM(); bit unsigned [16-1:0] MLX_CHECKSUM_V; assign MLX_CHECKSUM_V = MLX_CHECKSUM.GET;</v>
      </c>
      <c r="AS210" s="12" t="str">
        <f t="shared" ca="1" si="761"/>
        <v>EE_MLX_CHECKSUM</v>
      </c>
    </row>
    <row r="211" spans="2:45">
      <c r="B211" s="47" t="str">
        <f t="shared" ca="1" si="743"/>
        <v>MLX</v>
      </c>
      <c r="C211" s="47" t="s">
        <v>150</v>
      </c>
      <c r="D211" s="48" t="s">
        <v>58</v>
      </c>
      <c r="E211" s="60" t="str">
        <f ca="1">"0x"&amp;DEC2HEX(HEX2DEC(RIGHT(INDIRECT(ADDRESS(ROW()-1,COLUMN())),4))+2,4)</f>
        <v>0x108E</v>
      </c>
      <c r="F211" s="49">
        <v>16</v>
      </c>
      <c r="G211" s="49">
        <v>0</v>
      </c>
      <c r="H211" s="49">
        <v>0</v>
      </c>
      <c r="I211" s="49" t="s">
        <v>58</v>
      </c>
      <c r="J211" s="50" t="str">
        <f t="shared" si="744"/>
        <v>-</v>
      </c>
      <c r="K211" s="50">
        <f t="shared" si="745"/>
        <v>0</v>
      </c>
      <c r="L211" s="50">
        <f t="shared" si="746"/>
        <v>65535</v>
      </c>
      <c r="M211" s="51" t="s">
        <v>151</v>
      </c>
      <c r="N211" s="28"/>
      <c r="O211" s="52"/>
      <c r="P211" s="52"/>
      <c r="Q211" s="52"/>
      <c r="R211" s="52"/>
      <c r="S211" s="140"/>
      <c r="T211" s="165"/>
      <c r="U211" s="165"/>
      <c r="V211" s="165"/>
      <c r="W211" s="28"/>
      <c r="X211" s="52">
        <f t="shared" ca="1" si="747"/>
        <v>18433</v>
      </c>
      <c r="Y211" s="32"/>
      <c r="AC211" s="12">
        <f t="shared" si="762"/>
        <v>1</v>
      </c>
      <c r="AD211" s="12" t="str">
        <f t="shared" ca="1" si="748"/>
        <v>0x108E</v>
      </c>
      <c r="AE211" s="12" t="str">
        <f t="shared" si="749"/>
        <v>EE_TRIM0</v>
      </c>
      <c r="AF211" s="12" t="str">
        <f t="shared" si="750"/>
        <v>-</v>
      </c>
      <c r="AG211" s="12" t="str">
        <f t="shared" si="751"/>
        <v>-</v>
      </c>
      <c r="AH211" s="12" t="str">
        <f t="shared" si="752"/>
        <v>-</v>
      </c>
      <c r="AI211" s="12" t="str">
        <f t="shared" si="753"/>
        <v>-</v>
      </c>
      <c r="AJ211" s="12" t="str">
        <f t="shared" si="754"/>
        <v>-</v>
      </c>
      <c r="AK211" s="12" t="str">
        <f t="shared" ca="1" si="755"/>
        <v>0x108E</v>
      </c>
      <c r="AL211" s="12" t="str">
        <f t="shared" ca="1" si="756"/>
        <v>MLX</v>
      </c>
      <c r="AM211" s="22">
        <f t="shared" si="763"/>
        <v>0</v>
      </c>
      <c r="AN211" s="12" t="str">
        <f t="shared" ca="1" si="757"/>
        <v>0x108E</v>
      </c>
      <c r="AO211" s="22" t="str">
        <f ca="1">IF(AF211="-",VLOOKUP(AD211,MemoryView!$A$3:$F$108,6,0),MID(VLOOKUP(AF211,MemoryView!$BD$3:$BE$108,2,0),15-AI211+1,AH211))</f>
        <v>4801</v>
      </c>
      <c r="AP211" s="22">
        <f t="shared" ca="1" si="758"/>
        <v>18433</v>
      </c>
      <c r="AQ211" s="53" t="str">
        <f t="shared" si="759"/>
        <v>-</v>
      </c>
      <c r="AR211" s="54" t="str">
        <f t="shared" ca="1" si="760"/>
        <v>EE_MEM #(`PARAM(16'h108E, 0, 16, 0)) EE_TRIM0(); bit unsigned [16-1:0] EE_TRIM0_V; assign EE_TRIM0_V = EE_TRIM0.GET;</v>
      </c>
      <c r="AS211" s="12" t="str">
        <f t="shared" ca="1" si="761"/>
        <v>EE_TRIM0</v>
      </c>
    </row>
    <row r="212" spans="2:45">
      <c r="B212" s="55" t="str">
        <f t="shared" ca="1" si="743"/>
        <v>MLX</v>
      </c>
      <c r="C212" s="55" t="s">
        <v>58</v>
      </c>
      <c r="D212" s="56" t="s">
        <v>621</v>
      </c>
      <c r="E212" s="57" t="str">
        <f t="shared" ref="E212" ca="1" si="767">INDIRECT(ADDRESS(ROW()-1,COLUMN()))</f>
        <v>0x108E</v>
      </c>
      <c r="F212" s="57">
        <v>1</v>
      </c>
      <c r="G212" s="57">
        <v>15</v>
      </c>
      <c r="H212" s="57">
        <v>0</v>
      </c>
      <c r="I212" s="57" t="s">
        <v>68</v>
      </c>
      <c r="J212" s="50" t="str">
        <f t="shared" si="744"/>
        <v>[15:15]</v>
      </c>
      <c r="K212" s="50">
        <f t="shared" si="745"/>
        <v>0</v>
      </c>
      <c r="L212" s="50">
        <f t="shared" si="746"/>
        <v>1</v>
      </c>
      <c r="M212" s="58" t="s">
        <v>583</v>
      </c>
      <c r="N212" s="28"/>
      <c r="O212" s="57"/>
      <c r="P212" s="57">
        <f t="shared" ref="P212:P216" si="768">O212</f>
        <v>0</v>
      </c>
      <c r="Q212" s="57">
        <f t="shared" ref="Q212:Q216" si="769">O212</f>
        <v>0</v>
      </c>
      <c r="R212" s="57">
        <f t="shared" ref="R212:S216" si="770">O212</f>
        <v>0</v>
      </c>
      <c r="S212" s="163">
        <f t="shared" si="770"/>
        <v>0</v>
      </c>
      <c r="T212" s="163">
        <v>0</v>
      </c>
      <c r="U212" s="163">
        <f>S212</f>
        <v>0</v>
      </c>
      <c r="V212" s="163">
        <f>S212</f>
        <v>0</v>
      </c>
      <c r="W212" s="59"/>
      <c r="X212" s="57">
        <f t="shared" ca="1" si="747"/>
        <v>0</v>
      </c>
      <c r="Y212" s="32"/>
      <c r="AC212" s="12" t="b">
        <f>IF($AG212="-",1,COUNTIF($AG$3:$AG$325,$AG212)&lt;2)</f>
        <v>1</v>
      </c>
      <c r="AD212" s="12" t="str">
        <f t="shared" si="748"/>
        <v>-</v>
      </c>
      <c r="AE212" s="12" t="str">
        <f t="shared" si="749"/>
        <v>-</v>
      </c>
      <c r="AF212" s="12" t="str">
        <f t="shared" ca="1" si="750"/>
        <v>0x108E</v>
      </c>
      <c r="AG212" s="12" t="str">
        <f t="shared" si="751"/>
        <v>TRIM0_RESERVED</v>
      </c>
      <c r="AH212" s="12">
        <f t="shared" si="752"/>
        <v>1</v>
      </c>
      <c r="AI212" s="12">
        <f t="shared" si="753"/>
        <v>15</v>
      </c>
      <c r="AJ212" s="12">
        <f t="shared" si="754"/>
        <v>15</v>
      </c>
      <c r="AK212" s="12">
        <f t="shared" si="755"/>
        <v>32768</v>
      </c>
      <c r="AL212" s="12" t="str">
        <f t="shared" si="756"/>
        <v>-</v>
      </c>
      <c r="AM212" s="22">
        <f>HLOOKUP($AM$2,$N$2:$W$325,ROW()-ROW($AM$2)+1,0)</f>
        <v>0</v>
      </c>
      <c r="AN212" s="12">
        <f t="shared" si="757"/>
        <v>0</v>
      </c>
      <c r="AO212" s="22" t="str">
        <f ca="1">IF(AF212="-",VLOOKUP(AD212,MemoryView!$A$3:$F$108,6,0),MID(VLOOKUP(AF212,MemoryView!$BD$3:$BE$108,2,0),15-AI212+1,AH212))</f>
        <v>0</v>
      </c>
      <c r="AP212" s="22">
        <f t="shared" ca="1" si="758"/>
        <v>0</v>
      </c>
      <c r="AQ212" s="53" t="str">
        <f t="shared" si="759"/>
        <v>`EE_MNG.TRIM0_RESERVED.SET(0);        // [0..1]</v>
      </c>
      <c r="AR212" s="54" t="str">
        <f t="shared" ca="1" si="760"/>
        <v>EE_MEM #(`PARAM(16'h108E, 15, 1, 0)) TRIM0_RESERVED(); bit unsigned [1-1:0] TRIM0_RESERVED_V; assign TRIM0_RESERVED_V = TRIM0_RESERVED.GET;</v>
      </c>
      <c r="AS212" s="12" t="str">
        <f t="shared" ca="1" si="761"/>
        <v>EE_TRIM0</v>
      </c>
    </row>
    <row r="213" spans="2:45">
      <c r="B213" s="55" t="str">
        <f t="shared" ca="1" si="743"/>
        <v>MLX</v>
      </c>
      <c r="C213" s="55" t="s">
        <v>58</v>
      </c>
      <c r="D213" s="55" t="s">
        <v>521</v>
      </c>
      <c r="E213" s="57" t="str">
        <f ca="1">INDIRECT(ADDRESS(ROW()-1,COLUMN()))</f>
        <v>0x108E</v>
      </c>
      <c r="F213" s="57">
        <v>4</v>
      </c>
      <c r="G213" s="57">
        <v>11</v>
      </c>
      <c r="H213" s="57">
        <v>0</v>
      </c>
      <c r="I213" s="57" t="s">
        <v>76</v>
      </c>
      <c r="J213" s="50" t="str">
        <f t="shared" ref="J213" si="771">IF(D213&lt;&gt;"-","["&amp;AI213&amp;":"&amp;AJ213&amp;"]","-")</f>
        <v>[14:11]</v>
      </c>
      <c r="K213" s="50">
        <f t="shared" ref="K213" si="772">IF(H213,-L213-1,0)</f>
        <v>0</v>
      </c>
      <c r="L213" s="50">
        <f t="shared" ref="L213" si="773">IF(H213,FLOOR((2^F213-1)/2,1),2^F213-1)</f>
        <v>15</v>
      </c>
      <c r="M213" s="159" t="s">
        <v>741</v>
      </c>
      <c r="N213" s="28"/>
      <c r="O213" s="57">
        <v>9</v>
      </c>
      <c r="P213" s="57">
        <f t="shared" si="768"/>
        <v>9</v>
      </c>
      <c r="Q213" s="57">
        <f t="shared" si="769"/>
        <v>9</v>
      </c>
      <c r="R213" s="57">
        <f t="shared" si="770"/>
        <v>9</v>
      </c>
      <c r="S213" s="163">
        <f t="shared" si="770"/>
        <v>9</v>
      </c>
      <c r="T213" s="163">
        <v>9</v>
      </c>
      <c r="U213" s="163">
        <f>S213</f>
        <v>9</v>
      </c>
      <c r="V213" s="163">
        <f t="shared" ref="V213:V235" si="774">S213</f>
        <v>9</v>
      </c>
      <c r="W213" s="59"/>
      <c r="X213" s="57">
        <f t="shared" ref="X213" ca="1" si="775">IF(H213=0,AP213,    IF(AP213&lt;=2^(F213-1)-1,AP213,AP213-2^F213)  )</f>
        <v>9</v>
      </c>
      <c r="Y213" s="32"/>
      <c r="AC213" s="12" t="b">
        <f t="shared" ref="AC213:AC244" si="776">IF($AG213="-",1,COUNTIF($AG$3:$AG$319,$AG213)&lt;2)</f>
        <v>1</v>
      </c>
      <c r="AD213" s="12" t="str">
        <f t="shared" ref="AD213" si="777">IF(AND(D213="-",C213&lt;&gt;"-"),E213,"-")</f>
        <v>-</v>
      </c>
      <c r="AE213" s="12" t="str">
        <f t="shared" ref="AE213" si="778">IF(D213="-",C213,"-")</f>
        <v>-</v>
      </c>
      <c r="AF213" s="12" t="str">
        <f t="shared" ref="AF213" ca="1" si="779">IF(AND(D213&lt;&gt;"-",ISTEXT(D213)),E213,"-")</f>
        <v>0x108E</v>
      </c>
      <c r="AG213" s="12" t="str">
        <f t="shared" ref="AG213" si="780">IF(AND(D213&lt;&gt;"-",ISTEXT(D213)),D213,"-")</f>
        <v>TRIM_SBYMODE_VDDDREG</v>
      </c>
      <c r="AH213" s="12">
        <f t="shared" ref="AH213" si="781">IF(D213&lt;&gt;"-",F213,"-")</f>
        <v>4</v>
      </c>
      <c r="AI213" s="12">
        <f t="shared" ref="AI213" si="782">IF(D213&lt;&gt;"-",G213+F213-1,"-")</f>
        <v>14</v>
      </c>
      <c r="AJ213" s="12">
        <f t="shared" ref="AJ213" si="783">IF(D213&lt;&gt;"-",G213,"-")</f>
        <v>11</v>
      </c>
      <c r="AK213" s="12">
        <f t="shared" ref="AK213" si="784">IF(OR(AH213="-",AJ213="-"),AD213,(2^AH213-1)*2^AJ213)</f>
        <v>30720</v>
      </c>
      <c r="AL213" s="12" t="str">
        <f t="shared" ref="AL213" si="785">IF(D213="-",B213,"-")</f>
        <v>-</v>
      </c>
      <c r="AM213" s="22">
        <f t="shared" ref="AM213:AM244" si="786">HLOOKUP($AM$2,$N$2:$W$319,ROW()-ROW($AM$2)+1,0)</f>
        <v>9</v>
      </c>
      <c r="AN213" s="12">
        <f t="shared" ref="AN213" si="787">IF(OR(AH213="-",AJ213="-"),AD213,IF(AM213&lt;0,AM213+2^AH213,AM213)*2^AJ213)</f>
        <v>18432</v>
      </c>
      <c r="AO213" s="22" t="str">
        <f ca="1">IF(AF213="-",VLOOKUP(AD213,MemoryView!$A$3:$F$108,6,0),MID(VLOOKUP(AF213,MemoryView!$BD$3:$BE$108,2,0),15-AI213+1,AH213))</f>
        <v>1001</v>
      </c>
      <c r="AP213" s="22">
        <f t="shared" ref="AP213" ca="1" si="788">IF(AF213="-",HEX2DEC(AO213),IF(LEN(AO213)&gt;8,BIN2DEC(LEFT(AO213,LEN(AO213)-8))*2^8+BIN2DEC(RIGHT(AO213,8)),BIN2DEC(AO213)))</f>
        <v>9</v>
      </c>
      <c r="AQ213" s="53" t="str">
        <f t="shared" ref="AQ213" si="789">IF(AG213&lt;&gt;"-",CONCATENATE("`EE_MNG.",AG213,".SET(",AM213,");        // [",K213,"..",L213,"]"),"-")</f>
        <v>`EE_MNG.TRIM_SBYMODE_VDDDREG.SET(9);        // [0..15]</v>
      </c>
      <c r="AR213" s="54" t="str">
        <f t="shared" ref="AR213" ca="1" si="790">IF(AND(AD213="-",AE213="-",AF213="-",AG213="-"),"-",IF(AG213&lt;&gt;"-",CONCATENATE("EE_MEM #(`PARAM(16'h",RIGHT(AF213,4),", ",G213,", ",F213,", ",H213,")) ",AG213,"(); bit ",IF(H213=0,"unsigned [","signed ["),F213,"-1:0] ", AG213,"_V; assign ",AG213,"_V = ",AG213,".GET;"), CONCATENATE("EE_MEM #(`PARAM(16'h",RIGHT(AD213,4),", ",G213,", ",F213,", ",H213,")) ",AE213,"(); bit ",IF(H213=0,"unsigned [","signed ["),F213,"-1:0] ", AE213,"_V; assign ",AE213,"_V = ",AE213,".GET;")))</f>
        <v>EE_MEM #(`PARAM(16'h108E, 11, 4, 0)) TRIM_SBYMODE_VDDDREG(); bit unsigned [4-1:0] TRIM_SBYMODE_VDDDREG_V; assign TRIM_SBYMODE_VDDDREG_V = TRIM_SBYMODE_VDDDREG.GET;</v>
      </c>
      <c r="AS213" s="12" t="str">
        <f t="shared" ref="AS213" ca="1" si="791">IF(AG213="-",AE213,INDIRECT(ADDRESS(ROW()-1,COLUMN())))</f>
        <v>EE_TRIM0</v>
      </c>
    </row>
    <row r="214" spans="2:45">
      <c r="B214" s="55" t="str">
        <f t="shared" ca="1" si="743"/>
        <v>MLX</v>
      </c>
      <c r="C214" s="55" t="s">
        <v>58</v>
      </c>
      <c r="D214" s="55" t="s">
        <v>153</v>
      </c>
      <c r="E214" s="57" t="str">
        <f ca="1">INDIRECT(ADDRESS(ROW()-1,COLUMN()))</f>
        <v>0x108E</v>
      </c>
      <c r="F214" s="57">
        <v>4</v>
      </c>
      <c r="G214" s="57">
        <v>7</v>
      </c>
      <c r="H214" s="57">
        <v>0</v>
      </c>
      <c r="I214" s="57" t="s">
        <v>76</v>
      </c>
      <c r="J214" s="50" t="str">
        <f t="shared" si="744"/>
        <v>[10:7]</v>
      </c>
      <c r="K214" s="50">
        <f t="shared" si="745"/>
        <v>0</v>
      </c>
      <c r="L214" s="50">
        <f t="shared" si="746"/>
        <v>15</v>
      </c>
      <c r="M214" s="61" t="s">
        <v>740</v>
      </c>
      <c r="N214" s="28"/>
      <c r="O214" s="57">
        <v>0</v>
      </c>
      <c r="P214" s="57">
        <f t="shared" si="768"/>
        <v>0</v>
      </c>
      <c r="Q214" s="57">
        <f t="shared" si="769"/>
        <v>0</v>
      </c>
      <c r="R214" s="57">
        <f t="shared" si="770"/>
        <v>0</v>
      </c>
      <c r="S214" s="163">
        <f t="shared" si="770"/>
        <v>0</v>
      </c>
      <c r="T214" s="163">
        <v>0</v>
      </c>
      <c r="U214" s="163">
        <f>S214</f>
        <v>0</v>
      </c>
      <c r="V214" s="163">
        <f t="shared" si="774"/>
        <v>0</v>
      </c>
      <c r="W214" s="59"/>
      <c r="X214" s="57">
        <f t="shared" ca="1" si="747"/>
        <v>0</v>
      </c>
      <c r="Y214" s="32"/>
      <c r="AC214" s="12" t="b">
        <f t="shared" si="776"/>
        <v>1</v>
      </c>
      <c r="AD214" s="12" t="str">
        <f t="shared" si="748"/>
        <v>-</v>
      </c>
      <c r="AE214" s="12" t="str">
        <f t="shared" si="749"/>
        <v>-</v>
      </c>
      <c r="AF214" s="12" t="str">
        <f t="shared" ca="1" si="750"/>
        <v>0x108E</v>
      </c>
      <c r="AG214" s="12" t="str">
        <f t="shared" si="751"/>
        <v>TRIM_VDDD</v>
      </c>
      <c r="AH214" s="12">
        <f t="shared" si="752"/>
        <v>4</v>
      </c>
      <c r="AI214" s="12">
        <f t="shared" si="753"/>
        <v>10</v>
      </c>
      <c r="AJ214" s="12">
        <f t="shared" si="754"/>
        <v>7</v>
      </c>
      <c r="AK214" s="12">
        <f t="shared" si="755"/>
        <v>1920</v>
      </c>
      <c r="AL214" s="12" t="str">
        <f t="shared" si="756"/>
        <v>-</v>
      </c>
      <c r="AM214" s="22">
        <f t="shared" si="786"/>
        <v>0</v>
      </c>
      <c r="AN214" s="12">
        <f t="shared" si="757"/>
        <v>0</v>
      </c>
      <c r="AO214" s="22" t="str">
        <f ca="1">IF(AF214="-",VLOOKUP(AD214,MemoryView!$A$3:$F$108,6,0),MID(VLOOKUP(AF214,MemoryView!$BD$3:$BE$108,2,0),15-AI214+1,AH214))</f>
        <v>0000</v>
      </c>
      <c r="AP214" s="22">
        <f t="shared" ca="1" si="758"/>
        <v>0</v>
      </c>
      <c r="AQ214" s="53" t="str">
        <f t="shared" si="759"/>
        <v>`EE_MNG.TRIM_VDDD.SET(0);        // [0..15]</v>
      </c>
      <c r="AR214" s="54" t="str">
        <f t="shared" ca="1" si="760"/>
        <v>EE_MEM #(`PARAM(16'h108E, 7, 4, 0)) TRIM_VDDD(); bit unsigned [4-1:0] TRIM_VDDD_V; assign TRIM_VDDD_V = TRIM_VDDD.GET;</v>
      </c>
      <c r="AS214" s="12" t="str">
        <f t="shared" ca="1" si="761"/>
        <v>EE_TRIM0</v>
      </c>
    </row>
    <row r="215" spans="2:45">
      <c r="B215" s="55" t="str">
        <f t="shared" ca="1" si="743"/>
        <v>MLX</v>
      </c>
      <c r="C215" s="55" t="s">
        <v>58</v>
      </c>
      <c r="D215" s="55" t="s">
        <v>152</v>
      </c>
      <c r="E215" s="57" t="str">
        <f ca="1">INDIRECT(ADDRESS(ROW()-1,COLUMN()))</f>
        <v>0x108E</v>
      </c>
      <c r="F215" s="57">
        <v>3</v>
      </c>
      <c r="G215" s="57">
        <v>4</v>
      </c>
      <c r="H215" s="57">
        <v>0</v>
      </c>
      <c r="I215" s="57" t="s">
        <v>76</v>
      </c>
      <c r="J215" s="50" t="str">
        <f t="shared" si="744"/>
        <v>[6:4]</v>
      </c>
      <c r="K215" s="50">
        <f t="shared" si="745"/>
        <v>0</v>
      </c>
      <c r="L215" s="50">
        <f t="shared" si="746"/>
        <v>7</v>
      </c>
      <c r="M215" s="61" t="s">
        <v>161</v>
      </c>
      <c r="N215" s="28"/>
      <c r="O215" s="57">
        <v>0</v>
      </c>
      <c r="P215" s="57">
        <f t="shared" si="768"/>
        <v>0</v>
      </c>
      <c r="Q215" s="57">
        <f t="shared" si="769"/>
        <v>0</v>
      </c>
      <c r="R215" s="57">
        <f t="shared" si="770"/>
        <v>0</v>
      </c>
      <c r="S215" s="163">
        <f t="shared" si="770"/>
        <v>0</v>
      </c>
      <c r="T215" s="163">
        <v>0</v>
      </c>
      <c r="U215" s="163">
        <f>S215</f>
        <v>0</v>
      </c>
      <c r="V215" s="163">
        <f t="shared" si="774"/>
        <v>0</v>
      </c>
      <c r="W215" s="59"/>
      <c r="X215" s="57">
        <f t="shared" ca="1" si="747"/>
        <v>0</v>
      </c>
      <c r="Y215" s="32"/>
      <c r="AC215" s="12" t="b">
        <f t="shared" si="776"/>
        <v>1</v>
      </c>
      <c r="AD215" s="12" t="str">
        <f t="shared" si="748"/>
        <v>-</v>
      </c>
      <c r="AE215" s="12" t="str">
        <f t="shared" si="749"/>
        <v>-</v>
      </c>
      <c r="AF215" s="12" t="str">
        <f t="shared" ca="1" si="750"/>
        <v>0x108E</v>
      </c>
      <c r="AG215" s="12" t="str">
        <f t="shared" si="751"/>
        <v>TRIM_VDDA</v>
      </c>
      <c r="AH215" s="12">
        <f t="shared" si="752"/>
        <v>3</v>
      </c>
      <c r="AI215" s="12">
        <f t="shared" si="753"/>
        <v>6</v>
      </c>
      <c r="AJ215" s="12">
        <f t="shared" si="754"/>
        <v>4</v>
      </c>
      <c r="AK215" s="12">
        <f t="shared" si="755"/>
        <v>112</v>
      </c>
      <c r="AL215" s="12" t="str">
        <f t="shared" si="756"/>
        <v>-</v>
      </c>
      <c r="AM215" s="22">
        <f t="shared" si="786"/>
        <v>0</v>
      </c>
      <c r="AN215" s="12">
        <f t="shared" si="757"/>
        <v>0</v>
      </c>
      <c r="AO215" s="22" t="str">
        <f ca="1">IF(AF215="-",VLOOKUP(AD215,MemoryView!$A$3:$F$108,6,0),MID(VLOOKUP(AF215,MemoryView!$BD$3:$BE$108,2,0),15-AI215+1,AH215))</f>
        <v>000</v>
      </c>
      <c r="AP215" s="22">
        <f t="shared" ca="1" si="758"/>
        <v>0</v>
      </c>
      <c r="AQ215" s="53" t="str">
        <f t="shared" si="759"/>
        <v>`EE_MNG.TRIM_VDDA.SET(0);        // [0..7]</v>
      </c>
      <c r="AR215" s="54" t="str">
        <f t="shared" ca="1" si="760"/>
        <v>EE_MEM #(`PARAM(16'h108E, 4, 3, 0)) TRIM_VDDA(); bit unsigned [3-1:0] TRIM_VDDA_V; assign TRIM_VDDA_V = TRIM_VDDA.GET;</v>
      </c>
      <c r="AS215" s="12" t="str">
        <f t="shared" ca="1" si="761"/>
        <v>EE_TRIM0</v>
      </c>
    </row>
    <row r="216" spans="2:45">
      <c r="B216" s="55" t="str">
        <f t="shared" ca="1" si="743"/>
        <v>MLX</v>
      </c>
      <c r="C216" s="55" t="s">
        <v>58</v>
      </c>
      <c r="D216" s="55" t="s">
        <v>453</v>
      </c>
      <c r="E216" s="57" t="str">
        <f ca="1">INDIRECT(ADDRESS(ROW()-1,COLUMN()))</f>
        <v>0x108E</v>
      </c>
      <c r="F216" s="57">
        <v>4</v>
      </c>
      <c r="G216" s="57">
        <v>0</v>
      </c>
      <c r="H216" s="57">
        <v>0</v>
      </c>
      <c r="I216" s="57" t="s">
        <v>76</v>
      </c>
      <c r="J216" s="50" t="str">
        <f t="shared" si="744"/>
        <v>[3:0]</v>
      </c>
      <c r="K216" s="50">
        <f t="shared" si="745"/>
        <v>0</v>
      </c>
      <c r="L216" s="50">
        <f t="shared" si="746"/>
        <v>15</v>
      </c>
      <c r="M216" s="61" t="s">
        <v>454</v>
      </c>
      <c r="N216" s="28"/>
      <c r="O216" s="57">
        <v>1</v>
      </c>
      <c r="P216" s="57">
        <f t="shared" si="768"/>
        <v>1</v>
      </c>
      <c r="Q216" s="57">
        <f t="shared" si="769"/>
        <v>1</v>
      </c>
      <c r="R216" s="57">
        <f t="shared" si="770"/>
        <v>1</v>
      </c>
      <c r="S216" s="163">
        <f t="shared" si="770"/>
        <v>1</v>
      </c>
      <c r="T216" s="163">
        <v>1</v>
      </c>
      <c r="U216" s="163">
        <f>S216</f>
        <v>1</v>
      </c>
      <c r="V216" s="163">
        <f t="shared" si="774"/>
        <v>1</v>
      </c>
      <c r="W216" s="59"/>
      <c r="X216" s="57">
        <f t="shared" ca="1" si="747"/>
        <v>1</v>
      </c>
      <c r="Y216" s="32"/>
      <c r="AC216" s="12" t="b">
        <f t="shared" si="776"/>
        <v>1</v>
      </c>
      <c r="AD216" s="12" t="str">
        <f t="shared" si="748"/>
        <v>-</v>
      </c>
      <c r="AE216" s="12" t="str">
        <f t="shared" si="749"/>
        <v>-</v>
      </c>
      <c r="AF216" s="12" t="str">
        <f t="shared" ca="1" si="750"/>
        <v>0x108E</v>
      </c>
      <c r="AG216" s="12" t="str">
        <f t="shared" si="751"/>
        <v>TRIM_VBG_REG_TC</v>
      </c>
      <c r="AH216" s="12">
        <f t="shared" si="752"/>
        <v>4</v>
      </c>
      <c r="AI216" s="12">
        <f t="shared" si="753"/>
        <v>3</v>
      </c>
      <c r="AJ216" s="12">
        <f t="shared" si="754"/>
        <v>0</v>
      </c>
      <c r="AK216" s="12">
        <f t="shared" si="755"/>
        <v>15</v>
      </c>
      <c r="AL216" s="12" t="str">
        <f t="shared" si="756"/>
        <v>-</v>
      </c>
      <c r="AM216" s="22">
        <f t="shared" si="786"/>
        <v>1</v>
      </c>
      <c r="AN216" s="12">
        <f t="shared" si="757"/>
        <v>1</v>
      </c>
      <c r="AO216" s="22" t="str">
        <f ca="1">IF(AF216="-",VLOOKUP(AD216,MemoryView!$A$3:$F$108,6,0),MID(VLOOKUP(AF216,MemoryView!$BD$3:$BE$108,2,0),15-AI216+1,AH216))</f>
        <v>0001</v>
      </c>
      <c r="AP216" s="22">
        <f t="shared" ca="1" si="758"/>
        <v>1</v>
      </c>
      <c r="AQ216" s="53" t="str">
        <f t="shared" si="759"/>
        <v>`EE_MNG.TRIM_VBG_REG_TC.SET(1);        // [0..15]</v>
      </c>
      <c r="AR216" s="54" t="str">
        <f t="shared" ca="1" si="760"/>
        <v>EE_MEM #(`PARAM(16'h108E, 0, 4, 0)) TRIM_VBG_REG_TC(); bit unsigned [4-1:0] TRIM_VBG_REG_TC_V; assign TRIM_VBG_REG_TC_V = TRIM_VBG_REG_TC.GET;</v>
      </c>
      <c r="AS216" s="12" t="str">
        <f t="shared" ca="1" si="761"/>
        <v>EE_TRIM0</v>
      </c>
    </row>
    <row r="217" spans="2:45">
      <c r="B217" s="47" t="str">
        <f t="shared" ca="1" si="743"/>
        <v>MLX</v>
      </c>
      <c r="C217" s="47" t="s">
        <v>155</v>
      </c>
      <c r="D217" s="48" t="s">
        <v>58</v>
      </c>
      <c r="E217" s="60" t="str">
        <f ca="1">"0x"&amp;DEC2HEX(HEX2DEC(RIGHT(INDIRECT(ADDRESS(ROW()-1,COLUMN())),4))+2,4)</f>
        <v>0x1090</v>
      </c>
      <c r="F217" s="49">
        <v>16</v>
      </c>
      <c r="G217" s="49">
        <v>0</v>
      </c>
      <c r="H217" s="49">
        <v>0</v>
      </c>
      <c r="I217" s="49" t="s">
        <v>58</v>
      </c>
      <c r="J217" s="50" t="str">
        <f>IF(D217&lt;&gt;"-","["&amp;AI217&amp;":"&amp;AJ217&amp;"]","-")</f>
        <v>-</v>
      </c>
      <c r="K217" s="50">
        <f>IF(H217,-L217-1,0)</f>
        <v>0</v>
      </c>
      <c r="L217" s="50">
        <f>IF(H217,FLOOR((2^F217-1)/2,1),2^F217-1)</f>
        <v>65535</v>
      </c>
      <c r="M217" s="51" t="s">
        <v>151</v>
      </c>
      <c r="N217" s="28"/>
      <c r="O217" s="52"/>
      <c r="P217" s="52"/>
      <c r="Q217" s="52"/>
      <c r="R217" s="52"/>
      <c r="S217" s="140"/>
      <c r="T217" s="165"/>
      <c r="U217" s="165"/>
      <c r="V217" s="165"/>
      <c r="W217" s="28"/>
      <c r="X217" s="52">
        <f ca="1">IF(H217=0,AP217,    IF(AP217&lt;=2^(F217-1)-1,AP217,AP217-2^F217)  )</f>
        <v>12865</v>
      </c>
      <c r="Y217" s="32"/>
      <c r="AC217" s="12">
        <f t="shared" si="776"/>
        <v>1</v>
      </c>
      <c r="AD217" s="12" t="str">
        <f ca="1">IF(AND(D217="-",C217&lt;&gt;"-"),E217,"-")</f>
        <v>0x1090</v>
      </c>
      <c r="AE217" s="12" t="str">
        <f>IF(D217="-",C217,"-")</f>
        <v>EE_TRIM1</v>
      </c>
      <c r="AF217" s="12" t="str">
        <f>IF(AND(D217&lt;&gt;"-",ISTEXT(D217)),E217,"-")</f>
        <v>-</v>
      </c>
      <c r="AG217" s="12" t="str">
        <f>IF(AND(D217&lt;&gt;"-",ISTEXT(D217)),D217,"-")</f>
        <v>-</v>
      </c>
      <c r="AH217" s="12" t="str">
        <f>IF(D217&lt;&gt;"-",F217,"-")</f>
        <v>-</v>
      </c>
      <c r="AI217" s="12" t="str">
        <f>IF(D217&lt;&gt;"-",G217+F217-1,"-")</f>
        <v>-</v>
      </c>
      <c r="AJ217" s="12" t="str">
        <f>IF(D217&lt;&gt;"-",G217,"-")</f>
        <v>-</v>
      </c>
      <c r="AK217" s="12" t="str">
        <f ca="1">IF(OR(AH217="-",AJ217="-"),AD217,(2^AH217-1)*2^AJ217)</f>
        <v>0x1090</v>
      </c>
      <c r="AL217" s="12" t="str">
        <f ca="1">IF(D217="-",B217,"-")</f>
        <v>MLX</v>
      </c>
      <c r="AM217" s="22">
        <f t="shared" si="786"/>
        <v>0</v>
      </c>
      <c r="AN217" s="12" t="str">
        <f ca="1">IF(OR(AH217="-",AJ217="-"),AD217,IF(AM217&lt;0,AM217+2^AH217,AM217)*2^AJ217)</f>
        <v>0x1090</v>
      </c>
      <c r="AO217" s="22" t="str">
        <f ca="1">IF(AF217="-",VLOOKUP(AD217,MemoryView!$A$3:$F$108,6,0),MID(VLOOKUP(AF217,MemoryView!$BD$3:$BE$108,2,0),15-AI217+1,AH217))</f>
        <v>3241</v>
      </c>
      <c r="AP217" s="22">
        <f ca="1">IF(AF217="-",HEX2DEC(AO217),IF(LEN(AO217)&gt;8,BIN2DEC(LEFT(AO217,LEN(AO217)-8))*2^8+BIN2DEC(RIGHT(AO217,8)),BIN2DEC(AO217)))</f>
        <v>12865</v>
      </c>
      <c r="AQ217" s="53" t="str">
        <f>IF(AG217&lt;&gt;"-",CONCATENATE("`EE_MNG.",AG217,".SET(",AM217,");        // [",K217,"..",L217,"]"),"-")</f>
        <v>-</v>
      </c>
      <c r="AR217" s="54" t="str">
        <f ca="1">IF(AND(AD217="-",AE217="-",AF217="-",AG217="-"),"-",IF(AG217&lt;&gt;"-",CONCATENATE("EE_MEM #(`PARAM(16'h",RIGHT(AF217,4),", ",G217,", ",F217,", ",H217,")) ",AG217,"(); bit ",IF(H217=0,"unsigned [","signed ["),F217,"-1:0] ", AG217,"_V; assign ",AG217,"_V = ",AG217,".GET;"), CONCATENATE("EE_MEM #(`PARAM(16'h",RIGHT(AD217,4),", ",G217,", ",F217,", ",H217,")) ",AE217,"(); bit ",IF(H217=0,"unsigned [","signed ["),F217,"-1:0] ", AE217,"_V; assign ",AE217,"_V = ",AE217,".GET;")))</f>
        <v>EE_MEM #(`PARAM(16'h1090, 0, 16, 0)) EE_TRIM1(); bit unsigned [16-1:0] EE_TRIM1_V; assign EE_TRIM1_V = EE_TRIM1.GET;</v>
      </c>
      <c r="AS217" s="12" t="str">
        <f ca="1">IF(AG217="-",AE217,INDIRECT(ADDRESS(ROW()-1,COLUMN())))</f>
        <v>EE_TRIM1</v>
      </c>
    </row>
    <row r="218" spans="2:45">
      <c r="B218" s="55" t="str">
        <f t="shared" ca="1" si="743"/>
        <v>MLX</v>
      </c>
      <c r="C218" s="55" t="s">
        <v>58</v>
      </c>
      <c r="D218" s="56" t="s">
        <v>620</v>
      </c>
      <c r="E218" s="57" t="str">
        <f ca="1">INDIRECT(ADDRESS(ROW()-1,COLUMN()))</f>
        <v>0x1090</v>
      </c>
      <c r="F218" s="57">
        <v>1</v>
      </c>
      <c r="G218" s="57">
        <v>15</v>
      </c>
      <c r="H218" s="57">
        <v>0</v>
      </c>
      <c r="I218" s="57" t="s">
        <v>68</v>
      </c>
      <c r="J218" s="50" t="str">
        <f t="shared" ref="J218:J220" si="792">IF(D218&lt;&gt;"-","["&amp;AI218&amp;":"&amp;AJ218&amp;"]","-")</f>
        <v>[15:15]</v>
      </c>
      <c r="K218" s="50">
        <f t="shared" ref="K218:K220" si="793">IF(H218,-L218-1,0)</f>
        <v>0</v>
      </c>
      <c r="L218" s="50">
        <f t="shared" ref="L218:L220" si="794">IF(H218,FLOOR((2^F218-1)/2,1),2^F218-1)</f>
        <v>1</v>
      </c>
      <c r="M218" s="58" t="s">
        <v>583</v>
      </c>
      <c r="N218" s="28"/>
      <c r="O218" s="57"/>
      <c r="P218" s="57">
        <f t="shared" ref="P218:P220" si="795">O218</f>
        <v>0</v>
      </c>
      <c r="Q218" s="57">
        <f t="shared" ref="Q218:Q220" si="796">O218</f>
        <v>0</v>
      </c>
      <c r="R218" s="57">
        <f t="shared" ref="R218:S220" si="797">O218</f>
        <v>0</v>
      </c>
      <c r="S218" s="163">
        <f t="shared" si="797"/>
        <v>0</v>
      </c>
      <c r="T218" s="163">
        <v>0</v>
      </c>
      <c r="U218" s="163">
        <f>S218</f>
        <v>0</v>
      </c>
      <c r="V218" s="163">
        <f t="shared" si="774"/>
        <v>0</v>
      </c>
      <c r="W218" s="59"/>
      <c r="X218" s="57">
        <f t="shared" ref="X218:X220" ca="1" si="798">IF(H218=0,AP218,    IF(AP218&lt;=2^(F218-1)-1,AP218,AP218-2^F218)  )</f>
        <v>0</v>
      </c>
      <c r="Y218" s="32"/>
      <c r="AC218" s="12" t="b">
        <f t="shared" si="776"/>
        <v>1</v>
      </c>
      <c r="AD218" s="12" t="str">
        <f t="shared" ref="AD218:AD220" si="799">IF(AND(D218="-",C218&lt;&gt;"-"),E218,"-")</f>
        <v>-</v>
      </c>
      <c r="AE218" s="12" t="str">
        <f t="shared" ref="AE218:AE220" si="800">IF(D218="-",C218,"-")</f>
        <v>-</v>
      </c>
      <c r="AF218" s="12" t="str">
        <f t="shared" ref="AF218:AF220" ca="1" si="801">IF(AND(D218&lt;&gt;"-",ISTEXT(D218)),E218,"-")</f>
        <v>0x1090</v>
      </c>
      <c r="AG218" s="12" t="str">
        <f t="shared" ref="AG218:AG220" si="802">IF(AND(D218&lt;&gt;"-",ISTEXT(D218)),D218,"-")</f>
        <v>TRIM1_RESERVED</v>
      </c>
      <c r="AH218" s="12">
        <f t="shared" ref="AH218:AH220" si="803">IF(D218&lt;&gt;"-",F218,"-")</f>
        <v>1</v>
      </c>
      <c r="AI218" s="12">
        <f t="shared" ref="AI218:AI220" si="804">IF(D218&lt;&gt;"-",G218+F218-1,"-")</f>
        <v>15</v>
      </c>
      <c r="AJ218" s="12">
        <f t="shared" ref="AJ218:AJ220" si="805">IF(D218&lt;&gt;"-",G218,"-")</f>
        <v>15</v>
      </c>
      <c r="AK218" s="12">
        <f t="shared" ref="AK218:AK220" si="806">IF(OR(AH218="-",AJ218="-"),AD218,(2^AH218-1)*2^AJ218)</f>
        <v>32768</v>
      </c>
      <c r="AL218" s="12" t="str">
        <f t="shared" ref="AL218:AL220" si="807">IF(D218="-",B218,"-")</f>
        <v>-</v>
      </c>
      <c r="AM218" s="22">
        <f t="shared" si="786"/>
        <v>0</v>
      </c>
      <c r="AN218" s="12">
        <f t="shared" ref="AN218:AN220" si="808">IF(OR(AH218="-",AJ218="-"),AD218,IF(AM218&lt;0,AM218+2^AH218,AM218)*2^AJ218)</f>
        <v>0</v>
      </c>
      <c r="AO218" s="22" t="str">
        <f ca="1">IF(AF218="-",VLOOKUP(AD218,MemoryView!$A$3:$F$108,6,0),MID(VLOOKUP(AF218,MemoryView!$BD$3:$BE$108,2,0),15-AI218+1,AH218))</f>
        <v>0</v>
      </c>
      <c r="AP218" s="22">
        <f t="shared" ref="AP218:AP220" ca="1" si="809">IF(AF218="-",HEX2DEC(AO218),IF(LEN(AO218)&gt;8,BIN2DEC(LEFT(AO218,LEN(AO218)-8))*2^8+BIN2DEC(RIGHT(AO218,8)),BIN2DEC(AO218)))</f>
        <v>0</v>
      </c>
      <c r="AQ218" s="53" t="str">
        <f t="shared" ref="AQ218:AQ220" si="810">IF(AG218&lt;&gt;"-",CONCATENATE("`EE_MNG.",AG218,".SET(",AM218,");        // [",K218,"..",L218,"]"),"-")</f>
        <v>`EE_MNG.TRIM1_RESERVED.SET(0);        // [0..1]</v>
      </c>
      <c r="AR218" s="54" t="str">
        <f t="shared" ref="AR218:AR220" ca="1" si="811">IF(AND(AD218="-",AE218="-",AF218="-",AG218="-"),"-",IF(AG218&lt;&gt;"-",CONCATENATE("EE_MEM #(`PARAM(16'h",RIGHT(AF218,4),", ",G218,", ",F218,", ",H218,")) ",AG218,"(); bit ",IF(H218=0,"unsigned [","signed ["),F218,"-1:0] ", AG218,"_V; assign ",AG218,"_V = ",AG218,".GET;"), CONCATENATE("EE_MEM #(`PARAM(16'h",RIGHT(AD218,4),", ",G218,", ",F218,", ",H218,")) ",AE218,"(); bit ",IF(H218=0,"unsigned [","signed ["),F218,"-1:0] ", AE218,"_V; assign ",AE218,"_V = ",AE218,".GET;")))</f>
        <v>EE_MEM #(`PARAM(16'h1090, 15, 1, 0)) TRIM1_RESERVED(); bit unsigned [1-1:0] TRIM1_RESERVED_V; assign TRIM1_RESERVED_V = TRIM1_RESERVED.GET;</v>
      </c>
      <c r="AS218" s="12" t="str">
        <f t="shared" ref="AS218:AS220" ca="1" si="812">IF(AG218="-",AE218,INDIRECT(ADDRESS(ROW()-1,COLUMN())))</f>
        <v>EE_TRIM1</v>
      </c>
    </row>
    <row r="219" spans="2:45">
      <c r="B219" s="55" t="str">
        <f t="shared" ca="1" si="743"/>
        <v>MLX</v>
      </c>
      <c r="C219" s="55" t="s">
        <v>58</v>
      </c>
      <c r="D219" s="55" t="s">
        <v>156</v>
      </c>
      <c r="E219" s="57" t="str">
        <f ca="1">INDIRECT(ADDRESS(ROW()-1,COLUMN()))</f>
        <v>0x1090</v>
      </c>
      <c r="F219" s="57">
        <v>10</v>
      </c>
      <c r="G219" s="57">
        <v>5</v>
      </c>
      <c r="H219" s="57">
        <v>0</v>
      </c>
      <c r="I219" s="57" t="s">
        <v>76</v>
      </c>
      <c r="J219" s="50" t="str">
        <f t="shared" ref="J219" si="813">IF(D219&lt;&gt;"-","["&amp;AI219&amp;":"&amp;AJ219&amp;"]","-")</f>
        <v>[14:5]</v>
      </c>
      <c r="K219" s="50">
        <f t="shared" ref="K219" si="814">IF(H219,-L219-1,0)</f>
        <v>0</v>
      </c>
      <c r="L219" s="50">
        <f t="shared" ref="L219" si="815">IF(H219,FLOOR((2^F219-1)/2,1),2^F219-1)</f>
        <v>1023</v>
      </c>
      <c r="M219" s="61" t="s">
        <v>458</v>
      </c>
      <c r="N219" s="28"/>
      <c r="O219" s="57">
        <v>402</v>
      </c>
      <c r="P219" s="57">
        <f t="shared" si="795"/>
        <v>402</v>
      </c>
      <c r="Q219" s="57">
        <f t="shared" si="796"/>
        <v>402</v>
      </c>
      <c r="R219" s="57">
        <f t="shared" si="797"/>
        <v>402</v>
      </c>
      <c r="S219" s="163">
        <f t="shared" si="797"/>
        <v>402</v>
      </c>
      <c r="T219" s="163">
        <v>402</v>
      </c>
      <c r="U219" s="163">
        <f>S219</f>
        <v>402</v>
      </c>
      <c r="V219" s="163">
        <f t="shared" si="774"/>
        <v>402</v>
      </c>
      <c r="W219" s="59"/>
      <c r="X219" s="57">
        <f t="shared" ref="X219" ca="1" si="816">IF(H219=0,AP219,    IF(AP219&lt;=2^(F219-1)-1,AP219,AP219-2^F219)  )</f>
        <v>402</v>
      </c>
      <c r="Y219" s="32"/>
      <c r="AC219" s="12" t="b">
        <f t="shared" si="776"/>
        <v>1</v>
      </c>
      <c r="AD219" s="12" t="str">
        <f t="shared" ref="AD219" si="817">IF(AND(D219="-",C219&lt;&gt;"-"),E219,"-")</f>
        <v>-</v>
      </c>
      <c r="AE219" s="12" t="str">
        <f t="shared" ref="AE219" si="818">IF(D219="-",C219,"-")</f>
        <v>-</v>
      </c>
      <c r="AF219" s="12" t="str">
        <f t="shared" ref="AF219" ca="1" si="819">IF(AND(D219&lt;&gt;"-",ISTEXT(D219)),E219,"-")</f>
        <v>0x1090</v>
      </c>
      <c r="AG219" s="12" t="str">
        <f t="shared" ref="AG219" si="820">IF(AND(D219&lt;&gt;"-",ISTEXT(D219)),D219,"-")</f>
        <v>TRIM_OSC_CPU</v>
      </c>
      <c r="AH219" s="12">
        <f t="shared" ref="AH219" si="821">IF(D219&lt;&gt;"-",F219,"-")</f>
        <v>10</v>
      </c>
      <c r="AI219" s="12">
        <f t="shared" ref="AI219" si="822">IF(D219&lt;&gt;"-",G219+F219-1,"-")</f>
        <v>14</v>
      </c>
      <c r="AJ219" s="12">
        <f t="shared" ref="AJ219" si="823">IF(D219&lt;&gt;"-",G219,"-")</f>
        <v>5</v>
      </c>
      <c r="AK219" s="12">
        <f t="shared" ref="AK219" si="824">IF(OR(AH219="-",AJ219="-"),AD219,(2^AH219-1)*2^AJ219)</f>
        <v>32736</v>
      </c>
      <c r="AL219" s="12" t="str">
        <f t="shared" ref="AL219" si="825">IF(D219="-",B219,"-")</f>
        <v>-</v>
      </c>
      <c r="AM219" s="22">
        <f t="shared" si="786"/>
        <v>402</v>
      </c>
      <c r="AN219" s="12">
        <f t="shared" ref="AN219" si="826">IF(OR(AH219="-",AJ219="-"),AD219,IF(AM219&lt;0,AM219+2^AH219,AM219)*2^AJ219)</f>
        <v>12864</v>
      </c>
      <c r="AO219" s="22" t="str">
        <f ca="1">IF(AF219="-",VLOOKUP(AD219,MemoryView!$A$3:$F$108,6,0),MID(VLOOKUP(AF219,MemoryView!$BD$3:$BE$108,2,0),15-AI219+1,AH219))</f>
        <v>0110010010</v>
      </c>
      <c r="AP219" s="22">
        <f t="shared" ref="AP219" ca="1" si="827">IF(AF219="-",HEX2DEC(AO219),IF(LEN(AO219)&gt;8,BIN2DEC(LEFT(AO219,LEN(AO219)-8))*2^8+BIN2DEC(RIGHT(AO219,8)),BIN2DEC(AO219)))</f>
        <v>402</v>
      </c>
      <c r="AQ219" s="53" t="str">
        <f t="shared" ref="AQ219" si="828">IF(AG219&lt;&gt;"-",CONCATENATE("`EE_MNG.",AG219,".SET(",AM219,");        // [",K219,"..",L219,"]"),"-")</f>
        <v>`EE_MNG.TRIM_OSC_CPU.SET(402);        // [0..1023]</v>
      </c>
      <c r="AR219" s="54" t="str">
        <f t="shared" ref="AR219" ca="1" si="829">IF(AND(AD219="-",AE219="-",AF219="-",AG219="-"),"-",IF(AG219&lt;&gt;"-",CONCATENATE("EE_MEM #(`PARAM(16'h",RIGHT(AF219,4),", ",G219,", ",F219,", ",H219,")) ",AG219,"(); bit ",IF(H219=0,"unsigned [","signed ["),F219,"-1:0] ", AG219,"_V; assign ",AG219,"_V = ",AG219,".GET;"), CONCATENATE("EE_MEM #(`PARAM(16'h",RIGHT(AD219,4),", ",G219,", ",F219,", ",H219,")) ",AE219,"(); bit ",IF(H219=0,"unsigned [","signed ["),F219,"-1:0] ", AE219,"_V; assign ",AE219,"_V = ",AE219,".GET;")))</f>
        <v>EE_MEM #(`PARAM(16'h1090, 5, 10, 0)) TRIM_OSC_CPU(); bit unsigned [10-1:0] TRIM_OSC_CPU_V; assign TRIM_OSC_CPU_V = TRIM_OSC_CPU.GET;</v>
      </c>
      <c r="AS219" s="12" t="str">
        <f t="shared" ref="AS219" ca="1" si="830">IF(AG219="-",AE219,INDIRECT(ADDRESS(ROW()-1,COLUMN())))</f>
        <v>EE_TRIM1</v>
      </c>
    </row>
    <row r="220" spans="2:45">
      <c r="B220" s="55" t="str">
        <f t="shared" ca="1" si="743"/>
        <v>MLX</v>
      </c>
      <c r="C220" s="55" t="s">
        <v>58</v>
      </c>
      <c r="D220" s="55" t="s">
        <v>159</v>
      </c>
      <c r="E220" s="57" t="str">
        <f ca="1">INDIRECT(ADDRESS(ROW()-1,COLUMN()))</f>
        <v>0x1090</v>
      </c>
      <c r="F220" s="57">
        <v>5</v>
      </c>
      <c r="G220" s="57">
        <v>0</v>
      </c>
      <c r="H220" s="57">
        <v>0</v>
      </c>
      <c r="I220" s="57" t="s">
        <v>76</v>
      </c>
      <c r="J220" s="50" t="str">
        <f t="shared" si="792"/>
        <v>[4:0]</v>
      </c>
      <c r="K220" s="50">
        <f t="shared" si="793"/>
        <v>0</v>
      </c>
      <c r="L220" s="50">
        <f t="shared" si="794"/>
        <v>31</v>
      </c>
      <c r="M220" s="61" t="s">
        <v>160</v>
      </c>
      <c r="N220" s="28"/>
      <c r="O220" s="57">
        <v>1</v>
      </c>
      <c r="P220" s="57">
        <f t="shared" si="795"/>
        <v>1</v>
      </c>
      <c r="Q220" s="57">
        <f t="shared" si="796"/>
        <v>1</v>
      </c>
      <c r="R220" s="57">
        <f t="shared" si="797"/>
        <v>1</v>
      </c>
      <c r="S220" s="163">
        <f t="shared" si="797"/>
        <v>1</v>
      </c>
      <c r="T220" s="163">
        <v>1</v>
      </c>
      <c r="U220" s="163">
        <f>S220</f>
        <v>1</v>
      </c>
      <c r="V220" s="163">
        <f t="shared" si="774"/>
        <v>1</v>
      </c>
      <c r="W220" s="59"/>
      <c r="X220" s="57">
        <f t="shared" ca="1" si="798"/>
        <v>1</v>
      </c>
      <c r="Y220" s="32"/>
      <c r="AC220" s="12" t="b">
        <f t="shared" si="776"/>
        <v>1</v>
      </c>
      <c r="AD220" s="12" t="str">
        <f t="shared" si="799"/>
        <v>-</v>
      </c>
      <c r="AE220" s="12" t="str">
        <f t="shared" si="800"/>
        <v>-</v>
      </c>
      <c r="AF220" s="12" t="str">
        <f t="shared" ca="1" si="801"/>
        <v>0x1090</v>
      </c>
      <c r="AG220" s="12" t="str">
        <f t="shared" si="802"/>
        <v>TRIM_IBIAS</v>
      </c>
      <c r="AH220" s="12">
        <f t="shared" si="803"/>
        <v>5</v>
      </c>
      <c r="AI220" s="12">
        <f t="shared" si="804"/>
        <v>4</v>
      </c>
      <c r="AJ220" s="12">
        <f t="shared" si="805"/>
        <v>0</v>
      </c>
      <c r="AK220" s="12">
        <f t="shared" si="806"/>
        <v>31</v>
      </c>
      <c r="AL220" s="12" t="str">
        <f t="shared" si="807"/>
        <v>-</v>
      </c>
      <c r="AM220" s="22">
        <f t="shared" si="786"/>
        <v>1</v>
      </c>
      <c r="AN220" s="12">
        <f t="shared" si="808"/>
        <v>1</v>
      </c>
      <c r="AO220" s="22" t="str">
        <f ca="1">IF(AF220="-",VLOOKUP(AD220,MemoryView!$A$3:$F$108,6,0),MID(VLOOKUP(AF220,MemoryView!$BD$3:$BE$108,2,0),15-AI220+1,AH220))</f>
        <v>00001</v>
      </c>
      <c r="AP220" s="22">
        <f t="shared" ca="1" si="809"/>
        <v>1</v>
      </c>
      <c r="AQ220" s="53" t="str">
        <f t="shared" si="810"/>
        <v>`EE_MNG.TRIM_IBIAS.SET(1);        // [0..31]</v>
      </c>
      <c r="AR220" s="54" t="str">
        <f t="shared" ca="1" si="811"/>
        <v>EE_MEM #(`PARAM(16'h1090, 0, 5, 0)) TRIM_IBIAS(); bit unsigned [5-1:0] TRIM_IBIAS_V; assign TRIM_IBIAS_V = TRIM_IBIAS.GET;</v>
      </c>
      <c r="AS220" s="12" t="str">
        <f t="shared" ca="1" si="812"/>
        <v>EE_TRIM1</v>
      </c>
    </row>
    <row r="221" spans="2:45">
      <c r="B221" s="47" t="str">
        <f t="shared" ca="1" si="743"/>
        <v>MLX</v>
      </c>
      <c r="C221" s="47" t="s">
        <v>157</v>
      </c>
      <c r="D221" s="48" t="s">
        <v>58</v>
      </c>
      <c r="E221" s="60" t="str">
        <f ca="1">"0x"&amp;DEC2HEX(HEX2DEC(RIGHT(INDIRECT(ADDRESS(ROW()-1,COLUMN())),4))+2,4)</f>
        <v>0x1092</v>
      </c>
      <c r="F221" s="49">
        <v>16</v>
      </c>
      <c r="G221" s="49">
        <v>0</v>
      </c>
      <c r="H221" s="49">
        <v>0</v>
      </c>
      <c r="I221" s="49" t="s">
        <v>58</v>
      </c>
      <c r="J221" s="50" t="str">
        <f t="shared" si="744"/>
        <v>-</v>
      </c>
      <c r="K221" s="50">
        <f t="shared" si="745"/>
        <v>0</v>
      </c>
      <c r="L221" s="50">
        <f t="shared" si="746"/>
        <v>65535</v>
      </c>
      <c r="M221" s="51" t="s">
        <v>151</v>
      </c>
      <c r="N221" s="28"/>
      <c r="O221" s="52"/>
      <c r="P221" s="52"/>
      <c r="Q221" s="52"/>
      <c r="R221" s="52"/>
      <c r="S221" s="140"/>
      <c r="T221" s="165"/>
      <c r="U221" s="165"/>
      <c r="V221" s="165"/>
      <c r="W221" s="28"/>
      <c r="X221" s="52">
        <f t="shared" ca="1" si="747"/>
        <v>10407</v>
      </c>
      <c r="Y221" s="32"/>
      <c r="AC221" s="12">
        <f t="shared" si="776"/>
        <v>1</v>
      </c>
      <c r="AD221" s="12" t="str">
        <f t="shared" ca="1" si="748"/>
        <v>0x1092</v>
      </c>
      <c r="AE221" s="12" t="str">
        <f t="shared" si="749"/>
        <v>EE_TRIM2</v>
      </c>
      <c r="AF221" s="12" t="str">
        <f t="shared" si="750"/>
        <v>-</v>
      </c>
      <c r="AG221" s="12" t="str">
        <f t="shared" si="751"/>
        <v>-</v>
      </c>
      <c r="AH221" s="12" t="str">
        <f t="shared" si="752"/>
        <v>-</v>
      </c>
      <c r="AI221" s="12" t="str">
        <f t="shared" si="753"/>
        <v>-</v>
      </c>
      <c r="AJ221" s="12" t="str">
        <f t="shared" si="754"/>
        <v>-</v>
      </c>
      <c r="AK221" s="12" t="str">
        <f t="shared" ca="1" si="755"/>
        <v>0x1092</v>
      </c>
      <c r="AL221" s="12" t="str">
        <f t="shared" ca="1" si="756"/>
        <v>MLX</v>
      </c>
      <c r="AM221" s="22">
        <f t="shared" si="786"/>
        <v>0</v>
      </c>
      <c r="AN221" s="12" t="str">
        <f t="shared" ca="1" si="757"/>
        <v>0x1092</v>
      </c>
      <c r="AO221" s="22" t="str">
        <f ca="1">IF(AF221="-",VLOOKUP(AD221,MemoryView!$A$3:$F$108,6,0),MID(VLOOKUP(AF221,MemoryView!$BD$3:$BE$108,2,0),15-AI221+1,AH221))</f>
        <v>28A7</v>
      </c>
      <c r="AP221" s="22">
        <f t="shared" ca="1" si="758"/>
        <v>10407</v>
      </c>
      <c r="AQ221" s="53" t="str">
        <f t="shared" si="759"/>
        <v>-</v>
      </c>
      <c r="AR221" s="54" t="str">
        <f t="shared" ca="1" si="760"/>
        <v>EE_MEM #(`PARAM(16'h1092, 0, 16, 0)) EE_TRIM2(); bit unsigned [16-1:0] EE_TRIM2_V; assign EE_TRIM2_V = EE_TRIM2.GET;</v>
      </c>
      <c r="AS221" s="12" t="str">
        <f t="shared" ca="1" si="761"/>
        <v>EE_TRIM2</v>
      </c>
    </row>
    <row r="222" spans="2:45">
      <c r="B222" s="55" t="str">
        <f t="shared" ca="1" si="743"/>
        <v>MLX</v>
      </c>
      <c r="C222" s="55" t="s">
        <v>58</v>
      </c>
      <c r="D222" s="56" t="s">
        <v>619</v>
      </c>
      <c r="E222" s="57" t="str">
        <f ca="1">INDIRECT(ADDRESS(ROW()-1,COLUMN()))</f>
        <v>0x1092</v>
      </c>
      <c r="F222" s="57">
        <v>1</v>
      </c>
      <c r="G222" s="57">
        <v>15</v>
      </c>
      <c r="H222" s="57">
        <v>0</v>
      </c>
      <c r="I222" s="57" t="s">
        <v>68</v>
      </c>
      <c r="J222" s="50" t="str">
        <f t="shared" ref="J222:J225" si="831">IF(D222&lt;&gt;"-","["&amp;AI222&amp;":"&amp;AJ222&amp;"]","-")</f>
        <v>[15:15]</v>
      </c>
      <c r="K222" s="50">
        <f t="shared" ref="K222:K225" si="832">IF(H222,-L222-1,0)</f>
        <v>0</v>
      </c>
      <c r="L222" s="50">
        <f t="shared" ref="L222:L225" si="833">IF(H222,FLOOR((2^F222-1)/2,1),2^F222-1)</f>
        <v>1</v>
      </c>
      <c r="M222" s="58" t="s">
        <v>583</v>
      </c>
      <c r="N222" s="28"/>
      <c r="O222" s="57"/>
      <c r="P222" s="57">
        <f t="shared" ref="P222:P226" si="834">O222</f>
        <v>0</v>
      </c>
      <c r="Q222" s="57">
        <f t="shared" ref="Q222:Q226" si="835">O222</f>
        <v>0</v>
      </c>
      <c r="R222" s="57">
        <f t="shared" ref="R222:S226" si="836">O222</f>
        <v>0</v>
      </c>
      <c r="S222" s="163">
        <f t="shared" si="836"/>
        <v>0</v>
      </c>
      <c r="T222" s="163">
        <v>0</v>
      </c>
      <c r="U222" s="163">
        <f>S222</f>
        <v>0</v>
      </c>
      <c r="V222" s="163">
        <f t="shared" si="774"/>
        <v>0</v>
      </c>
      <c r="W222" s="59"/>
      <c r="X222" s="57">
        <f t="shared" ref="X222:X225" ca="1" si="837">IF(H222=0,AP222,    IF(AP222&lt;=2^(F222-1)-1,AP222,AP222-2^F222)  )</f>
        <v>0</v>
      </c>
      <c r="Y222" s="32"/>
      <c r="AC222" s="12" t="b">
        <f t="shared" si="776"/>
        <v>1</v>
      </c>
      <c r="AD222" s="12" t="str">
        <f t="shared" ref="AD222:AD225" si="838">IF(AND(D222="-",C222&lt;&gt;"-"),E222,"-")</f>
        <v>-</v>
      </c>
      <c r="AE222" s="12" t="str">
        <f t="shared" ref="AE222:AE225" si="839">IF(D222="-",C222,"-")</f>
        <v>-</v>
      </c>
      <c r="AF222" s="12" t="str">
        <f t="shared" ref="AF222:AF225" ca="1" si="840">IF(AND(D222&lt;&gt;"-",ISTEXT(D222)),E222,"-")</f>
        <v>0x1092</v>
      </c>
      <c r="AG222" s="12" t="str">
        <f t="shared" ref="AG222:AG225" si="841">IF(AND(D222&lt;&gt;"-",ISTEXT(D222)),D222,"-")</f>
        <v>TRIM2_RESERVED</v>
      </c>
      <c r="AH222" s="12">
        <f t="shared" ref="AH222:AH225" si="842">IF(D222&lt;&gt;"-",F222,"-")</f>
        <v>1</v>
      </c>
      <c r="AI222" s="12">
        <f t="shared" ref="AI222:AI225" si="843">IF(D222&lt;&gt;"-",G222+F222-1,"-")</f>
        <v>15</v>
      </c>
      <c r="AJ222" s="12">
        <f t="shared" ref="AJ222:AJ225" si="844">IF(D222&lt;&gt;"-",G222,"-")</f>
        <v>15</v>
      </c>
      <c r="AK222" s="12">
        <f t="shared" ref="AK222:AK225" si="845">IF(OR(AH222="-",AJ222="-"),AD222,(2^AH222-1)*2^AJ222)</f>
        <v>32768</v>
      </c>
      <c r="AL222" s="12" t="str">
        <f t="shared" ref="AL222:AL225" si="846">IF(D222="-",B222,"-")</f>
        <v>-</v>
      </c>
      <c r="AM222" s="22">
        <f t="shared" si="786"/>
        <v>0</v>
      </c>
      <c r="AN222" s="12">
        <f t="shared" ref="AN222:AN225" si="847">IF(OR(AH222="-",AJ222="-"),AD222,IF(AM222&lt;0,AM222+2^AH222,AM222)*2^AJ222)</f>
        <v>0</v>
      </c>
      <c r="AO222" s="22" t="str">
        <f ca="1">IF(AF222="-",VLOOKUP(AD222,MemoryView!$A$3:$F$108,6,0),MID(VLOOKUP(AF222,MemoryView!$BD$3:$BE$108,2,0),15-AI222+1,AH222))</f>
        <v>0</v>
      </c>
      <c r="AP222" s="22">
        <f t="shared" ref="AP222:AP225" ca="1" si="848">IF(AF222="-",HEX2DEC(AO222),IF(LEN(AO222)&gt;8,BIN2DEC(LEFT(AO222,LEN(AO222)-8))*2^8+BIN2DEC(RIGHT(AO222,8)),BIN2DEC(AO222)))</f>
        <v>0</v>
      </c>
      <c r="AQ222" s="53" t="str">
        <f t="shared" ref="AQ222:AQ225" si="849">IF(AG222&lt;&gt;"-",CONCATENATE("`EE_MNG.",AG222,".SET(",AM222,");        // [",K222,"..",L222,"]"),"-")</f>
        <v>`EE_MNG.TRIM2_RESERVED.SET(0);        // [0..1]</v>
      </c>
      <c r="AR222" s="54" t="str">
        <f t="shared" ref="AR222:AR225" ca="1" si="850">IF(AND(AD222="-",AE222="-",AF222="-",AG222="-"),"-",IF(AG222&lt;&gt;"-",CONCATENATE("EE_MEM #(`PARAM(16'h",RIGHT(AF222,4),", ",G222,", ",F222,", ",H222,")) ",AG222,"(); bit ",IF(H222=0,"unsigned [","signed ["),F222,"-1:0] ", AG222,"_V; assign ",AG222,"_V = ",AG222,".GET;"), CONCATENATE("EE_MEM #(`PARAM(16'h",RIGHT(AD222,4),", ",G222,", ",F222,", ",H222,")) ",AE222,"(); bit ",IF(H222=0,"unsigned [","signed ["),F222,"-1:0] ", AE222,"_V; assign ",AE222,"_V = ",AE222,".GET;")))</f>
        <v>EE_MEM #(`PARAM(16'h1092, 15, 1, 0)) TRIM2_RESERVED(); bit unsigned [1-1:0] TRIM2_RESERVED_V; assign TRIM2_RESERVED_V = TRIM2_RESERVED.GET;</v>
      </c>
      <c r="AS222" s="12" t="str">
        <f t="shared" ref="AS222:AS225" ca="1" si="851">IF(AG222="-",AE222,INDIRECT(ADDRESS(ROW()-1,COLUMN())))</f>
        <v>EE_TRIM2</v>
      </c>
    </row>
    <row r="223" spans="2:45">
      <c r="B223" s="55" t="str">
        <f t="shared" ca="1" si="743"/>
        <v>MLX</v>
      </c>
      <c r="C223" s="58" t="s">
        <v>58</v>
      </c>
      <c r="D223" s="58" t="s">
        <v>553</v>
      </c>
      <c r="E223" s="57" t="str">
        <f ca="1">INDIRECT(ADDRESS(ROW()-1,COLUMN()))</f>
        <v>0x1092</v>
      </c>
      <c r="F223" s="57">
        <v>5</v>
      </c>
      <c r="G223" s="57">
        <v>10</v>
      </c>
      <c r="H223" s="57">
        <v>0</v>
      </c>
      <c r="I223" s="57" t="s">
        <v>76</v>
      </c>
      <c r="J223" s="50" t="str">
        <f t="shared" si="831"/>
        <v>[14:10]</v>
      </c>
      <c r="K223" s="50">
        <f t="shared" si="832"/>
        <v>0</v>
      </c>
      <c r="L223" s="50">
        <f t="shared" si="833"/>
        <v>31</v>
      </c>
      <c r="M223" s="61" t="s">
        <v>554</v>
      </c>
      <c r="N223" s="28"/>
      <c r="O223" s="57">
        <v>10</v>
      </c>
      <c r="P223" s="57">
        <f t="shared" si="834"/>
        <v>10</v>
      </c>
      <c r="Q223" s="57">
        <f t="shared" si="835"/>
        <v>10</v>
      </c>
      <c r="R223" s="57">
        <f t="shared" si="836"/>
        <v>10</v>
      </c>
      <c r="S223" s="163">
        <f t="shared" si="836"/>
        <v>10</v>
      </c>
      <c r="T223" s="163">
        <v>10</v>
      </c>
      <c r="U223" s="163">
        <f>S223</f>
        <v>10</v>
      </c>
      <c r="V223" s="163">
        <f t="shared" si="774"/>
        <v>10</v>
      </c>
      <c r="W223" s="59"/>
      <c r="X223" s="57">
        <f t="shared" ca="1" si="837"/>
        <v>10</v>
      </c>
      <c r="Y223" s="32"/>
      <c r="AC223" s="12" t="b">
        <f t="shared" si="776"/>
        <v>1</v>
      </c>
      <c r="AD223" s="12" t="str">
        <f t="shared" si="838"/>
        <v>-</v>
      </c>
      <c r="AE223" s="12" t="str">
        <f t="shared" si="839"/>
        <v>-</v>
      </c>
      <c r="AF223" s="12" t="str">
        <f t="shared" ca="1" si="840"/>
        <v>0x1092</v>
      </c>
      <c r="AG223" s="12" t="str">
        <f t="shared" si="841"/>
        <v>TRIM_OSC10K</v>
      </c>
      <c r="AH223" s="12">
        <f t="shared" si="842"/>
        <v>5</v>
      </c>
      <c r="AI223" s="12">
        <f t="shared" si="843"/>
        <v>14</v>
      </c>
      <c r="AJ223" s="12">
        <f t="shared" si="844"/>
        <v>10</v>
      </c>
      <c r="AK223" s="12">
        <f t="shared" si="845"/>
        <v>31744</v>
      </c>
      <c r="AL223" s="12" t="str">
        <f t="shared" si="846"/>
        <v>-</v>
      </c>
      <c r="AM223" s="22">
        <f t="shared" si="786"/>
        <v>10</v>
      </c>
      <c r="AN223" s="12">
        <f t="shared" si="847"/>
        <v>10240</v>
      </c>
      <c r="AO223" s="22" t="str">
        <f ca="1">IF(AF223="-",VLOOKUP(AD223,MemoryView!$A$3:$F$108,6,0),MID(VLOOKUP(AF223,MemoryView!$BD$3:$BE$108,2,0),15-AI223+1,AH223))</f>
        <v>01010</v>
      </c>
      <c r="AP223" s="22">
        <f t="shared" ca="1" si="848"/>
        <v>10</v>
      </c>
      <c r="AQ223" s="53" t="str">
        <f t="shared" si="849"/>
        <v>`EE_MNG.TRIM_OSC10K.SET(10);        // [0..31]</v>
      </c>
      <c r="AR223" s="54" t="str">
        <f t="shared" ca="1" si="850"/>
        <v>EE_MEM #(`PARAM(16'h1092, 10, 5, 0)) TRIM_OSC10K(); bit unsigned [5-1:0] TRIM_OSC10K_V; assign TRIM_OSC10K_V = TRIM_OSC10K.GET;</v>
      </c>
      <c r="AS223" s="12" t="str">
        <f t="shared" ca="1" si="851"/>
        <v>EE_TRIM2</v>
      </c>
    </row>
    <row r="224" spans="2:45" ht="63.75">
      <c r="B224" s="55" t="str">
        <f t="shared" ca="1" si="743"/>
        <v>MLX</v>
      </c>
      <c r="C224" s="58" t="s">
        <v>58</v>
      </c>
      <c r="D224" s="58" t="s">
        <v>525</v>
      </c>
      <c r="E224" s="57" t="str">
        <f ca="1">INDIRECT(ADDRESS(ROW()-1,COLUMN()))</f>
        <v>0x1092</v>
      </c>
      <c r="F224" s="57">
        <v>2</v>
      </c>
      <c r="G224" s="57">
        <v>8</v>
      </c>
      <c r="H224" s="57">
        <v>0</v>
      </c>
      <c r="I224" s="57" t="s">
        <v>76</v>
      </c>
      <c r="J224" s="50" t="str">
        <f t="shared" ref="J224" si="852">IF(D224&lt;&gt;"-","["&amp;AI224&amp;":"&amp;AJ224&amp;"]","-")</f>
        <v>[9:8]</v>
      </c>
      <c r="K224" s="50">
        <f t="shared" ref="K224" si="853">IF(H224,-L224-1,0)</f>
        <v>0</v>
      </c>
      <c r="L224" s="50">
        <f t="shared" ref="L224" si="854">IF(H224,FLOOR((2^F224-1)/2,1),2^F224-1)</f>
        <v>3</v>
      </c>
      <c r="M224" s="61" t="s">
        <v>526</v>
      </c>
      <c r="N224" s="28"/>
      <c r="O224" s="57">
        <v>0</v>
      </c>
      <c r="P224" s="57">
        <f t="shared" si="834"/>
        <v>0</v>
      </c>
      <c r="Q224" s="57">
        <f t="shared" si="835"/>
        <v>0</v>
      </c>
      <c r="R224" s="57">
        <f t="shared" si="836"/>
        <v>0</v>
      </c>
      <c r="S224" s="163">
        <f t="shared" si="836"/>
        <v>0</v>
      </c>
      <c r="T224" s="163">
        <v>0</v>
      </c>
      <c r="U224" s="163">
        <f>S224</f>
        <v>0</v>
      </c>
      <c r="V224" s="163">
        <f t="shared" si="774"/>
        <v>0</v>
      </c>
      <c r="W224" s="59"/>
      <c r="X224" s="57">
        <f t="shared" ref="X224" ca="1" si="855">IF(H224=0,AP224,    IF(AP224&lt;=2^(F224-1)-1,AP224,AP224-2^F224)  )</f>
        <v>0</v>
      </c>
      <c r="Y224" s="32"/>
      <c r="AC224" s="12" t="b">
        <f t="shared" si="776"/>
        <v>1</v>
      </c>
      <c r="AD224" s="12" t="str">
        <f t="shared" ref="AD224" si="856">IF(AND(D224="-",C224&lt;&gt;"-"),E224,"-")</f>
        <v>-</v>
      </c>
      <c r="AE224" s="12" t="str">
        <f t="shared" ref="AE224" si="857">IF(D224="-",C224,"-")</f>
        <v>-</v>
      </c>
      <c r="AF224" s="12" t="str">
        <f t="shared" ref="AF224" ca="1" si="858">IF(AND(D224&lt;&gt;"-",ISTEXT(D224)),E224,"-")</f>
        <v>0x1092</v>
      </c>
      <c r="AG224" s="12" t="str">
        <f t="shared" ref="AG224" si="859">IF(AND(D224&lt;&gt;"-",ISTEXT(D224)),D224,"-")</f>
        <v>TRIM_SUPSYS_SBY_WUT</v>
      </c>
      <c r="AH224" s="12">
        <f t="shared" ref="AH224" si="860">IF(D224&lt;&gt;"-",F224,"-")</f>
        <v>2</v>
      </c>
      <c r="AI224" s="12">
        <f t="shared" ref="AI224" si="861">IF(D224&lt;&gt;"-",G224+F224-1,"-")</f>
        <v>9</v>
      </c>
      <c r="AJ224" s="12">
        <f t="shared" ref="AJ224" si="862">IF(D224&lt;&gt;"-",G224,"-")</f>
        <v>8</v>
      </c>
      <c r="AK224" s="12">
        <f t="shared" ref="AK224" si="863">IF(OR(AH224="-",AJ224="-"),AD224,(2^AH224-1)*2^AJ224)</f>
        <v>768</v>
      </c>
      <c r="AL224" s="12" t="str">
        <f t="shared" ref="AL224" si="864">IF(D224="-",B224,"-")</f>
        <v>-</v>
      </c>
      <c r="AM224" s="22">
        <f t="shared" si="786"/>
        <v>0</v>
      </c>
      <c r="AN224" s="12">
        <f t="shared" ref="AN224" si="865">IF(OR(AH224="-",AJ224="-"),AD224,IF(AM224&lt;0,AM224+2^AH224,AM224)*2^AJ224)</f>
        <v>0</v>
      </c>
      <c r="AO224" s="22" t="str">
        <f ca="1">IF(AF224="-",VLOOKUP(AD224,MemoryView!$A$3:$F$108,6,0),MID(VLOOKUP(AF224,MemoryView!$BD$3:$BE$108,2,0),15-AI224+1,AH224))</f>
        <v>00</v>
      </c>
      <c r="AP224" s="22">
        <f t="shared" ref="AP224" ca="1" si="866">IF(AF224="-",HEX2DEC(AO224),IF(LEN(AO224)&gt;8,BIN2DEC(LEFT(AO224,LEN(AO224)-8))*2^8+BIN2DEC(RIGHT(AO224,8)),BIN2DEC(AO224)))</f>
        <v>0</v>
      </c>
      <c r="AQ224" s="53" t="str">
        <f t="shared" ref="AQ224" si="867">IF(AG224&lt;&gt;"-",CONCATENATE("`EE_MNG.",AG224,".SET(",AM224,");        // [",K224,"..",L224,"]"),"-")</f>
        <v>`EE_MNG.TRIM_SUPSYS_SBY_WUT.SET(0);        // [0..3]</v>
      </c>
      <c r="AR224" s="54" t="str">
        <f t="shared" ref="AR224" ca="1" si="868">IF(AND(AD224="-",AE224="-",AF224="-",AG224="-"),"-",IF(AG224&lt;&gt;"-",CONCATENATE("EE_MEM #(`PARAM(16'h",RIGHT(AF224,4),", ",G224,", ",F224,", ",H224,")) ",AG224,"(); bit ",IF(H224=0,"unsigned [","signed ["),F224,"-1:0] ", AG224,"_V; assign ",AG224,"_V = ",AG224,".GET;"), CONCATENATE("EE_MEM #(`PARAM(16'h",RIGHT(AD224,4),", ",G224,", ",F224,", ",H224,")) ",AE224,"(); bit ",IF(H224=0,"unsigned [","signed ["),F224,"-1:0] ", AE224,"_V; assign ",AE224,"_V = ",AE224,".GET;")))</f>
        <v>EE_MEM #(`PARAM(16'h1092, 8, 2, 0)) TRIM_SUPSYS_SBY_WUT(); bit unsigned [2-1:0] TRIM_SUPSYS_SBY_WUT_V; assign TRIM_SUPSYS_SBY_WUT_V = TRIM_SUPSYS_SBY_WUT.GET;</v>
      </c>
      <c r="AS224" s="12" t="str">
        <f t="shared" ref="AS224" ca="1" si="869">IF(AG224="-",AE224,INDIRECT(ADDRESS(ROW()-1,COLUMN())))</f>
        <v>EE_TRIM2</v>
      </c>
    </row>
    <row r="225" spans="2:45" ht="38.25">
      <c r="B225" s="55" t="str">
        <f t="shared" ca="1" si="743"/>
        <v>MLX</v>
      </c>
      <c r="C225" s="58" t="s">
        <v>58</v>
      </c>
      <c r="D225" s="58" t="s">
        <v>523</v>
      </c>
      <c r="E225" s="57" t="str">
        <f ca="1">INDIRECT(ADDRESS(ROW()-1,COLUMN()))</f>
        <v>0x1092</v>
      </c>
      <c r="F225" s="57">
        <v>1</v>
      </c>
      <c r="G225" s="57">
        <v>7</v>
      </c>
      <c r="H225" s="57">
        <v>0</v>
      </c>
      <c r="I225" s="57" t="s">
        <v>68</v>
      </c>
      <c r="J225" s="50" t="str">
        <f t="shared" si="831"/>
        <v>[7:7]</v>
      </c>
      <c r="K225" s="50">
        <f t="shared" si="832"/>
        <v>0</v>
      </c>
      <c r="L225" s="50">
        <f t="shared" si="833"/>
        <v>1</v>
      </c>
      <c r="M225" s="58" t="s">
        <v>524</v>
      </c>
      <c r="N225" s="28"/>
      <c r="O225" s="57">
        <v>0</v>
      </c>
      <c r="P225" s="57">
        <f t="shared" si="834"/>
        <v>0</v>
      </c>
      <c r="Q225" s="57">
        <f t="shared" si="835"/>
        <v>0</v>
      </c>
      <c r="R225" s="57">
        <f t="shared" si="836"/>
        <v>0</v>
      </c>
      <c r="S225" s="163">
        <v>1</v>
      </c>
      <c r="T225" s="163">
        <v>1</v>
      </c>
      <c r="U225" s="163">
        <f>S225</f>
        <v>1</v>
      </c>
      <c r="V225" s="163">
        <f t="shared" si="774"/>
        <v>1</v>
      </c>
      <c r="W225" s="59"/>
      <c r="X225" s="57">
        <f t="shared" ca="1" si="837"/>
        <v>1</v>
      </c>
      <c r="Y225" s="32"/>
      <c r="AC225" s="12" t="b">
        <f t="shared" si="776"/>
        <v>1</v>
      </c>
      <c r="AD225" s="12" t="str">
        <f t="shared" si="838"/>
        <v>-</v>
      </c>
      <c r="AE225" s="12" t="str">
        <f t="shared" si="839"/>
        <v>-</v>
      </c>
      <c r="AF225" s="12" t="str">
        <f t="shared" ca="1" si="840"/>
        <v>0x1092</v>
      </c>
      <c r="AG225" s="12" t="str">
        <f t="shared" si="841"/>
        <v>OSC_ADC_AUTO_RESTART</v>
      </c>
      <c r="AH225" s="12">
        <f t="shared" si="842"/>
        <v>1</v>
      </c>
      <c r="AI225" s="12">
        <f t="shared" si="843"/>
        <v>7</v>
      </c>
      <c r="AJ225" s="12">
        <f t="shared" si="844"/>
        <v>7</v>
      </c>
      <c r="AK225" s="12">
        <f t="shared" si="845"/>
        <v>128</v>
      </c>
      <c r="AL225" s="12" t="str">
        <f t="shared" si="846"/>
        <v>-</v>
      </c>
      <c r="AM225" s="22">
        <f t="shared" si="786"/>
        <v>1</v>
      </c>
      <c r="AN225" s="12">
        <f t="shared" si="847"/>
        <v>128</v>
      </c>
      <c r="AO225" s="22" t="str">
        <f ca="1">IF(AF225="-",VLOOKUP(AD225,MemoryView!$A$3:$F$108,6,0),MID(VLOOKUP(AF225,MemoryView!$BD$3:$BE$108,2,0),15-AI225+1,AH225))</f>
        <v>1</v>
      </c>
      <c r="AP225" s="22">
        <f t="shared" ca="1" si="848"/>
        <v>1</v>
      </c>
      <c r="AQ225" s="53" t="str">
        <f t="shared" si="849"/>
        <v>`EE_MNG.OSC_ADC_AUTO_RESTART.SET(1);        // [0..1]</v>
      </c>
      <c r="AR225" s="54" t="str">
        <f t="shared" ca="1" si="850"/>
        <v>EE_MEM #(`PARAM(16'h1092, 7, 1, 0)) OSC_ADC_AUTO_RESTART(); bit unsigned [1-1:0] OSC_ADC_AUTO_RESTART_V; assign OSC_ADC_AUTO_RESTART_V = OSC_ADC_AUTO_RESTART.GET;</v>
      </c>
      <c r="AS225" s="12" t="str">
        <f t="shared" ca="1" si="851"/>
        <v>EE_TRIM2</v>
      </c>
    </row>
    <row r="226" spans="2:45" ht="11.25" customHeight="1">
      <c r="B226" s="55" t="str">
        <f t="shared" ca="1" si="743"/>
        <v>MLX</v>
      </c>
      <c r="C226" s="58" t="s">
        <v>58</v>
      </c>
      <c r="D226" s="58" t="s">
        <v>158</v>
      </c>
      <c r="E226" s="57" t="str">
        <f ca="1">INDIRECT(ADDRESS(ROW()-1,COLUMN()))</f>
        <v>0x1092</v>
      </c>
      <c r="F226" s="57">
        <v>7</v>
      </c>
      <c r="G226" s="57">
        <v>0</v>
      </c>
      <c r="H226" s="57">
        <v>0</v>
      </c>
      <c r="I226" s="57" t="s">
        <v>76</v>
      </c>
      <c r="J226" s="50" t="str">
        <f t="shared" si="744"/>
        <v>[6:0]</v>
      </c>
      <c r="K226" s="50">
        <f t="shared" si="745"/>
        <v>0</v>
      </c>
      <c r="L226" s="50">
        <f t="shared" si="746"/>
        <v>127</v>
      </c>
      <c r="M226" s="61" t="s">
        <v>734</v>
      </c>
      <c r="N226" s="28"/>
      <c r="O226" s="57">
        <v>39</v>
      </c>
      <c r="P226" s="57">
        <f t="shared" si="834"/>
        <v>39</v>
      </c>
      <c r="Q226" s="57">
        <f t="shared" si="835"/>
        <v>39</v>
      </c>
      <c r="R226" s="57">
        <f t="shared" si="836"/>
        <v>39</v>
      </c>
      <c r="S226" s="163">
        <f t="shared" si="836"/>
        <v>39</v>
      </c>
      <c r="T226" s="163">
        <v>39</v>
      </c>
      <c r="U226" s="163">
        <f>S226</f>
        <v>39</v>
      </c>
      <c r="V226" s="163">
        <f t="shared" si="774"/>
        <v>39</v>
      </c>
      <c r="W226" s="59"/>
      <c r="X226" s="57">
        <f t="shared" ca="1" si="747"/>
        <v>39</v>
      </c>
      <c r="Y226" s="32"/>
      <c r="AC226" s="12" t="b">
        <f t="shared" si="776"/>
        <v>1</v>
      </c>
      <c r="AD226" s="12" t="str">
        <f t="shared" si="748"/>
        <v>-</v>
      </c>
      <c r="AE226" s="12" t="str">
        <f t="shared" si="749"/>
        <v>-</v>
      </c>
      <c r="AF226" s="12" t="str">
        <f t="shared" ca="1" si="750"/>
        <v>0x1092</v>
      </c>
      <c r="AG226" s="12" t="str">
        <f t="shared" si="751"/>
        <v>TRIM_OSC_ADC</v>
      </c>
      <c r="AH226" s="12">
        <f t="shared" si="752"/>
        <v>7</v>
      </c>
      <c r="AI226" s="12">
        <f t="shared" si="753"/>
        <v>6</v>
      </c>
      <c r="AJ226" s="12">
        <f t="shared" si="754"/>
        <v>0</v>
      </c>
      <c r="AK226" s="12">
        <f t="shared" si="755"/>
        <v>127</v>
      </c>
      <c r="AL226" s="12" t="str">
        <f t="shared" si="756"/>
        <v>-</v>
      </c>
      <c r="AM226" s="22">
        <f t="shared" si="786"/>
        <v>39</v>
      </c>
      <c r="AN226" s="12">
        <f t="shared" si="757"/>
        <v>39</v>
      </c>
      <c r="AO226" s="22" t="str">
        <f ca="1">IF(AF226="-",VLOOKUP(AD226,MemoryView!$A$3:$F$108,6,0),MID(VLOOKUP(AF226,MemoryView!$BD$3:$BE$108,2,0),15-AI226+1,AH226))</f>
        <v>0100111</v>
      </c>
      <c r="AP226" s="22">
        <f t="shared" ca="1" si="758"/>
        <v>39</v>
      </c>
      <c r="AQ226" s="53" t="str">
        <f t="shared" si="759"/>
        <v>`EE_MNG.TRIM_OSC_ADC.SET(39);        // [0..127]</v>
      </c>
      <c r="AR226" s="54" t="str">
        <f t="shared" ca="1" si="760"/>
        <v>EE_MEM #(`PARAM(16'h1092, 0, 7, 0)) TRIM_OSC_ADC(); bit unsigned [7-1:0] TRIM_OSC_ADC_V; assign TRIM_OSC_ADC_V = TRIM_OSC_ADC.GET;</v>
      </c>
      <c r="AS226" s="12" t="str">
        <f t="shared" ca="1" si="761"/>
        <v>EE_TRIM2</v>
      </c>
    </row>
    <row r="227" spans="2:45">
      <c r="B227" s="47" t="str">
        <f t="shared" ca="1" si="743"/>
        <v>MLX</v>
      </c>
      <c r="C227" s="47" t="s">
        <v>442</v>
      </c>
      <c r="D227" s="48" t="s">
        <v>58</v>
      </c>
      <c r="E227" s="60" t="str">
        <f ca="1">"0x"&amp;DEC2HEX(HEX2DEC(RIGHT(INDIRECT(ADDRESS(ROW()-1,COLUMN())),4))+2,4)</f>
        <v>0x1094</v>
      </c>
      <c r="F227" s="49">
        <v>16</v>
      </c>
      <c r="G227" s="49">
        <v>0</v>
      </c>
      <c r="H227" s="49">
        <v>0</v>
      </c>
      <c r="I227" s="49" t="s">
        <v>58</v>
      </c>
      <c r="J227" s="50" t="str">
        <f t="shared" si="744"/>
        <v>-</v>
      </c>
      <c r="K227" s="50">
        <f t="shared" si="745"/>
        <v>0</v>
      </c>
      <c r="L227" s="50">
        <f t="shared" si="746"/>
        <v>65535</v>
      </c>
      <c r="M227" s="51" t="s">
        <v>162</v>
      </c>
      <c r="N227" s="28"/>
      <c r="O227" s="52"/>
      <c r="P227" s="52"/>
      <c r="Q227" s="52"/>
      <c r="R227" s="52"/>
      <c r="S227" s="140"/>
      <c r="T227" s="165"/>
      <c r="U227" s="165"/>
      <c r="V227" s="165"/>
      <c r="W227" s="28"/>
      <c r="X227" s="52">
        <f t="shared" ca="1" si="747"/>
        <v>0</v>
      </c>
      <c r="Y227" s="32"/>
      <c r="AC227" s="12">
        <f t="shared" si="776"/>
        <v>1</v>
      </c>
      <c r="AD227" s="12" t="str">
        <f t="shared" ca="1" si="748"/>
        <v>0x1094</v>
      </c>
      <c r="AE227" s="12" t="str">
        <f t="shared" si="749"/>
        <v>EE_TRIM3</v>
      </c>
      <c r="AF227" s="12" t="str">
        <f t="shared" si="750"/>
        <v>-</v>
      </c>
      <c r="AG227" s="12" t="str">
        <f t="shared" si="751"/>
        <v>-</v>
      </c>
      <c r="AH227" s="12" t="str">
        <f t="shared" si="752"/>
        <v>-</v>
      </c>
      <c r="AI227" s="12" t="str">
        <f t="shared" si="753"/>
        <v>-</v>
      </c>
      <c r="AJ227" s="12" t="str">
        <f t="shared" si="754"/>
        <v>-</v>
      </c>
      <c r="AK227" s="12" t="str">
        <f t="shared" ca="1" si="755"/>
        <v>0x1094</v>
      </c>
      <c r="AL227" s="12" t="str">
        <f t="shared" ca="1" si="756"/>
        <v>MLX</v>
      </c>
      <c r="AM227" s="22">
        <f t="shared" si="786"/>
        <v>0</v>
      </c>
      <c r="AN227" s="12" t="str">
        <f t="shared" ca="1" si="757"/>
        <v>0x1094</v>
      </c>
      <c r="AO227" s="22" t="str">
        <f ca="1">IF(AF227="-",VLOOKUP(AD227,MemoryView!$A$3:$F$108,6,0),MID(VLOOKUP(AF227,MemoryView!$BD$3:$BE$108,2,0),15-AI227+1,AH227))</f>
        <v>0000</v>
      </c>
      <c r="AP227" s="22">
        <f t="shared" ca="1" si="758"/>
        <v>0</v>
      </c>
      <c r="AQ227" s="53" t="str">
        <f t="shared" si="759"/>
        <v>-</v>
      </c>
      <c r="AR227" s="54" t="str">
        <f t="shared" ca="1" si="760"/>
        <v>EE_MEM #(`PARAM(16'h1094, 0, 16, 0)) EE_TRIM3(); bit unsigned [16-1:0] EE_TRIM3_V; assign EE_TRIM3_V = EE_TRIM3.GET;</v>
      </c>
      <c r="AS227" s="12" t="str">
        <f t="shared" ca="1" si="761"/>
        <v>EE_TRIM3</v>
      </c>
    </row>
    <row r="228" spans="2:45">
      <c r="B228" s="55" t="str">
        <f t="shared" ca="1" si="743"/>
        <v>MLX</v>
      </c>
      <c r="C228" s="55" t="s">
        <v>58</v>
      </c>
      <c r="D228" s="56" t="s">
        <v>586</v>
      </c>
      <c r="E228" s="57" t="str">
        <f ca="1">INDIRECT(ADDRESS(ROW()-1,COLUMN()))</f>
        <v>0x1094</v>
      </c>
      <c r="F228" s="57">
        <v>3</v>
      </c>
      <c r="G228" s="57">
        <v>13</v>
      </c>
      <c r="H228" s="57">
        <v>0</v>
      </c>
      <c r="I228" s="57" t="s">
        <v>68</v>
      </c>
      <c r="J228" s="50" t="str">
        <f t="shared" ref="J228" si="870">IF(D228&lt;&gt;"-","["&amp;AI228&amp;":"&amp;AJ228&amp;"]","-")</f>
        <v>[15:13]</v>
      </c>
      <c r="K228" s="50">
        <f t="shared" ref="K228" si="871">IF(H228,-L228-1,0)</f>
        <v>0</v>
      </c>
      <c r="L228" s="50">
        <f t="shared" ref="L228" si="872">IF(H228,FLOOR((2^F228-1)/2,1),2^F228-1)</f>
        <v>7</v>
      </c>
      <c r="M228" s="58" t="s">
        <v>583</v>
      </c>
      <c r="N228" s="28"/>
      <c r="O228" s="57"/>
      <c r="P228" s="57">
        <f t="shared" ref="P228:P235" si="873">O228</f>
        <v>0</v>
      </c>
      <c r="Q228" s="57">
        <f t="shared" ref="Q228:Q235" si="874">O228</f>
        <v>0</v>
      </c>
      <c r="R228" s="57">
        <f t="shared" ref="R228:S235" si="875">O228</f>
        <v>0</v>
      </c>
      <c r="S228" s="163">
        <f t="shared" si="875"/>
        <v>0</v>
      </c>
      <c r="T228" s="163">
        <v>0</v>
      </c>
      <c r="U228" s="163">
        <f t="shared" ref="U228:U235" si="876">S228</f>
        <v>0</v>
      </c>
      <c r="V228" s="163">
        <f t="shared" si="774"/>
        <v>0</v>
      </c>
      <c r="W228" s="59"/>
      <c r="X228" s="57">
        <f t="shared" ref="X228" ca="1" si="877">IF(H228=0,AP228,    IF(AP228&lt;=2^(F228-1)-1,AP228,AP228-2^F228)  )</f>
        <v>0</v>
      </c>
      <c r="Y228" s="32"/>
      <c r="AC228" s="12" t="b">
        <f t="shared" si="776"/>
        <v>1</v>
      </c>
      <c r="AD228" s="12" t="str">
        <f t="shared" ref="AD228" si="878">IF(AND(D228="-",C228&lt;&gt;"-"),E228,"-")</f>
        <v>-</v>
      </c>
      <c r="AE228" s="12" t="str">
        <f t="shared" ref="AE228" si="879">IF(D228="-",C228,"-")</f>
        <v>-</v>
      </c>
      <c r="AF228" s="12" t="str">
        <f t="shared" ref="AF228" ca="1" si="880">IF(AND(D228&lt;&gt;"-",ISTEXT(D228)),E228,"-")</f>
        <v>0x1094</v>
      </c>
      <c r="AG228" s="12" t="str">
        <f t="shared" ref="AG228" si="881">IF(AND(D228&lt;&gt;"-",ISTEXT(D228)),D228,"-")</f>
        <v>TRIM3_RESERVED</v>
      </c>
      <c r="AH228" s="12">
        <f t="shared" ref="AH228" si="882">IF(D228&lt;&gt;"-",F228,"-")</f>
        <v>3</v>
      </c>
      <c r="AI228" s="12">
        <f t="shared" ref="AI228" si="883">IF(D228&lt;&gt;"-",G228+F228-1,"-")</f>
        <v>15</v>
      </c>
      <c r="AJ228" s="12">
        <f t="shared" ref="AJ228" si="884">IF(D228&lt;&gt;"-",G228,"-")</f>
        <v>13</v>
      </c>
      <c r="AK228" s="12">
        <f t="shared" ref="AK228" si="885">IF(OR(AH228="-",AJ228="-"),AD228,(2^AH228-1)*2^AJ228)</f>
        <v>57344</v>
      </c>
      <c r="AL228" s="12" t="str">
        <f t="shared" ref="AL228" si="886">IF(D228="-",B228,"-")</f>
        <v>-</v>
      </c>
      <c r="AM228" s="22">
        <f t="shared" si="786"/>
        <v>0</v>
      </c>
      <c r="AN228" s="12">
        <f t="shared" ref="AN228" si="887">IF(OR(AH228="-",AJ228="-"),AD228,IF(AM228&lt;0,AM228+2^AH228,AM228)*2^AJ228)</f>
        <v>0</v>
      </c>
      <c r="AO228" s="22" t="str">
        <f ca="1">IF(AF228="-",VLOOKUP(AD228,MemoryView!$A$3:$F$108,6,0),MID(VLOOKUP(AF228,MemoryView!$BD$3:$BE$108,2,0),15-AI228+1,AH228))</f>
        <v>000</v>
      </c>
      <c r="AP228" s="22">
        <f t="shared" ref="AP228" ca="1" si="888">IF(AF228="-",HEX2DEC(AO228),IF(LEN(AO228)&gt;8,BIN2DEC(LEFT(AO228,LEN(AO228)-8))*2^8+BIN2DEC(RIGHT(AO228,8)),BIN2DEC(AO228)))</f>
        <v>0</v>
      </c>
      <c r="AQ228" s="53" t="str">
        <f t="shared" ref="AQ228" si="889">IF(AG228&lt;&gt;"-",CONCATENATE("`EE_MNG.",AG228,".SET(",AM228,");        // [",K228,"..",L228,"]"),"-")</f>
        <v>`EE_MNG.TRIM3_RESERVED.SET(0);        // [0..7]</v>
      </c>
      <c r="AR228" s="54" t="str">
        <f t="shared" ref="AR228" ca="1" si="890">IF(AND(AD228="-",AE228="-",AF228="-",AG228="-"),"-",IF(AG228&lt;&gt;"-",CONCATENATE("EE_MEM #(`PARAM(16'h",RIGHT(AF228,4),", ",G228,", ",F228,", ",H228,")) ",AG228,"(); bit ",IF(H228=0,"unsigned [","signed ["),F228,"-1:0] ", AG228,"_V; assign ",AG228,"_V = ",AG228,".GET;"), CONCATENATE("EE_MEM #(`PARAM(16'h",RIGHT(AD228,4),", ",G228,", ",F228,", ",H228,")) ",AE228,"(); bit ",IF(H228=0,"unsigned [","signed ["),F228,"-1:0] ", AE228,"_V; assign ",AE228,"_V = ",AE228,".GET;")))</f>
        <v>EE_MEM #(`PARAM(16'h1094, 13, 3, 0)) TRIM3_RESERVED(); bit unsigned [3-1:0] TRIM3_RESERVED_V; assign TRIM3_RESERVED_V = TRIM3_RESERVED.GET;</v>
      </c>
      <c r="AS228" s="12" t="str">
        <f t="shared" ref="AS228" ca="1" si="891">IF(AG228="-",AE228,INDIRECT(ADDRESS(ROW()-1,COLUMN())))</f>
        <v>EE_TRIM3</v>
      </c>
    </row>
    <row r="229" spans="2:45">
      <c r="B229" s="55" t="str">
        <f t="shared" ca="1" si="743"/>
        <v>MLX</v>
      </c>
      <c r="C229" s="55" t="s">
        <v>58</v>
      </c>
      <c r="D229" s="58" t="s">
        <v>555</v>
      </c>
      <c r="E229" s="57" t="str">
        <f t="shared" ref="E229:E234" ca="1" si="892">INDIRECT(ADDRESS(ROW()-1,COLUMN()))</f>
        <v>0x1094</v>
      </c>
      <c r="F229" s="57">
        <v>3</v>
      </c>
      <c r="G229" s="57">
        <v>10</v>
      </c>
      <c r="H229" s="57">
        <v>0</v>
      </c>
      <c r="I229" s="57" t="s">
        <v>76</v>
      </c>
      <c r="J229" s="50" t="str">
        <f t="shared" ref="J229" si="893">IF(D229&lt;&gt;"-","["&amp;AI229&amp;":"&amp;AJ229&amp;"]","-")</f>
        <v>[12:10]</v>
      </c>
      <c r="K229" s="50">
        <f t="shared" ref="K229" si="894">IF(H229,-L229-1,0)</f>
        <v>0</v>
      </c>
      <c r="L229" s="50">
        <f t="shared" ref="L229" si="895">IF(H229,FLOOR((2^F229-1)/2,1),2^F229-1)</f>
        <v>7</v>
      </c>
      <c r="M229" s="61" t="s">
        <v>556</v>
      </c>
      <c r="N229" s="28"/>
      <c r="O229" s="57">
        <v>0</v>
      </c>
      <c r="P229" s="57">
        <f t="shared" si="873"/>
        <v>0</v>
      </c>
      <c r="Q229" s="57">
        <f t="shared" si="874"/>
        <v>0</v>
      </c>
      <c r="R229" s="57">
        <f t="shared" si="875"/>
        <v>0</v>
      </c>
      <c r="S229" s="163">
        <f t="shared" si="875"/>
        <v>0</v>
      </c>
      <c r="T229" s="163">
        <v>0</v>
      </c>
      <c r="U229" s="163">
        <f t="shared" si="876"/>
        <v>0</v>
      </c>
      <c r="V229" s="163">
        <f t="shared" si="774"/>
        <v>0</v>
      </c>
      <c r="W229" s="59"/>
      <c r="X229" s="57">
        <f t="shared" ref="X229" ca="1" si="896">IF(H229=0,AP229,    IF(AP229&lt;=2^(F229-1)-1,AP229,AP229-2^F229)  )</f>
        <v>0</v>
      </c>
      <c r="Y229" s="32"/>
      <c r="AC229" s="12" t="b">
        <f t="shared" si="776"/>
        <v>1</v>
      </c>
      <c r="AD229" s="12" t="str">
        <f t="shared" ref="AD229" si="897">IF(AND(D229="-",C229&lt;&gt;"-"),E229,"-")</f>
        <v>-</v>
      </c>
      <c r="AE229" s="12" t="str">
        <f t="shared" ref="AE229" si="898">IF(D229="-",C229,"-")</f>
        <v>-</v>
      </c>
      <c r="AF229" s="12" t="str">
        <f t="shared" ref="AF229" ca="1" si="899">IF(AND(D229&lt;&gt;"-",ISTEXT(D229)),E229,"-")</f>
        <v>0x1094</v>
      </c>
      <c r="AG229" s="12" t="str">
        <f t="shared" ref="AG229" si="900">IF(AND(D229&lt;&gt;"-",ISTEXT(D229)),D229,"-")</f>
        <v>TRIM_VDDA_3V</v>
      </c>
      <c r="AH229" s="12">
        <f t="shared" ref="AH229" si="901">IF(D229&lt;&gt;"-",F229,"-")</f>
        <v>3</v>
      </c>
      <c r="AI229" s="12">
        <f t="shared" ref="AI229" si="902">IF(D229&lt;&gt;"-",G229+F229-1,"-")</f>
        <v>12</v>
      </c>
      <c r="AJ229" s="12">
        <f t="shared" ref="AJ229" si="903">IF(D229&lt;&gt;"-",G229,"-")</f>
        <v>10</v>
      </c>
      <c r="AK229" s="12">
        <f t="shared" ref="AK229" si="904">IF(OR(AH229="-",AJ229="-"),AD229,(2^AH229-1)*2^AJ229)</f>
        <v>7168</v>
      </c>
      <c r="AL229" s="12" t="str">
        <f t="shared" ref="AL229" si="905">IF(D229="-",B229,"-")</f>
        <v>-</v>
      </c>
      <c r="AM229" s="22">
        <f t="shared" si="786"/>
        <v>0</v>
      </c>
      <c r="AN229" s="12">
        <f t="shared" ref="AN229" si="906">IF(OR(AH229="-",AJ229="-"),AD229,IF(AM229&lt;0,AM229+2^AH229,AM229)*2^AJ229)</f>
        <v>0</v>
      </c>
      <c r="AO229" s="22" t="str">
        <f ca="1">IF(AF229="-",VLOOKUP(AD229,MemoryView!$A$3:$F$108,6,0),MID(VLOOKUP(AF229,MemoryView!$BD$3:$BE$108,2,0),15-AI229+1,AH229))</f>
        <v>000</v>
      </c>
      <c r="AP229" s="22">
        <f t="shared" ref="AP229" ca="1" si="907">IF(AF229="-",HEX2DEC(AO229),IF(LEN(AO229)&gt;8,BIN2DEC(LEFT(AO229,LEN(AO229)-8))*2^8+BIN2DEC(RIGHT(AO229,8)),BIN2DEC(AO229)))</f>
        <v>0</v>
      </c>
      <c r="AQ229" s="53" t="str">
        <f t="shared" ref="AQ229" si="908">IF(AG229&lt;&gt;"-",CONCATENATE("`EE_MNG.",AG229,".SET(",AM229,");        // [",K229,"..",L229,"]"),"-")</f>
        <v>`EE_MNG.TRIM_VDDA_3V.SET(0);        // [0..7]</v>
      </c>
      <c r="AR229" s="54" t="str">
        <f t="shared" ref="AR229" ca="1" si="909">IF(AND(AD229="-",AE229="-",AF229="-",AG229="-"),"-",IF(AG229&lt;&gt;"-",CONCATENATE("EE_MEM #(`PARAM(16'h",RIGHT(AF229,4),", ",G229,", ",F229,", ",H229,")) ",AG229,"(); bit ",IF(H229=0,"unsigned [","signed ["),F229,"-1:0] ", AG229,"_V; assign ",AG229,"_V = ",AG229,".GET;"), CONCATENATE("EE_MEM #(`PARAM(16'h",RIGHT(AD229,4),", ",G229,", ",F229,", ",H229,")) ",AE229,"(); bit ",IF(H229=0,"unsigned [","signed ["),F229,"-1:0] ", AE229,"_V; assign ",AE229,"_V = ",AE229,".GET;")))</f>
        <v>EE_MEM #(`PARAM(16'h1094, 10, 3, 0)) TRIM_VDDA_3V(); bit unsigned [3-1:0] TRIM_VDDA_3V_V; assign TRIM_VDDA_3V_V = TRIM_VDDA_3V.GET;</v>
      </c>
      <c r="AS229" s="12" t="str">
        <f t="shared" ref="AS229" ca="1" si="910">IF(AG229="-",AE229,INDIRECT(ADDRESS(ROW()-1,COLUMN())))</f>
        <v>EE_TRIM3</v>
      </c>
    </row>
    <row r="230" spans="2:45" ht="51">
      <c r="B230" s="55" t="str">
        <f t="shared" ca="1" si="743"/>
        <v>MLX</v>
      </c>
      <c r="C230" s="55" t="s">
        <v>58</v>
      </c>
      <c r="D230" s="58" t="s">
        <v>163</v>
      </c>
      <c r="E230" s="57" t="str">
        <f t="shared" ca="1" si="892"/>
        <v>0x1094</v>
      </c>
      <c r="F230" s="57">
        <v>2</v>
      </c>
      <c r="G230" s="57">
        <v>8</v>
      </c>
      <c r="H230" s="57">
        <v>0</v>
      </c>
      <c r="I230" s="57" t="s">
        <v>68</v>
      </c>
      <c r="J230" s="50" t="str">
        <f t="shared" si="744"/>
        <v>[9:8]</v>
      </c>
      <c r="K230" s="50">
        <f t="shared" si="745"/>
        <v>0</v>
      </c>
      <c r="L230" s="50">
        <f t="shared" si="746"/>
        <v>3</v>
      </c>
      <c r="M230" s="58" t="s">
        <v>164</v>
      </c>
      <c r="N230" s="28"/>
      <c r="O230" s="57">
        <v>0</v>
      </c>
      <c r="P230" s="57">
        <f t="shared" si="873"/>
        <v>0</v>
      </c>
      <c r="Q230" s="57">
        <f t="shared" si="874"/>
        <v>0</v>
      </c>
      <c r="R230" s="57">
        <f t="shared" si="875"/>
        <v>0</v>
      </c>
      <c r="S230" s="163">
        <f t="shared" si="875"/>
        <v>0</v>
      </c>
      <c r="T230" s="163">
        <v>0</v>
      </c>
      <c r="U230" s="163">
        <f t="shared" si="876"/>
        <v>0</v>
      </c>
      <c r="V230" s="163">
        <f t="shared" si="774"/>
        <v>0</v>
      </c>
      <c r="W230" s="59"/>
      <c r="X230" s="57">
        <f t="shared" ca="1" si="747"/>
        <v>0</v>
      </c>
      <c r="Y230" s="32"/>
      <c r="AC230" s="12" t="b">
        <f t="shared" si="776"/>
        <v>1</v>
      </c>
      <c r="AD230" s="12" t="str">
        <f t="shared" si="748"/>
        <v>-</v>
      </c>
      <c r="AE230" s="12" t="str">
        <f t="shared" si="749"/>
        <v>-</v>
      </c>
      <c r="AF230" s="12" t="str">
        <f t="shared" ca="1" si="750"/>
        <v>0x1094</v>
      </c>
      <c r="AG230" s="12" t="str">
        <f t="shared" si="751"/>
        <v>PADC_RTZ</v>
      </c>
      <c r="AH230" s="12">
        <f t="shared" si="752"/>
        <v>2</v>
      </c>
      <c r="AI230" s="12">
        <f t="shared" si="753"/>
        <v>9</v>
      </c>
      <c r="AJ230" s="12">
        <f t="shared" si="754"/>
        <v>8</v>
      </c>
      <c r="AK230" s="12">
        <f t="shared" si="755"/>
        <v>768</v>
      </c>
      <c r="AL230" s="12" t="str">
        <f t="shared" si="756"/>
        <v>-</v>
      </c>
      <c r="AM230" s="22">
        <f t="shared" si="786"/>
        <v>0</v>
      </c>
      <c r="AN230" s="12">
        <f t="shared" si="757"/>
        <v>0</v>
      </c>
      <c r="AO230" s="22" t="str">
        <f ca="1">IF(AF230="-",VLOOKUP(AD230,MemoryView!$A$3:$F$108,6,0),MID(VLOOKUP(AF230,MemoryView!$BD$3:$BE$108,2,0),15-AI230+1,AH230))</f>
        <v>00</v>
      </c>
      <c r="AP230" s="22">
        <f t="shared" ca="1" si="758"/>
        <v>0</v>
      </c>
      <c r="AQ230" s="53" t="str">
        <f t="shared" si="759"/>
        <v>`EE_MNG.PADC_RTZ.SET(0);        // [0..3]</v>
      </c>
      <c r="AR230" s="54" t="str">
        <f t="shared" ca="1" si="760"/>
        <v>EE_MEM #(`PARAM(16'h1094, 8, 2, 0)) PADC_RTZ(); bit unsigned [2-1:0] PADC_RTZ_V; assign PADC_RTZ_V = PADC_RTZ.GET;</v>
      </c>
      <c r="AS230" s="12" t="str">
        <f t="shared" ca="1" si="761"/>
        <v>EE_TRIM3</v>
      </c>
    </row>
    <row r="231" spans="2:45" ht="38.25">
      <c r="B231" s="55" t="str">
        <f t="shared" ca="1" si="743"/>
        <v>MLX</v>
      </c>
      <c r="C231" s="55" t="s">
        <v>58</v>
      </c>
      <c r="D231" s="58" t="s">
        <v>165</v>
      </c>
      <c r="E231" s="57" t="str">
        <f t="shared" ca="1" si="892"/>
        <v>0x1094</v>
      </c>
      <c r="F231" s="57">
        <v>1</v>
      </c>
      <c r="G231" s="57">
        <v>7</v>
      </c>
      <c r="H231" s="57">
        <v>0</v>
      </c>
      <c r="I231" s="57" t="s">
        <v>68</v>
      </c>
      <c r="J231" s="50" t="str">
        <f t="shared" si="744"/>
        <v>[7:7]</v>
      </c>
      <c r="K231" s="50">
        <f t="shared" si="745"/>
        <v>0</v>
      </c>
      <c r="L231" s="50">
        <f t="shared" si="746"/>
        <v>1</v>
      </c>
      <c r="M231" s="58" t="s">
        <v>166</v>
      </c>
      <c r="N231" s="28"/>
      <c r="O231" s="57">
        <v>0</v>
      </c>
      <c r="P231" s="57">
        <f t="shared" si="873"/>
        <v>0</v>
      </c>
      <c r="Q231" s="57">
        <f t="shared" si="874"/>
        <v>0</v>
      </c>
      <c r="R231" s="57">
        <f t="shared" si="875"/>
        <v>0</v>
      </c>
      <c r="S231" s="163">
        <f t="shared" si="875"/>
        <v>0</v>
      </c>
      <c r="T231" s="163">
        <v>0</v>
      </c>
      <c r="U231" s="163">
        <f t="shared" si="876"/>
        <v>0</v>
      </c>
      <c r="V231" s="163">
        <f t="shared" si="774"/>
        <v>0</v>
      </c>
      <c r="W231" s="59"/>
      <c r="X231" s="57">
        <f t="shared" ca="1" si="747"/>
        <v>0</v>
      </c>
      <c r="Y231" s="32"/>
      <c r="AC231" s="12" t="b">
        <f t="shared" si="776"/>
        <v>1</v>
      </c>
      <c r="AD231" s="12" t="str">
        <f t="shared" si="748"/>
        <v>-</v>
      </c>
      <c r="AE231" s="12" t="str">
        <f t="shared" si="749"/>
        <v>-</v>
      </c>
      <c r="AF231" s="12" t="str">
        <f t="shared" ca="1" si="750"/>
        <v>0x1094</v>
      </c>
      <c r="AG231" s="12" t="str">
        <f t="shared" si="751"/>
        <v>PADC_INVERT_MODE</v>
      </c>
      <c r="AH231" s="12">
        <f t="shared" si="752"/>
        <v>1</v>
      </c>
      <c r="AI231" s="12">
        <f t="shared" si="753"/>
        <v>7</v>
      </c>
      <c r="AJ231" s="12">
        <f t="shared" si="754"/>
        <v>7</v>
      </c>
      <c r="AK231" s="12">
        <f t="shared" si="755"/>
        <v>128</v>
      </c>
      <c r="AL231" s="12" t="str">
        <f t="shared" si="756"/>
        <v>-</v>
      </c>
      <c r="AM231" s="22">
        <f t="shared" si="786"/>
        <v>0</v>
      </c>
      <c r="AN231" s="12">
        <f t="shared" si="757"/>
        <v>0</v>
      </c>
      <c r="AO231" s="22" t="str">
        <f ca="1">IF(AF231="-",VLOOKUP(AD231,MemoryView!$A$3:$F$108,6,0),MID(VLOOKUP(AF231,MemoryView!$BD$3:$BE$108,2,0),15-AI231+1,AH231))</f>
        <v>0</v>
      </c>
      <c r="AP231" s="22">
        <f t="shared" ca="1" si="758"/>
        <v>0</v>
      </c>
      <c r="AQ231" s="53" t="str">
        <f t="shared" si="759"/>
        <v>`EE_MNG.PADC_INVERT_MODE.SET(0);        // [0..1]</v>
      </c>
      <c r="AR231" s="54" t="str">
        <f t="shared" ca="1" si="760"/>
        <v>EE_MEM #(`PARAM(16'h1094, 7, 1, 0)) PADC_INVERT_MODE(); bit unsigned [1-1:0] PADC_INVERT_MODE_V; assign PADC_INVERT_MODE_V = PADC_INVERT_MODE.GET;</v>
      </c>
      <c r="AS231" s="12" t="str">
        <f t="shared" ca="1" si="761"/>
        <v>EE_TRIM3</v>
      </c>
    </row>
    <row r="232" spans="2:45">
      <c r="B232" s="55" t="str">
        <f t="shared" ca="1" si="743"/>
        <v>MLX</v>
      </c>
      <c r="C232" s="55" t="s">
        <v>58</v>
      </c>
      <c r="D232" s="58" t="s">
        <v>167</v>
      </c>
      <c r="E232" s="57" t="str">
        <f t="shared" ca="1" si="892"/>
        <v>0x1094</v>
      </c>
      <c r="F232" s="57">
        <v>3</v>
      </c>
      <c r="G232" s="57">
        <v>4</v>
      </c>
      <c r="H232" s="57">
        <v>0</v>
      </c>
      <c r="I232" s="57" t="s">
        <v>68</v>
      </c>
      <c r="J232" s="50" t="str">
        <f t="shared" si="744"/>
        <v>[6:4]</v>
      </c>
      <c r="K232" s="50">
        <f t="shared" si="745"/>
        <v>0</v>
      </c>
      <c r="L232" s="50">
        <f t="shared" si="746"/>
        <v>7</v>
      </c>
      <c r="M232" s="58" t="s">
        <v>168</v>
      </c>
      <c r="N232" s="28"/>
      <c r="O232" s="57">
        <v>0</v>
      </c>
      <c r="P232" s="57">
        <f t="shared" si="873"/>
        <v>0</v>
      </c>
      <c r="Q232" s="57">
        <f t="shared" si="874"/>
        <v>0</v>
      </c>
      <c r="R232" s="57">
        <f t="shared" si="875"/>
        <v>0</v>
      </c>
      <c r="S232" s="163">
        <f t="shared" si="875"/>
        <v>0</v>
      </c>
      <c r="T232" s="163">
        <v>0</v>
      </c>
      <c r="U232" s="163">
        <f t="shared" si="876"/>
        <v>0</v>
      </c>
      <c r="V232" s="163">
        <f t="shared" si="774"/>
        <v>0</v>
      </c>
      <c r="W232" s="59"/>
      <c r="X232" s="57">
        <f t="shared" ca="1" si="747"/>
        <v>0</v>
      </c>
      <c r="Y232" s="32"/>
      <c r="AC232" s="12" t="b">
        <f t="shared" si="776"/>
        <v>1</v>
      </c>
      <c r="AD232" s="12" t="str">
        <f t="shared" si="748"/>
        <v>-</v>
      </c>
      <c r="AE232" s="12" t="str">
        <f t="shared" si="749"/>
        <v>-</v>
      </c>
      <c r="AF232" s="12" t="str">
        <f t="shared" ca="1" si="750"/>
        <v>0x1094</v>
      </c>
      <c r="AG232" s="12" t="str">
        <f t="shared" si="751"/>
        <v>PADC_INT1_CURR</v>
      </c>
      <c r="AH232" s="12">
        <f t="shared" si="752"/>
        <v>3</v>
      </c>
      <c r="AI232" s="12">
        <f t="shared" si="753"/>
        <v>6</v>
      </c>
      <c r="AJ232" s="12">
        <f t="shared" si="754"/>
        <v>4</v>
      </c>
      <c r="AK232" s="12">
        <f t="shared" si="755"/>
        <v>112</v>
      </c>
      <c r="AL232" s="12" t="str">
        <f t="shared" si="756"/>
        <v>-</v>
      </c>
      <c r="AM232" s="22">
        <f t="shared" si="786"/>
        <v>0</v>
      </c>
      <c r="AN232" s="12">
        <f t="shared" si="757"/>
        <v>0</v>
      </c>
      <c r="AO232" s="22" t="str">
        <f ca="1">IF(AF232="-",VLOOKUP(AD232,MemoryView!$A$3:$F$108,6,0),MID(VLOOKUP(AF232,MemoryView!$BD$3:$BE$108,2,0),15-AI232+1,AH232))</f>
        <v>000</v>
      </c>
      <c r="AP232" s="22">
        <f t="shared" ca="1" si="758"/>
        <v>0</v>
      </c>
      <c r="AQ232" s="53" t="str">
        <f t="shared" si="759"/>
        <v>`EE_MNG.PADC_INT1_CURR.SET(0);        // [0..7]</v>
      </c>
      <c r="AR232" s="54" t="str">
        <f t="shared" ca="1" si="760"/>
        <v>EE_MEM #(`PARAM(16'h1094, 4, 3, 0)) PADC_INT1_CURR(); bit unsigned [3-1:0] PADC_INT1_CURR_V; assign PADC_INT1_CURR_V = PADC_INT1_CURR.GET;</v>
      </c>
      <c r="AS232" s="12" t="str">
        <f t="shared" ca="1" si="761"/>
        <v>EE_TRIM3</v>
      </c>
    </row>
    <row r="233" spans="2:45">
      <c r="B233" s="55" t="str">
        <f t="shared" ca="1" si="743"/>
        <v>MLX</v>
      </c>
      <c r="C233" s="55" t="s">
        <v>58</v>
      </c>
      <c r="D233" s="58" t="s">
        <v>169</v>
      </c>
      <c r="E233" s="57" t="str">
        <f t="shared" ca="1" si="892"/>
        <v>0x1094</v>
      </c>
      <c r="F233" s="57">
        <v>1</v>
      </c>
      <c r="G233" s="57">
        <v>3</v>
      </c>
      <c r="H233" s="57">
        <v>0</v>
      </c>
      <c r="I233" s="57" t="s">
        <v>68</v>
      </c>
      <c r="J233" s="50" t="str">
        <f t="shared" si="744"/>
        <v>[3:3]</v>
      </c>
      <c r="K233" s="50">
        <f t="shared" si="745"/>
        <v>0</v>
      </c>
      <c r="L233" s="50">
        <f t="shared" si="746"/>
        <v>1</v>
      </c>
      <c r="M233" s="58" t="s">
        <v>170</v>
      </c>
      <c r="N233" s="28"/>
      <c r="O233" s="57">
        <v>0</v>
      </c>
      <c r="P233" s="57">
        <f t="shared" si="873"/>
        <v>0</v>
      </c>
      <c r="Q233" s="57">
        <f t="shared" si="874"/>
        <v>0</v>
      </c>
      <c r="R233" s="57">
        <f t="shared" si="875"/>
        <v>0</v>
      </c>
      <c r="S233" s="163">
        <f t="shared" si="875"/>
        <v>0</v>
      </c>
      <c r="T233" s="163">
        <v>0</v>
      </c>
      <c r="U233" s="163">
        <f t="shared" si="876"/>
        <v>0</v>
      </c>
      <c r="V233" s="163">
        <f t="shared" si="774"/>
        <v>0</v>
      </c>
      <c r="W233" s="59"/>
      <c r="X233" s="57">
        <f t="shared" ca="1" si="747"/>
        <v>0</v>
      </c>
      <c r="Y233" s="32"/>
      <c r="AC233" s="12" t="b">
        <f t="shared" si="776"/>
        <v>1</v>
      </c>
      <c r="AD233" s="12" t="str">
        <f t="shared" si="748"/>
        <v>-</v>
      </c>
      <c r="AE233" s="12" t="str">
        <f t="shared" si="749"/>
        <v>-</v>
      </c>
      <c r="AF233" s="12" t="str">
        <f t="shared" ca="1" si="750"/>
        <v>0x1094</v>
      </c>
      <c r="AG233" s="12" t="str">
        <f t="shared" si="751"/>
        <v>PADC_SEL_CHOP_INT_SYS</v>
      </c>
      <c r="AH233" s="12">
        <f t="shared" si="752"/>
        <v>1</v>
      </c>
      <c r="AI233" s="12">
        <f t="shared" si="753"/>
        <v>3</v>
      </c>
      <c r="AJ233" s="12">
        <f t="shared" si="754"/>
        <v>3</v>
      </c>
      <c r="AK233" s="12">
        <f t="shared" si="755"/>
        <v>8</v>
      </c>
      <c r="AL233" s="12" t="str">
        <f t="shared" si="756"/>
        <v>-</v>
      </c>
      <c r="AM233" s="22">
        <f t="shared" si="786"/>
        <v>0</v>
      </c>
      <c r="AN233" s="12">
        <f t="shared" si="757"/>
        <v>0</v>
      </c>
      <c r="AO233" s="22" t="str">
        <f ca="1">IF(AF233="-",VLOOKUP(AD233,MemoryView!$A$3:$F$108,6,0),MID(VLOOKUP(AF233,MemoryView!$BD$3:$BE$108,2,0),15-AI233+1,AH233))</f>
        <v>0</v>
      </c>
      <c r="AP233" s="22">
        <f t="shared" ca="1" si="758"/>
        <v>0</v>
      </c>
      <c r="AQ233" s="53" t="str">
        <f t="shared" si="759"/>
        <v>`EE_MNG.PADC_SEL_CHOP_INT_SYS.SET(0);        // [0..1]</v>
      </c>
      <c r="AR233" s="54" t="str">
        <f t="shared" ca="1" si="760"/>
        <v>EE_MEM #(`PARAM(16'h1094, 3, 1, 0)) PADC_SEL_CHOP_INT_SYS(); bit unsigned [1-1:0] PADC_SEL_CHOP_INT_SYS_V; assign PADC_SEL_CHOP_INT_SYS_V = PADC_SEL_CHOP_INT_SYS.GET;</v>
      </c>
      <c r="AS233" s="12" t="str">
        <f t="shared" ca="1" si="761"/>
        <v>EE_TRIM3</v>
      </c>
    </row>
    <row r="234" spans="2:45" ht="38.25">
      <c r="B234" s="55" t="str">
        <f t="shared" ca="1" si="743"/>
        <v>MLX</v>
      </c>
      <c r="C234" s="55" t="s">
        <v>58</v>
      </c>
      <c r="D234" s="58" t="s">
        <v>171</v>
      </c>
      <c r="E234" s="57" t="str">
        <f t="shared" ca="1" si="892"/>
        <v>0x1094</v>
      </c>
      <c r="F234" s="57">
        <v>1</v>
      </c>
      <c r="G234" s="57">
        <v>2</v>
      </c>
      <c r="H234" s="57">
        <v>0</v>
      </c>
      <c r="I234" s="57" t="s">
        <v>68</v>
      </c>
      <c r="J234" s="50" t="str">
        <f t="shared" si="744"/>
        <v>[2:2]</v>
      </c>
      <c r="K234" s="50">
        <f t="shared" si="745"/>
        <v>0</v>
      </c>
      <c r="L234" s="50">
        <f t="shared" si="746"/>
        <v>1</v>
      </c>
      <c r="M234" s="58" t="s">
        <v>172</v>
      </c>
      <c r="N234" s="28"/>
      <c r="O234" s="57">
        <v>0</v>
      </c>
      <c r="P234" s="57">
        <f t="shared" si="873"/>
        <v>0</v>
      </c>
      <c r="Q234" s="57">
        <f t="shared" si="874"/>
        <v>0</v>
      </c>
      <c r="R234" s="57">
        <f t="shared" si="875"/>
        <v>0</v>
      </c>
      <c r="S234" s="163">
        <f t="shared" si="875"/>
        <v>0</v>
      </c>
      <c r="T234" s="163">
        <v>0</v>
      </c>
      <c r="U234" s="163">
        <f t="shared" si="876"/>
        <v>0</v>
      </c>
      <c r="V234" s="163">
        <f t="shared" si="774"/>
        <v>0</v>
      </c>
      <c r="W234" s="59"/>
      <c r="X234" s="57">
        <f t="shared" ca="1" si="747"/>
        <v>0</v>
      </c>
      <c r="Y234" s="32"/>
      <c r="AC234" s="12" t="b">
        <f t="shared" si="776"/>
        <v>1</v>
      </c>
      <c r="AD234" s="12" t="str">
        <f t="shared" si="748"/>
        <v>-</v>
      </c>
      <c r="AE234" s="12" t="str">
        <f t="shared" si="749"/>
        <v>-</v>
      </c>
      <c r="AF234" s="12" t="str">
        <f t="shared" ca="1" si="750"/>
        <v>0x1094</v>
      </c>
      <c r="AG234" s="12" t="str">
        <f t="shared" si="751"/>
        <v>PADC_SEL_COMP_CLK</v>
      </c>
      <c r="AH234" s="12">
        <f t="shared" si="752"/>
        <v>1</v>
      </c>
      <c r="AI234" s="12">
        <f t="shared" si="753"/>
        <v>2</v>
      </c>
      <c r="AJ234" s="12">
        <f t="shared" si="754"/>
        <v>2</v>
      </c>
      <c r="AK234" s="12">
        <f t="shared" si="755"/>
        <v>4</v>
      </c>
      <c r="AL234" s="12" t="str">
        <f t="shared" si="756"/>
        <v>-</v>
      </c>
      <c r="AM234" s="22">
        <f t="shared" si="786"/>
        <v>0</v>
      </c>
      <c r="AN234" s="12">
        <f t="shared" si="757"/>
        <v>0</v>
      </c>
      <c r="AO234" s="22" t="str">
        <f ca="1">IF(AF234="-",VLOOKUP(AD234,MemoryView!$A$3:$F$108,6,0),MID(VLOOKUP(AF234,MemoryView!$BD$3:$BE$108,2,0),15-AI234+1,AH234))</f>
        <v>0</v>
      </c>
      <c r="AP234" s="22">
        <f t="shared" ca="1" si="758"/>
        <v>0</v>
      </c>
      <c r="AQ234" s="53" t="str">
        <f t="shared" si="759"/>
        <v>`EE_MNG.PADC_SEL_COMP_CLK.SET(0);        // [0..1]</v>
      </c>
      <c r="AR234" s="54" t="str">
        <f t="shared" ca="1" si="760"/>
        <v>EE_MEM #(`PARAM(16'h1094, 2, 1, 0)) PADC_SEL_COMP_CLK(); bit unsigned [1-1:0] PADC_SEL_COMP_CLK_V; assign PADC_SEL_COMP_CLK_V = PADC_SEL_COMP_CLK.GET;</v>
      </c>
      <c r="AS234" s="12" t="str">
        <f t="shared" ca="1" si="761"/>
        <v>EE_TRIM3</v>
      </c>
    </row>
    <row r="235" spans="2:45" ht="38.25">
      <c r="B235" s="55" t="str">
        <f t="shared" ca="1" si="743"/>
        <v>MLX</v>
      </c>
      <c r="C235" s="55" t="s">
        <v>58</v>
      </c>
      <c r="D235" s="58" t="s">
        <v>173</v>
      </c>
      <c r="E235" s="57" t="str">
        <f ca="1">INDIRECT(ADDRESS(ROW()-1,COLUMN()))</f>
        <v>0x1094</v>
      </c>
      <c r="F235" s="57">
        <v>2</v>
      </c>
      <c r="G235" s="57">
        <v>0</v>
      </c>
      <c r="H235" s="57">
        <v>0</v>
      </c>
      <c r="I235" s="57" t="s">
        <v>68</v>
      </c>
      <c r="J235" s="50" t="str">
        <f t="shared" si="744"/>
        <v>[1:0]</v>
      </c>
      <c r="K235" s="50">
        <f t="shared" si="745"/>
        <v>0</v>
      </c>
      <c r="L235" s="50">
        <f t="shared" si="746"/>
        <v>3</v>
      </c>
      <c r="M235" s="58" t="s">
        <v>174</v>
      </c>
      <c r="N235" s="28"/>
      <c r="O235" s="57">
        <v>0</v>
      </c>
      <c r="P235" s="57">
        <f t="shared" si="873"/>
        <v>0</v>
      </c>
      <c r="Q235" s="57">
        <f t="shared" si="874"/>
        <v>0</v>
      </c>
      <c r="R235" s="57">
        <f t="shared" si="875"/>
        <v>0</v>
      </c>
      <c r="S235" s="163">
        <f t="shared" si="875"/>
        <v>0</v>
      </c>
      <c r="T235" s="163">
        <v>0</v>
      </c>
      <c r="U235" s="163">
        <f t="shared" si="876"/>
        <v>0</v>
      </c>
      <c r="V235" s="163">
        <f t="shared" si="774"/>
        <v>0</v>
      </c>
      <c r="W235" s="59"/>
      <c r="X235" s="57">
        <f t="shared" ca="1" si="747"/>
        <v>0</v>
      </c>
      <c r="Y235" s="32"/>
      <c r="AC235" s="12" t="b">
        <f t="shared" si="776"/>
        <v>1</v>
      </c>
      <c r="AD235" s="12" t="str">
        <f t="shared" si="748"/>
        <v>-</v>
      </c>
      <c r="AE235" s="12" t="str">
        <f t="shared" si="749"/>
        <v>-</v>
      </c>
      <c r="AF235" s="12" t="str">
        <f t="shared" ca="1" si="750"/>
        <v>0x1094</v>
      </c>
      <c r="AG235" s="12" t="str">
        <f t="shared" si="751"/>
        <v>PADC_DITHER</v>
      </c>
      <c r="AH235" s="12">
        <f t="shared" si="752"/>
        <v>2</v>
      </c>
      <c r="AI235" s="12">
        <f t="shared" si="753"/>
        <v>1</v>
      </c>
      <c r="AJ235" s="12">
        <f t="shared" si="754"/>
        <v>0</v>
      </c>
      <c r="AK235" s="12">
        <f t="shared" si="755"/>
        <v>3</v>
      </c>
      <c r="AL235" s="12" t="str">
        <f t="shared" si="756"/>
        <v>-</v>
      </c>
      <c r="AM235" s="22">
        <f t="shared" si="786"/>
        <v>0</v>
      </c>
      <c r="AN235" s="12">
        <f t="shared" si="757"/>
        <v>0</v>
      </c>
      <c r="AO235" s="22" t="str">
        <f ca="1">IF(AF235="-",VLOOKUP(AD235,MemoryView!$A$3:$F$108,6,0),MID(VLOOKUP(AF235,MemoryView!$BD$3:$BE$108,2,0),15-AI235+1,AH235))</f>
        <v>00</v>
      </c>
      <c r="AP235" s="22">
        <f t="shared" ca="1" si="758"/>
        <v>0</v>
      </c>
      <c r="AQ235" s="53" t="str">
        <f t="shared" si="759"/>
        <v>`EE_MNG.PADC_DITHER.SET(0);        // [0..3]</v>
      </c>
      <c r="AR235" s="54" t="str">
        <f t="shared" ca="1" si="760"/>
        <v>EE_MEM #(`PARAM(16'h1094, 0, 2, 0)) PADC_DITHER(); bit unsigned [2-1:0] PADC_DITHER_V; assign PADC_DITHER_V = PADC_DITHER.GET;</v>
      </c>
      <c r="AS235" s="12" t="str">
        <f t="shared" ca="1" si="761"/>
        <v>EE_TRIM3</v>
      </c>
    </row>
    <row r="236" spans="2:45">
      <c r="B236" s="47" t="str">
        <f t="shared" ca="1" si="743"/>
        <v>MLX</v>
      </c>
      <c r="C236" s="47" t="s">
        <v>489</v>
      </c>
      <c r="D236" s="48" t="s">
        <v>58</v>
      </c>
      <c r="E236" s="60" t="str">
        <f ca="1">"0x"&amp;DEC2HEX(HEX2DEC(RIGHT(INDIRECT(ADDRESS(ROW()-1,COLUMN())),4))+2,4)</f>
        <v>0x1096</v>
      </c>
      <c r="F236" s="49">
        <v>16</v>
      </c>
      <c r="G236" s="49">
        <v>0</v>
      </c>
      <c r="H236" s="49">
        <v>0</v>
      </c>
      <c r="I236" s="49" t="s">
        <v>58</v>
      </c>
      <c r="J236" s="50" t="str">
        <f t="shared" ref="J236:J238" si="911">IF(D236&lt;&gt;"-","["&amp;AI236&amp;":"&amp;AJ236&amp;"]","-")</f>
        <v>-</v>
      </c>
      <c r="K236" s="50">
        <f t="shared" ref="K236:K238" si="912">IF(H236,-L236-1,0)</f>
        <v>0</v>
      </c>
      <c r="L236" s="50">
        <f t="shared" ref="L236:L238" si="913">IF(H236,FLOOR((2^F236-1)/2,1),2^F236-1)</f>
        <v>65535</v>
      </c>
      <c r="M236" s="51" t="s">
        <v>162</v>
      </c>
      <c r="N236" s="28"/>
      <c r="O236" s="52"/>
      <c r="P236" s="52"/>
      <c r="Q236" s="52"/>
      <c r="R236" s="52"/>
      <c r="S236" s="140"/>
      <c r="T236" s="165"/>
      <c r="U236" s="165"/>
      <c r="V236" s="165"/>
      <c r="W236" s="28"/>
      <c r="X236" s="52">
        <f t="shared" ref="X236:X238" ca="1" si="914">IF(H236=0,AP236,    IF(AP236&lt;=2^(F236-1)-1,AP236,AP236-2^F236)  )</f>
        <v>46</v>
      </c>
      <c r="Y236" s="32"/>
      <c r="AC236" s="12">
        <f t="shared" si="776"/>
        <v>1</v>
      </c>
      <c r="AD236" s="12" t="str">
        <f t="shared" ref="AD236:AD238" ca="1" si="915">IF(AND(D236="-",C236&lt;&gt;"-"),E236,"-")</f>
        <v>0x1096</v>
      </c>
      <c r="AE236" s="12" t="str">
        <f t="shared" ref="AE236:AE238" si="916">IF(D236="-",C236,"-")</f>
        <v>EE_DSP_CONF</v>
      </c>
      <c r="AF236" s="12" t="str">
        <f t="shared" ref="AF236:AF238" si="917">IF(AND(D236&lt;&gt;"-",ISTEXT(D236)),E236,"-")</f>
        <v>-</v>
      </c>
      <c r="AG236" s="12" t="str">
        <f t="shared" ref="AG236:AG238" si="918">IF(AND(D236&lt;&gt;"-",ISTEXT(D236)),D236,"-")</f>
        <v>-</v>
      </c>
      <c r="AH236" s="12" t="str">
        <f t="shared" ref="AH236:AH238" si="919">IF(D236&lt;&gt;"-",F236,"-")</f>
        <v>-</v>
      </c>
      <c r="AI236" s="12" t="str">
        <f t="shared" ref="AI236:AI238" si="920">IF(D236&lt;&gt;"-",G236+F236-1,"-")</f>
        <v>-</v>
      </c>
      <c r="AJ236" s="12" t="str">
        <f t="shared" ref="AJ236:AJ238" si="921">IF(D236&lt;&gt;"-",G236,"-")</f>
        <v>-</v>
      </c>
      <c r="AK236" s="12" t="str">
        <f t="shared" ref="AK236:AK238" ca="1" si="922">IF(OR(AH236="-",AJ236="-"),AD236,(2^AH236-1)*2^AJ236)</f>
        <v>0x1096</v>
      </c>
      <c r="AL236" s="12" t="str">
        <f t="shared" ref="AL236:AL238" ca="1" si="923">IF(D236="-",B236,"-")</f>
        <v>MLX</v>
      </c>
      <c r="AM236" s="22">
        <f t="shared" si="786"/>
        <v>0</v>
      </c>
      <c r="AN236" s="12" t="str">
        <f t="shared" ref="AN236:AN238" ca="1" si="924">IF(OR(AH236="-",AJ236="-"),AD236,IF(AM236&lt;0,AM236+2^AH236,AM236)*2^AJ236)</f>
        <v>0x1096</v>
      </c>
      <c r="AO236" s="22" t="str">
        <f ca="1">IF(AF236="-",VLOOKUP(AD236,MemoryView!$A$3:$F$108,6,0),MID(VLOOKUP(AF236,MemoryView!$BD$3:$BE$108,2,0),15-AI236+1,AH236))</f>
        <v>002E</v>
      </c>
      <c r="AP236" s="22">
        <f t="shared" ref="AP236:AP238" ca="1" si="925">IF(AF236="-",HEX2DEC(AO236),IF(LEN(AO236)&gt;8,BIN2DEC(LEFT(AO236,LEN(AO236)-8))*2^8+BIN2DEC(RIGHT(AO236,8)),BIN2DEC(AO236)))</f>
        <v>46</v>
      </c>
      <c r="AQ236" s="53" t="str">
        <f t="shared" ref="AQ236:AQ238" si="926">IF(AG236&lt;&gt;"-",CONCATENATE("`EE_MNG.",AG236,".SET(",AM236,");        // [",K236,"..",L236,"]"),"-")</f>
        <v>-</v>
      </c>
      <c r="AR236" s="54" t="str">
        <f t="shared" ref="AR236:AR238" ca="1" si="927">IF(AND(AD236="-",AE236="-",AF236="-",AG236="-"),"-",IF(AG236&lt;&gt;"-",CONCATENATE("EE_MEM #(`PARAM(16'h",RIGHT(AF236,4),", ",G236,", ",F236,", ",H236,")) ",AG236,"(); bit ",IF(H236=0,"unsigned [","signed ["),F236,"-1:0] ", AG236,"_V; assign ",AG236,"_V = ",AG236,".GET;"), CONCATENATE("EE_MEM #(`PARAM(16'h",RIGHT(AD236,4),", ",G236,", ",F236,", ",H236,")) ",AE236,"(); bit ",IF(H236=0,"unsigned [","signed ["),F236,"-1:0] ", AE236,"_V; assign ",AE236,"_V = ",AE236,".GET;")))</f>
        <v>EE_MEM #(`PARAM(16'h1096, 0, 16, 0)) EE_DSP_CONF(); bit unsigned [16-1:0] EE_DSP_CONF_V; assign EE_DSP_CONF_V = EE_DSP_CONF.GET;</v>
      </c>
      <c r="AS236" s="12" t="str">
        <f t="shared" ref="AS236:AS238" ca="1" si="928">IF(AG236="-",AE236,INDIRECT(ADDRESS(ROW()-1,COLUMN())))</f>
        <v>EE_DSP_CONF</v>
      </c>
    </row>
    <row r="237" spans="2:45" ht="102">
      <c r="B237" s="55" t="str">
        <f t="shared" ca="1" si="743"/>
        <v>MLX</v>
      </c>
      <c r="C237" s="55" t="s">
        <v>58</v>
      </c>
      <c r="D237" s="156" t="s">
        <v>665</v>
      </c>
      <c r="E237" s="57" t="str">
        <f ca="1">INDIRECT(ADDRESS(ROW()-1,COLUMN()))</f>
        <v>0x1096</v>
      </c>
      <c r="F237" s="57">
        <v>9</v>
      </c>
      <c r="G237" s="57">
        <v>7</v>
      </c>
      <c r="H237" s="57">
        <v>1</v>
      </c>
      <c r="I237" s="57" t="s">
        <v>76</v>
      </c>
      <c r="J237" s="50" t="str">
        <f t="shared" si="911"/>
        <v>[15:7]</v>
      </c>
      <c r="K237" s="50">
        <f t="shared" si="912"/>
        <v>-256</v>
      </c>
      <c r="L237" s="50">
        <f t="shared" si="913"/>
        <v>255</v>
      </c>
      <c r="M237" s="159" t="s">
        <v>678</v>
      </c>
      <c r="N237" s="28"/>
      <c r="O237" s="57">
        <v>136</v>
      </c>
      <c r="P237" s="57">
        <f t="shared" ref="P237:P240" si="929">O237</f>
        <v>136</v>
      </c>
      <c r="Q237" s="157">
        <f t="shared" ref="Q237:Q238" si="930">O237</f>
        <v>136</v>
      </c>
      <c r="R237" s="57">
        <f t="shared" ref="R237" si="931">O237</f>
        <v>136</v>
      </c>
      <c r="S237" s="163">
        <v>0</v>
      </c>
      <c r="T237" s="163">
        <v>0</v>
      </c>
      <c r="U237" s="163">
        <v>0</v>
      </c>
      <c r="V237" s="163">
        <v>0</v>
      </c>
      <c r="W237" s="59"/>
      <c r="X237" s="57">
        <f t="shared" ca="1" si="914"/>
        <v>0</v>
      </c>
      <c r="Y237" s="32"/>
      <c r="AC237" s="12" t="b">
        <f t="shared" si="776"/>
        <v>1</v>
      </c>
      <c r="AD237" s="12" t="str">
        <f t="shared" si="915"/>
        <v>-</v>
      </c>
      <c r="AE237" s="12" t="str">
        <f t="shared" si="916"/>
        <v>-</v>
      </c>
      <c r="AF237" s="12" t="str">
        <f t="shared" ca="1" si="917"/>
        <v>0x1096</v>
      </c>
      <c r="AG237" s="12" t="str">
        <f t="shared" si="918"/>
        <v>VIRT_REF_TMEMS_DIAG_BASE</v>
      </c>
      <c r="AH237" s="12">
        <f t="shared" si="919"/>
        <v>9</v>
      </c>
      <c r="AI237" s="12">
        <f t="shared" si="920"/>
        <v>15</v>
      </c>
      <c r="AJ237" s="12">
        <f t="shared" si="921"/>
        <v>7</v>
      </c>
      <c r="AK237" s="12">
        <f t="shared" si="922"/>
        <v>65408</v>
      </c>
      <c r="AL237" s="12" t="str">
        <f t="shared" si="923"/>
        <v>-</v>
      </c>
      <c r="AM237" s="22">
        <f t="shared" si="786"/>
        <v>0</v>
      </c>
      <c r="AN237" s="12">
        <f t="shared" si="924"/>
        <v>0</v>
      </c>
      <c r="AO237" s="22" t="str">
        <f ca="1">IF(AF237="-",VLOOKUP(AD237,MemoryView!$A$3:$F$108,6,0),MID(VLOOKUP(AF237,MemoryView!$BD$3:$BE$108,2,0),15-AI237+1,AH237))</f>
        <v>000000000</v>
      </c>
      <c r="AP237" s="22">
        <f t="shared" ca="1" si="925"/>
        <v>0</v>
      </c>
      <c r="AQ237" s="53" t="str">
        <f t="shared" si="926"/>
        <v>`EE_MNG.VIRT_REF_TMEMS_DIAG_BASE.SET(0);        // [-256..255]</v>
      </c>
      <c r="AR237" s="54" t="str">
        <f t="shared" ca="1" si="927"/>
        <v>EE_MEM #(`PARAM(16'h1096, 7, 9, 1)) VIRT_REF_TMEMS_DIAG_BASE(); bit signed [9-1:0] VIRT_REF_TMEMS_DIAG_BASE_V; assign VIRT_REF_TMEMS_DIAG_BASE_V = VIRT_REF_TMEMS_DIAG_BASE.GET;</v>
      </c>
      <c r="AS237" s="12" t="str">
        <f t="shared" ca="1" si="928"/>
        <v>EE_DSP_CONF</v>
      </c>
    </row>
    <row r="238" spans="2:45" ht="229.5">
      <c r="B238" s="55" t="str">
        <f t="shared" ca="1" si="743"/>
        <v>MLX</v>
      </c>
      <c r="C238" s="55" t="s">
        <v>58</v>
      </c>
      <c r="D238" s="56" t="s">
        <v>599</v>
      </c>
      <c r="E238" s="57" t="str">
        <f t="shared" ref="E238:E243" ca="1" si="932">INDIRECT(ADDRESS(ROW()-1,COLUMN()))</f>
        <v>0x1096</v>
      </c>
      <c r="F238" s="57">
        <v>3</v>
      </c>
      <c r="G238" s="57">
        <v>4</v>
      </c>
      <c r="H238" s="57">
        <v>0</v>
      </c>
      <c r="I238" s="57" t="s">
        <v>76</v>
      </c>
      <c r="J238" s="50" t="str">
        <f t="shared" si="911"/>
        <v>[6:4]</v>
      </c>
      <c r="K238" s="50">
        <f t="shared" si="912"/>
        <v>0</v>
      </c>
      <c r="L238" s="50">
        <f t="shared" si="913"/>
        <v>7</v>
      </c>
      <c r="M238" s="61" t="s">
        <v>632</v>
      </c>
      <c r="N238" s="28"/>
      <c r="O238" s="57">
        <v>0</v>
      </c>
      <c r="P238" s="57">
        <v>2</v>
      </c>
      <c r="Q238" s="57">
        <f t="shared" si="930"/>
        <v>0</v>
      </c>
      <c r="R238" s="57">
        <v>2</v>
      </c>
      <c r="S238" s="163">
        <v>2</v>
      </c>
      <c r="T238" s="163">
        <v>0</v>
      </c>
      <c r="U238" s="163">
        <f>S238</f>
        <v>2</v>
      </c>
      <c r="V238" s="163">
        <v>0</v>
      </c>
      <c r="W238" s="59"/>
      <c r="X238" s="57">
        <f t="shared" ca="1" si="914"/>
        <v>2</v>
      </c>
      <c r="Y238" s="32"/>
      <c r="AC238" s="12" t="b">
        <f t="shared" si="776"/>
        <v>1</v>
      </c>
      <c r="AD238" s="12" t="str">
        <f t="shared" si="915"/>
        <v>-</v>
      </c>
      <c r="AE238" s="12" t="str">
        <f t="shared" si="916"/>
        <v>-</v>
      </c>
      <c r="AF238" s="12" t="str">
        <f t="shared" ca="1" si="917"/>
        <v>0x1096</v>
      </c>
      <c r="AG238" s="12" t="str">
        <f t="shared" si="918"/>
        <v>TMEMS_GAIN</v>
      </c>
      <c r="AH238" s="12">
        <f t="shared" si="919"/>
        <v>3</v>
      </c>
      <c r="AI238" s="12">
        <f t="shared" si="920"/>
        <v>6</v>
      </c>
      <c r="AJ238" s="12">
        <f t="shared" si="921"/>
        <v>4</v>
      </c>
      <c r="AK238" s="12">
        <f t="shared" si="922"/>
        <v>112</v>
      </c>
      <c r="AL238" s="12" t="str">
        <f t="shared" si="923"/>
        <v>-</v>
      </c>
      <c r="AM238" s="22">
        <f t="shared" si="786"/>
        <v>2</v>
      </c>
      <c r="AN238" s="12">
        <f t="shared" si="924"/>
        <v>32</v>
      </c>
      <c r="AO238" s="22" t="str">
        <f ca="1">IF(AF238="-",VLOOKUP(AD238,MemoryView!$A$3:$F$108,6,0),MID(VLOOKUP(AF238,MemoryView!$BD$3:$BE$108,2,0),15-AI238+1,AH238))</f>
        <v>010</v>
      </c>
      <c r="AP238" s="22">
        <f t="shared" ca="1" si="925"/>
        <v>2</v>
      </c>
      <c r="AQ238" s="53" t="str">
        <f t="shared" si="926"/>
        <v>`EE_MNG.TMEMS_GAIN.SET(2);        // [0..7]</v>
      </c>
      <c r="AR238" s="54" t="str">
        <f t="shared" ca="1" si="927"/>
        <v>EE_MEM #(`PARAM(16'h1096, 4, 3, 0)) TMEMS_GAIN(); bit unsigned [3-1:0] TMEMS_GAIN_V; assign TMEMS_GAIN_V = TMEMS_GAIN.GET;</v>
      </c>
      <c r="AS238" s="12" t="str">
        <f t="shared" ca="1" si="928"/>
        <v>EE_DSP_CONF</v>
      </c>
    </row>
    <row r="239" spans="2:45" ht="140.25">
      <c r="B239" s="55" t="str">
        <f t="shared" ca="1" si="743"/>
        <v>MLX</v>
      </c>
      <c r="C239" s="55" t="s">
        <v>58</v>
      </c>
      <c r="D239" s="56" t="s">
        <v>464</v>
      </c>
      <c r="E239" s="57" t="str">
        <f t="shared" ca="1" si="932"/>
        <v>0x1096</v>
      </c>
      <c r="F239" s="57">
        <v>2</v>
      </c>
      <c r="G239" s="57">
        <v>2</v>
      </c>
      <c r="H239" s="57">
        <v>0</v>
      </c>
      <c r="I239" s="57" t="s">
        <v>68</v>
      </c>
      <c r="J239" s="50" t="str">
        <f t="shared" ref="J239" si="933">IF(D239&lt;&gt;"-","["&amp;AI239&amp;":"&amp;AJ239&amp;"]","-")</f>
        <v>[3:2]</v>
      </c>
      <c r="K239" s="50">
        <f t="shared" ref="K239" si="934">IF(H239,-L239-1,0)</f>
        <v>0</v>
      </c>
      <c r="L239" s="50">
        <f t="shared" ref="L239" si="935">IF(H239,FLOOR((2^F239-1)/2,1),2^F239-1)</f>
        <v>3</v>
      </c>
      <c r="M239" s="61" t="s">
        <v>760</v>
      </c>
      <c r="N239" s="28"/>
      <c r="O239" s="57">
        <v>2</v>
      </c>
      <c r="P239" s="57">
        <v>2</v>
      </c>
      <c r="Q239" s="57">
        <v>0</v>
      </c>
      <c r="R239" s="57">
        <v>1</v>
      </c>
      <c r="S239" s="163">
        <v>3</v>
      </c>
      <c r="T239" s="163">
        <v>2</v>
      </c>
      <c r="U239" s="163">
        <f>S239</f>
        <v>3</v>
      </c>
      <c r="V239" s="163">
        <v>3</v>
      </c>
      <c r="W239" s="59"/>
      <c r="X239" s="57">
        <f t="shared" ref="X239" ca="1" si="936">IF(H239=0,AP239,    IF(AP239&lt;=2^(F239-1)-1,AP239,AP239-2^F239)  )</f>
        <v>3</v>
      </c>
      <c r="Y239" s="32"/>
      <c r="AC239" s="12" t="b">
        <f t="shared" si="776"/>
        <v>1</v>
      </c>
      <c r="AD239" s="12" t="str">
        <f t="shared" ref="AD239" si="937">IF(AND(D239="-",C239&lt;&gt;"-"),E239,"-")</f>
        <v>-</v>
      </c>
      <c r="AE239" s="12" t="str">
        <f t="shared" ref="AE239" si="938">IF(D239="-",C239,"-")</f>
        <v>-</v>
      </c>
      <c r="AF239" s="12" t="str">
        <f t="shared" ref="AF239" ca="1" si="939">IF(AND(D239&lt;&gt;"-",ISTEXT(D239)),E239,"-")</f>
        <v>0x1096</v>
      </c>
      <c r="AG239" s="12" t="str">
        <f t="shared" ref="AG239" si="940">IF(AND(D239&lt;&gt;"-",ISTEXT(D239)),D239,"-")</f>
        <v>TMEMS_SEL</v>
      </c>
      <c r="AH239" s="12">
        <f t="shared" ref="AH239" si="941">IF(D239&lt;&gt;"-",F239,"-")</f>
        <v>2</v>
      </c>
      <c r="AI239" s="12">
        <f t="shared" ref="AI239" si="942">IF(D239&lt;&gt;"-",G239+F239-1,"-")</f>
        <v>3</v>
      </c>
      <c r="AJ239" s="12">
        <f t="shared" ref="AJ239" si="943">IF(D239&lt;&gt;"-",G239,"-")</f>
        <v>2</v>
      </c>
      <c r="AK239" s="12">
        <f t="shared" ref="AK239" si="944">IF(OR(AH239="-",AJ239="-"),AD239,(2^AH239-1)*2^AJ239)</f>
        <v>12</v>
      </c>
      <c r="AL239" s="12" t="str">
        <f t="shared" ref="AL239" si="945">IF(D239="-",B239,"-")</f>
        <v>-</v>
      </c>
      <c r="AM239" s="22">
        <f t="shared" si="786"/>
        <v>3</v>
      </c>
      <c r="AN239" s="12">
        <f t="shared" ref="AN239" si="946">IF(OR(AH239="-",AJ239="-"),AD239,IF(AM239&lt;0,AM239+2^AH239,AM239)*2^AJ239)</f>
        <v>12</v>
      </c>
      <c r="AO239" s="22" t="str">
        <f ca="1">IF(AF239="-",VLOOKUP(AD239,MemoryView!$A$3:$F$108,6,0),MID(VLOOKUP(AF239,MemoryView!$BD$3:$BE$108,2,0),15-AI239+1,AH239))</f>
        <v>11</v>
      </c>
      <c r="AP239" s="22">
        <f t="shared" ref="AP239" ca="1" si="947">IF(AF239="-",HEX2DEC(AO239),IF(LEN(AO239)&gt;8,BIN2DEC(LEFT(AO239,LEN(AO239)-8))*2^8+BIN2DEC(RIGHT(AO239,8)),BIN2DEC(AO239)))</f>
        <v>3</v>
      </c>
      <c r="AQ239" s="53" t="str">
        <f t="shared" ref="AQ239" si="948">IF(AG239&lt;&gt;"-",CONCATENATE("`EE_MNG.",AG239,".SET(",AM239,");        // [",K239,"..",L239,"]"),"-")</f>
        <v>`EE_MNG.TMEMS_SEL.SET(3);        // [0..3]</v>
      </c>
      <c r="AR239" s="54" t="str">
        <f t="shared" ref="AR239" ca="1" si="949">IF(AND(AD239="-",AE239="-",AF239="-",AG239="-"),"-",IF(AG239&lt;&gt;"-",CONCATENATE("EE_MEM #(`PARAM(16'h",RIGHT(AF239,4),", ",G239,", ",F239,", ",H239,")) ",AG239,"(); bit ",IF(H239=0,"unsigned [","signed ["),F239,"-1:0] ", AG239,"_V; assign ",AG239,"_V = ",AG239,".GET;"), CONCATENATE("EE_MEM #(`PARAM(16'h",RIGHT(AD239,4),", ",G239,", ",F239,", ",H239,")) ",AE239,"(); bit ",IF(H239=0,"unsigned [","signed ["),F239,"-1:0] ", AE239,"_V; assign ",AE239,"_V = ",AE239,".GET;")))</f>
        <v>EE_MEM #(`PARAM(16'h1096, 2, 2, 0)) TMEMS_SEL(); bit unsigned [2-1:0] TMEMS_SEL_V; assign TMEMS_SEL_V = TMEMS_SEL.GET;</v>
      </c>
      <c r="AS239" s="12" t="str">
        <f t="shared" ref="AS239" ca="1" si="950">IF(AG239="-",AE239,INDIRECT(ADDRESS(ROW()-1,COLUMN())))</f>
        <v>EE_DSP_CONF</v>
      </c>
    </row>
    <row r="240" spans="2:45" ht="76.5">
      <c r="B240" s="55" t="str">
        <f t="shared" ca="1" si="743"/>
        <v>MLX</v>
      </c>
      <c r="C240" s="58" t="s">
        <v>58</v>
      </c>
      <c r="D240" s="58" t="s">
        <v>509</v>
      </c>
      <c r="E240" s="57" t="str">
        <f t="shared" ca="1" si="932"/>
        <v>0x1096</v>
      </c>
      <c r="F240" s="57">
        <v>2</v>
      </c>
      <c r="G240" s="57">
        <v>0</v>
      </c>
      <c r="H240" s="57">
        <v>0</v>
      </c>
      <c r="I240" s="57" t="s">
        <v>68</v>
      </c>
      <c r="J240" s="50" t="str">
        <f t="shared" ref="J240:J241" si="951">IF(D240&lt;&gt;"-","["&amp;AI240&amp;":"&amp;AJ240&amp;"]","-")</f>
        <v>[1:0]</v>
      </c>
      <c r="K240" s="50">
        <f t="shared" ref="K240:K241" si="952">IF(H240,-L240-1,0)</f>
        <v>0</v>
      </c>
      <c r="L240" s="50">
        <f t="shared" ref="L240:L241" si="953">IF(H240,FLOOR((2^F240-1)/2,1),2^F240-1)</f>
        <v>3</v>
      </c>
      <c r="M240" s="61" t="s">
        <v>510</v>
      </c>
      <c r="N240" s="28"/>
      <c r="O240" s="57">
        <v>0</v>
      </c>
      <c r="P240" s="57">
        <f t="shared" si="929"/>
        <v>0</v>
      </c>
      <c r="Q240" s="57">
        <v>2</v>
      </c>
      <c r="R240" s="57">
        <v>1</v>
      </c>
      <c r="S240" s="163">
        <v>2</v>
      </c>
      <c r="T240" s="163">
        <v>0</v>
      </c>
      <c r="U240" s="163">
        <v>1</v>
      </c>
      <c r="V240" s="163">
        <v>0</v>
      </c>
      <c r="W240" s="59"/>
      <c r="X240" s="57">
        <f t="shared" ref="X240:X241" ca="1" si="954">IF(H240=0,AP240,    IF(AP240&lt;=2^(F240-1)-1,AP240,AP240-2^F240)  )</f>
        <v>2</v>
      </c>
      <c r="Y240" s="32"/>
      <c r="AC240" s="12" t="b">
        <f t="shared" si="776"/>
        <v>1</v>
      </c>
      <c r="AD240" s="12" t="str">
        <f t="shared" ref="AD240:AD241" si="955">IF(AND(D240="-",C240&lt;&gt;"-"),E240,"-")</f>
        <v>-</v>
      </c>
      <c r="AE240" s="12" t="str">
        <f t="shared" ref="AE240:AE241" si="956">IF(D240="-",C240,"-")</f>
        <v>-</v>
      </c>
      <c r="AF240" s="12" t="str">
        <f t="shared" ref="AF240:AF241" ca="1" si="957">IF(AND(D240&lt;&gt;"-",ISTEXT(D240)),E240,"-")</f>
        <v>0x1096</v>
      </c>
      <c r="AG240" s="12" t="str">
        <f t="shared" ref="AG240:AG241" si="958">IF(AND(D240&lt;&gt;"-",ISTEXT(D240)),D240,"-")</f>
        <v>MADC_N_BIT_SHIFT_ADD</v>
      </c>
      <c r="AH240" s="12">
        <f t="shared" ref="AH240:AH241" si="959">IF(D240&lt;&gt;"-",F240,"-")</f>
        <v>2</v>
      </c>
      <c r="AI240" s="12">
        <f t="shared" ref="AI240:AI241" si="960">IF(D240&lt;&gt;"-",G240+F240-1,"-")</f>
        <v>1</v>
      </c>
      <c r="AJ240" s="12">
        <f t="shared" ref="AJ240:AJ241" si="961">IF(D240&lt;&gt;"-",G240,"-")</f>
        <v>0</v>
      </c>
      <c r="AK240" s="12">
        <f t="shared" ref="AK240:AK241" si="962">IF(OR(AH240="-",AJ240="-"),AD240,(2^AH240-1)*2^AJ240)</f>
        <v>3</v>
      </c>
      <c r="AL240" s="12" t="str">
        <f t="shared" ref="AL240:AL241" si="963">IF(D240="-",B240,"-")</f>
        <v>-</v>
      </c>
      <c r="AM240" s="22">
        <f t="shared" si="786"/>
        <v>2</v>
      </c>
      <c r="AN240" s="12">
        <f t="shared" ref="AN240:AN241" si="964">IF(OR(AH240="-",AJ240="-"),AD240,IF(AM240&lt;0,AM240+2^AH240,AM240)*2^AJ240)</f>
        <v>2</v>
      </c>
      <c r="AO240" s="22" t="str">
        <f ca="1">IF(AF240="-",VLOOKUP(AD240,MemoryView!$A$3:$F$108,6,0),MID(VLOOKUP(AF240,MemoryView!$BD$3:$BE$108,2,0),15-AI240+1,AH240))</f>
        <v>10</v>
      </c>
      <c r="AP240" s="22">
        <f t="shared" ref="AP240:AP241" ca="1" si="965">IF(AF240="-",HEX2DEC(AO240),IF(LEN(AO240)&gt;8,BIN2DEC(LEFT(AO240,LEN(AO240)-8))*2^8+BIN2DEC(RIGHT(AO240,8)),BIN2DEC(AO240)))</f>
        <v>2</v>
      </c>
      <c r="AQ240" s="53" t="str">
        <f t="shared" ref="AQ240:AQ241" si="966">IF(AG240&lt;&gt;"-",CONCATENATE("`EE_MNG.",AG240,".SET(",AM240,");        // [",K240,"..",L240,"]"),"-")</f>
        <v>`EE_MNG.MADC_N_BIT_SHIFT_ADD.SET(2);        // [0..3]</v>
      </c>
      <c r="AR240" s="54" t="str">
        <f t="shared" ref="AR240:AR241" ca="1" si="967">IF(AND(AD240="-",AE240="-",AF240="-",AG240="-"),"-",IF(AG240&lt;&gt;"-",CONCATENATE("EE_MEM #(`PARAM(16'h",RIGHT(AF240,4),", ",G240,", ",F240,", ",H240,")) ",AG240,"(); bit ",IF(H240=0,"unsigned [","signed ["),F240,"-1:0] ", AG240,"_V; assign ",AG240,"_V = ",AG240,".GET;"), CONCATENATE("EE_MEM #(`PARAM(16'h",RIGHT(AD240,4),", ",G240,", ",F240,", ",H240,")) ",AE240,"(); bit ",IF(H240=0,"unsigned [","signed ["),F240,"-1:0] ", AE240,"_V; assign ",AE240,"_V = ",AE240,".GET;")))</f>
        <v>EE_MEM #(`PARAM(16'h1096, 0, 2, 0)) MADC_N_BIT_SHIFT_ADD(); bit unsigned [2-1:0] MADC_N_BIT_SHIFT_ADD_V; assign MADC_N_BIT_SHIFT_ADD_V = MADC_N_BIT_SHIFT_ADD.GET;</v>
      </c>
      <c r="AS240" s="12" t="str">
        <f t="shared" ref="AS240:AS241" ca="1" si="968">IF(AG240="-",AE240,INDIRECT(ADDRESS(ROW()-1,COLUMN())))</f>
        <v>EE_DSP_CONF</v>
      </c>
    </row>
    <row r="241" spans="2:45">
      <c r="B241" s="47" t="str">
        <f t="shared" ca="1" si="743"/>
        <v>MLX</v>
      </c>
      <c r="C241" s="47" t="s">
        <v>596</v>
      </c>
      <c r="D241" s="48" t="s">
        <v>58</v>
      </c>
      <c r="E241" s="60" t="str">
        <f ca="1">"0x"&amp;DEC2HEX(HEX2DEC(RIGHT(INDIRECT(ADDRESS(ROW()-1,COLUMN())),4))+2,4)</f>
        <v>0x1098</v>
      </c>
      <c r="F241" s="49">
        <v>16</v>
      </c>
      <c r="G241" s="49">
        <v>0</v>
      </c>
      <c r="H241" s="49">
        <v>0</v>
      </c>
      <c r="I241" s="49" t="s">
        <v>58</v>
      </c>
      <c r="J241" s="50" t="str">
        <f t="shared" si="951"/>
        <v>-</v>
      </c>
      <c r="K241" s="50">
        <f t="shared" si="952"/>
        <v>0</v>
      </c>
      <c r="L241" s="50">
        <f t="shared" si="953"/>
        <v>65535</v>
      </c>
      <c r="M241" s="51" t="s">
        <v>597</v>
      </c>
      <c r="N241" s="28"/>
      <c r="O241" s="52"/>
      <c r="P241" s="52"/>
      <c r="Q241" s="52"/>
      <c r="R241" s="52"/>
      <c r="S241" s="140"/>
      <c r="T241" s="165"/>
      <c r="U241" s="165"/>
      <c r="V241" s="165"/>
      <c r="W241" s="28"/>
      <c r="X241" s="52">
        <f t="shared" ca="1" si="954"/>
        <v>23664</v>
      </c>
      <c r="Y241" s="32"/>
      <c r="AC241" s="12">
        <f t="shared" si="776"/>
        <v>1</v>
      </c>
      <c r="AD241" s="12" t="str">
        <f t="shared" ca="1" si="955"/>
        <v>0x1098</v>
      </c>
      <c r="AE241" s="12" t="str">
        <f t="shared" si="956"/>
        <v>EE_VIRT_REF_CONF</v>
      </c>
      <c r="AF241" s="12" t="str">
        <f t="shared" si="957"/>
        <v>-</v>
      </c>
      <c r="AG241" s="12" t="str">
        <f t="shared" si="958"/>
        <v>-</v>
      </c>
      <c r="AH241" s="12" t="str">
        <f t="shared" si="959"/>
        <v>-</v>
      </c>
      <c r="AI241" s="12" t="str">
        <f t="shared" si="960"/>
        <v>-</v>
      </c>
      <c r="AJ241" s="12" t="str">
        <f t="shared" si="961"/>
        <v>-</v>
      </c>
      <c r="AK241" s="12" t="str">
        <f t="shared" ca="1" si="962"/>
        <v>0x1098</v>
      </c>
      <c r="AL241" s="12" t="str">
        <f t="shared" ca="1" si="963"/>
        <v>MLX</v>
      </c>
      <c r="AM241" s="22">
        <f t="shared" si="786"/>
        <v>0</v>
      </c>
      <c r="AN241" s="12" t="str">
        <f t="shared" ca="1" si="964"/>
        <v>0x1098</v>
      </c>
      <c r="AO241" s="22" t="str">
        <f ca="1">IF(AF241="-",VLOOKUP(AD241,MemoryView!$A$3:$F$108,6,0),MID(VLOOKUP(AF241,MemoryView!$BD$3:$BE$108,2,0),15-AI241+1,AH241))</f>
        <v>5C70</v>
      </c>
      <c r="AP241" s="22">
        <f t="shared" ca="1" si="965"/>
        <v>23664</v>
      </c>
      <c r="AQ241" s="53" t="str">
        <f t="shared" si="966"/>
        <v>-</v>
      </c>
      <c r="AR241" s="54" t="str">
        <f t="shared" ca="1" si="967"/>
        <v>EE_MEM #(`PARAM(16'h1098, 0, 16, 0)) EE_VIRT_REF_CONF(); bit unsigned [16-1:0] EE_VIRT_REF_CONF_V; assign EE_VIRT_REF_CONF_V = EE_VIRT_REF_CONF.GET;</v>
      </c>
      <c r="AS241" s="12" t="str">
        <f t="shared" ca="1" si="968"/>
        <v>EE_VIRT_REF_CONF</v>
      </c>
    </row>
    <row r="242" spans="2:45" ht="63.75">
      <c r="B242" s="55" t="str">
        <f t="shared" ca="1" si="743"/>
        <v>MLX</v>
      </c>
      <c r="C242" s="55" t="s">
        <v>58</v>
      </c>
      <c r="D242" s="56" t="s">
        <v>594</v>
      </c>
      <c r="E242" s="57" t="str">
        <f t="shared" ca="1" si="932"/>
        <v>0x1098</v>
      </c>
      <c r="F242" s="57">
        <v>8</v>
      </c>
      <c r="G242" s="57">
        <v>8</v>
      </c>
      <c r="H242" s="57">
        <v>0</v>
      </c>
      <c r="I242" s="57" t="s">
        <v>68</v>
      </c>
      <c r="J242" s="50" t="str">
        <f t="shared" ref="J242:J243" si="969">IF(D242&lt;&gt;"-","["&amp;AI242&amp;":"&amp;AJ242&amp;"]","-")</f>
        <v>[15:8]</v>
      </c>
      <c r="K242" s="50">
        <f t="shared" ref="K242:K243" si="970">IF(H242,-L242-1,0)</f>
        <v>0</v>
      </c>
      <c r="L242" s="50">
        <f t="shared" ref="L242:L243" si="971">IF(H242,FLOOR((2^F242-1)/2,1),2^F242-1)</f>
        <v>255</v>
      </c>
      <c r="M242" s="61" t="s">
        <v>761</v>
      </c>
      <c r="N242" s="28"/>
      <c r="O242" s="57">
        <v>92</v>
      </c>
      <c r="P242" s="57">
        <f t="shared" ref="P242:P243" si="972">O242</f>
        <v>92</v>
      </c>
      <c r="Q242" s="57">
        <f t="shared" ref="Q242:Q243" si="973">O242</f>
        <v>92</v>
      </c>
      <c r="R242" s="57">
        <f t="shared" ref="R242:S243" si="974">O242</f>
        <v>92</v>
      </c>
      <c r="S242" s="163">
        <f t="shared" si="974"/>
        <v>92</v>
      </c>
      <c r="T242" s="163">
        <v>92</v>
      </c>
      <c r="U242" s="163">
        <f>S242</f>
        <v>92</v>
      </c>
      <c r="V242" s="163">
        <f>T242</f>
        <v>92</v>
      </c>
      <c r="W242" s="59"/>
      <c r="X242" s="57">
        <f t="shared" ref="X242:X243" ca="1" si="975">IF(H242=0,AP242,    IF(AP242&lt;=2^(F242-1)-1,AP242,AP242-2^F242)  )</f>
        <v>92</v>
      </c>
      <c r="Y242" s="32"/>
      <c r="AC242" s="12" t="b">
        <f t="shared" si="776"/>
        <v>1</v>
      </c>
      <c r="AD242" s="12" t="str">
        <f t="shared" ref="AD242:AD243" si="976">IF(AND(D242="-",C242&lt;&gt;"-"),E242,"-")</f>
        <v>-</v>
      </c>
      <c r="AE242" s="12" t="str">
        <f t="shared" ref="AE242:AE243" si="977">IF(D242="-",C242,"-")</f>
        <v>-</v>
      </c>
      <c r="AF242" s="12" t="str">
        <f t="shared" ref="AF242:AF243" ca="1" si="978">IF(AND(D242&lt;&gt;"-",ISTEXT(D242)),E242,"-")</f>
        <v>0x1098</v>
      </c>
      <c r="AG242" s="12" t="str">
        <f t="shared" ref="AG242:AG243" si="979">IF(AND(D242&lt;&gt;"-",ISTEXT(D242)),D242,"-")</f>
        <v>VIRT_REF_K_MEMS</v>
      </c>
      <c r="AH242" s="12">
        <f t="shared" ref="AH242:AH243" si="980">IF(D242&lt;&gt;"-",F242,"-")</f>
        <v>8</v>
      </c>
      <c r="AI242" s="12">
        <f t="shared" ref="AI242:AI243" si="981">IF(D242&lt;&gt;"-",G242+F242-1,"-")</f>
        <v>15</v>
      </c>
      <c r="AJ242" s="12">
        <f t="shared" ref="AJ242:AJ243" si="982">IF(D242&lt;&gt;"-",G242,"-")</f>
        <v>8</v>
      </c>
      <c r="AK242" s="12">
        <f t="shared" ref="AK242:AK243" si="983">IF(OR(AH242="-",AJ242="-"),AD242,(2^AH242-1)*2^AJ242)</f>
        <v>65280</v>
      </c>
      <c r="AL242" s="12" t="str">
        <f t="shared" ref="AL242:AL243" si="984">IF(D242="-",B242,"-")</f>
        <v>-</v>
      </c>
      <c r="AM242" s="22">
        <f t="shared" si="786"/>
        <v>92</v>
      </c>
      <c r="AN242" s="12">
        <f t="shared" ref="AN242:AN243" si="985">IF(OR(AH242="-",AJ242="-"),AD242,IF(AM242&lt;0,AM242+2^AH242,AM242)*2^AJ242)</f>
        <v>23552</v>
      </c>
      <c r="AO242" s="22" t="str">
        <f ca="1">IF(AF242="-",VLOOKUP(AD242,MemoryView!$A$3:$F$108,6,0),MID(VLOOKUP(AF242,MemoryView!$BD$3:$BE$108,2,0),15-AI242+1,AH242))</f>
        <v>01011100</v>
      </c>
      <c r="AP242" s="22">
        <f t="shared" ref="AP242:AP243" ca="1" si="986">IF(AF242="-",HEX2DEC(AO242),IF(LEN(AO242)&gt;8,BIN2DEC(LEFT(AO242,LEN(AO242)-8))*2^8+BIN2DEC(RIGHT(AO242,8)),BIN2DEC(AO242)))</f>
        <v>92</v>
      </c>
      <c r="AQ242" s="53" t="str">
        <f t="shared" ref="AQ242:AQ243" si="987">IF(AG242&lt;&gt;"-",CONCATENATE("`EE_MNG.",AG242,".SET(",AM242,");        // [",K242,"..",L242,"]"),"-")</f>
        <v>`EE_MNG.VIRT_REF_K_MEMS.SET(92);        // [0..255]</v>
      </c>
      <c r="AR242" s="54" t="str">
        <f t="shared" ref="AR242:AR243" ca="1" si="988">IF(AND(AD242="-",AE242="-",AF242="-",AG242="-"),"-",IF(AG242&lt;&gt;"-",CONCATENATE("EE_MEM #(`PARAM(16'h",RIGHT(AF242,4),", ",G242,", ",F242,", ",H242,")) ",AG242,"(); bit ",IF(H242=0,"unsigned [","signed ["),F242,"-1:0] ", AG242,"_V; assign ",AG242,"_V = ",AG242,".GET;"), CONCATENATE("EE_MEM #(`PARAM(16'h",RIGHT(AD242,4),", ",G242,", ",F242,", ",H242,")) ",AE242,"(); bit ",IF(H242=0,"unsigned [","signed ["),F242,"-1:0] ", AE242,"_V; assign ",AE242,"_V = ",AE242,".GET;")))</f>
        <v>EE_MEM #(`PARAM(16'h1098, 8, 8, 0)) VIRT_REF_K_MEMS(); bit unsigned [8-1:0] VIRT_REF_K_MEMS_V; assign VIRT_REF_K_MEMS_V = VIRT_REF_K_MEMS.GET;</v>
      </c>
      <c r="AS242" s="12" t="str">
        <f t="shared" ref="AS242:AS243" ca="1" si="989">IF(AG242="-",AE242,INDIRECT(ADDRESS(ROW()-1,COLUMN())))</f>
        <v>EE_VIRT_REF_CONF</v>
      </c>
    </row>
    <row r="243" spans="2:45" ht="38.25">
      <c r="B243" s="55" t="str">
        <f t="shared" ca="1" si="743"/>
        <v>MLX</v>
      </c>
      <c r="C243" s="55" t="s">
        <v>58</v>
      </c>
      <c r="D243" s="56" t="s">
        <v>595</v>
      </c>
      <c r="E243" s="57" t="str">
        <f t="shared" ca="1" si="932"/>
        <v>0x1098</v>
      </c>
      <c r="F243" s="57">
        <v>8</v>
      </c>
      <c r="G243" s="57">
        <v>0</v>
      </c>
      <c r="H243" s="57">
        <v>0</v>
      </c>
      <c r="I243" s="57" t="s">
        <v>68</v>
      </c>
      <c r="J243" s="50" t="str">
        <f t="shared" si="969"/>
        <v>[7:0]</v>
      </c>
      <c r="K243" s="50">
        <f t="shared" si="970"/>
        <v>0</v>
      </c>
      <c r="L243" s="50">
        <f t="shared" si="971"/>
        <v>255</v>
      </c>
      <c r="M243" s="61" t="s">
        <v>598</v>
      </c>
      <c r="N243" s="28"/>
      <c r="O243" s="57">
        <v>112</v>
      </c>
      <c r="P243" s="57">
        <f t="shared" si="972"/>
        <v>112</v>
      </c>
      <c r="Q243" s="57">
        <f t="shared" si="973"/>
        <v>112</v>
      </c>
      <c r="R243" s="57">
        <f t="shared" si="974"/>
        <v>112</v>
      </c>
      <c r="S243" s="163">
        <f t="shared" si="974"/>
        <v>112</v>
      </c>
      <c r="T243" s="163">
        <v>112</v>
      </c>
      <c r="U243" s="163">
        <f>S243</f>
        <v>112</v>
      </c>
      <c r="V243" s="163">
        <f>T243</f>
        <v>112</v>
      </c>
      <c r="W243" s="59"/>
      <c r="X243" s="57">
        <f t="shared" ca="1" si="975"/>
        <v>112</v>
      </c>
      <c r="Y243" s="32"/>
      <c r="AC243" s="12" t="b">
        <f t="shared" si="776"/>
        <v>1</v>
      </c>
      <c r="AD243" s="12" t="str">
        <f t="shared" si="976"/>
        <v>-</v>
      </c>
      <c r="AE243" s="12" t="str">
        <f t="shared" si="977"/>
        <v>-</v>
      </c>
      <c r="AF243" s="12" t="str">
        <f t="shared" ca="1" si="978"/>
        <v>0x1098</v>
      </c>
      <c r="AG243" s="12" t="str">
        <f t="shared" si="979"/>
        <v>VIRT_REF_K_INT</v>
      </c>
      <c r="AH243" s="12">
        <f t="shared" si="980"/>
        <v>8</v>
      </c>
      <c r="AI243" s="12">
        <f t="shared" si="981"/>
        <v>7</v>
      </c>
      <c r="AJ243" s="12">
        <f t="shared" si="982"/>
        <v>0</v>
      </c>
      <c r="AK243" s="12">
        <f t="shared" si="983"/>
        <v>255</v>
      </c>
      <c r="AL243" s="12" t="str">
        <f t="shared" si="984"/>
        <v>-</v>
      </c>
      <c r="AM243" s="22">
        <f t="shared" si="786"/>
        <v>112</v>
      </c>
      <c r="AN243" s="12">
        <f t="shared" si="985"/>
        <v>112</v>
      </c>
      <c r="AO243" s="22" t="str">
        <f ca="1">IF(AF243="-",VLOOKUP(AD243,MemoryView!$A$3:$F$108,6,0),MID(VLOOKUP(AF243,MemoryView!$BD$3:$BE$108,2,0),15-AI243+1,AH243))</f>
        <v>01110000</v>
      </c>
      <c r="AP243" s="22">
        <f t="shared" ca="1" si="986"/>
        <v>112</v>
      </c>
      <c r="AQ243" s="53" t="str">
        <f t="shared" si="987"/>
        <v>`EE_MNG.VIRT_REF_K_INT.SET(112);        // [0..255]</v>
      </c>
      <c r="AR243" s="54" t="str">
        <f t="shared" ca="1" si="988"/>
        <v>EE_MEM #(`PARAM(16'h1098, 0, 8, 0)) VIRT_REF_K_INT(); bit unsigned [8-1:0] VIRT_REF_K_INT_V; assign VIRT_REF_K_INT_V = VIRT_REF_K_INT.GET;</v>
      </c>
      <c r="AS243" s="12" t="str">
        <f t="shared" ca="1" si="989"/>
        <v>EE_VIRT_REF_CONF</v>
      </c>
    </row>
    <row r="244" spans="2:45">
      <c r="B244" s="47" t="str">
        <f t="shared" ca="1" si="743"/>
        <v>MLX</v>
      </c>
      <c r="C244" s="47" t="s">
        <v>175</v>
      </c>
      <c r="D244" s="48" t="s">
        <v>58</v>
      </c>
      <c r="E244" s="60" t="str">
        <f ca="1">"0x"&amp;DEC2HEX(HEX2DEC(RIGHT(INDIRECT(ADDRESS(ROW()-1,COLUMN())),4))+2,4)</f>
        <v>0x109A</v>
      </c>
      <c r="F244" s="49">
        <v>16</v>
      </c>
      <c r="G244" s="49">
        <v>0</v>
      </c>
      <c r="H244" s="49">
        <v>0</v>
      </c>
      <c r="I244" s="49" t="s">
        <v>58</v>
      </c>
      <c r="J244" s="50" t="str">
        <f t="shared" si="744"/>
        <v>-</v>
      </c>
      <c r="K244" s="50">
        <f t="shared" si="745"/>
        <v>0</v>
      </c>
      <c r="L244" s="50">
        <f t="shared" si="746"/>
        <v>65535</v>
      </c>
      <c r="M244" s="51" t="s">
        <v>162</v>
      </c>
      <c r="N244" s="28"/>
      <c r="O244" s="52"/>
      <c r="P244" s="52"/>
      <c r="Q244" s="52"/>
      <c r="R244" s="52"/>
      <c r="S244" s="140"/>
      <c r="T244" s="165"/>
      <c r="U244" s="165"/>
      <c r="V244" s="165"/>
      <c r="W244" s="28"/>
      <c r="X244" s="52">
        <f t="shared" ca="1" si="747"/>
        <v>2563</v>
      </c>
      <c r="Y244" s="32"/>
      <c r="AC244" s="12">
        <f t="shared" si="776"/>
        <v>1</v>
      </c>
      <c r="AD244" s="12" t="str">
        <f t="shared" ca="1" si="748"/>
        <v>0x109A</v>
      </c>
      <c r="AE244" s="12" t="str">
        <f t="shared" si="749"/>
        <v>EE_AFE_DIG0</v>
      </c>
      <c r="AF244" s="12" t="str">
        <f t="shared" si="750"/>
        <v>-</v>
      </c>
      <c r="AG244" s="12" t="str">
        <f t="shared" si="751"/>
        <v>-</v>
      </c>
      <c r="AH244" s="12" t="str">
        <f t="shared" si="752"/>
        <v>-</v>
      </c>
      <c r="AI244" s="12" t="str">
        <f t="shared" si="753"/>
        <v>-</v>
      </c>
      <c r="AJ244" s="12" t="str">
        <f t="shared" si="754"/>
        <v>-</v>
      </c>
      <c r="AK244" s="12" t="str">
        <f t="shared" ca="1" si="755"/>
        <v>0x109A</v>
      </c>
      <c r="AL244" s="12" t="str">
        <f t="shared" ca="1" si="756"/>
        <v>MLX</v>
      </c>
      <c r="AM244" s="22">
        <f t="shared" si="786"/>
        <v>0</v>
      </c>
      <c r="AN244" s="12" t="str">
        <f t="shared" ca="1" si="757"/>
        <v>0x109A</v>
      </c>
      <c r="AO244" s="22" t="str">
        <f ca="1">IF(AF244="-",VLOOKUP(AD244,MemoryView!$A$3:$F$108,6,0),MID(VLOOKUP(AF244,MemoryView!$BD$3:$BE$108,2,0),15-AI244+1,AH244))</f>
        <v>0A03</v>
      </c>
      <c r="AP244" s="22">
        <f t="shared" ca="1" si="758"/>
        <v>2563</v>
      </c>
      <c r="AQ244" s="53" t="str">
        <f t="shared" si="759"/>
        <v>-</v>
      </c>
      <c r="AR244" s="54" t="str">
        <f t="shared" ca="1" si="760"/>
        <v>EE_MEM #(`PARAM(16'h109A, 0, 16, 0)) EE_AFE_DIG0(); bit unsigned [16-1:0] EE_AFE_DIG0_V; assign EE_AFE_DIG0_V = EE_AFE_DIG0.GET;</v>
      </c>
      <c r="AS244" s="12" t="str">
        <f t="shared" ca="1" si="761"/>
        <v>EE_AFE_DIG0</v>
      </c>
    </row>
    <row r="245" spans="2:45" ht="25.5">
      <c r="B245" s="55" t="str">
        <f t="shared" ca="1" si="743"/>
        <v>MLX</v>
      </c>
      <c r="C245" s="55" t="s">
        <v>58</v>
      </c>
      <c r="D245" s="58" t="s">
        <v>176</v>
      </c>
      <c r="E245" s="57" t="str">
        <f t="shared" ref="E245:E251" ca="1" si="990">INDIRECT(ADDRESS(ROW()-1,COLUMN()))</f>
        <v>0x109A</v>
      </c>
      <c r="F245" s="57">
        <v>1</v>
      </c>
      <c r="G245" s="57">
        <v>15</v>
      </c>
      <c r="H245" s="57">
        <v>0</v>
      </c>
      <c r="I245" s="57" t="s">
        <v>68</v>
      </c>
      <c r="J245" s="50" t="str">
        <f t="shared" si="744"/>
        <v>[15:15]</v>
      </c>
      <c r="K245" s="50">
        <f t="shared" si="745"/>
        <v>0</v>
      </c>
      <c r="L245" s="50">
        <f t="shared" si="746"/>
        <v>1</v>
      </c>
      <c r="M245" s="58" t="s">
        <v>177</v>
      </c>
      <c r="N245" s="28"/>
      <c r="O245" s="57">
        <v>0</v>
      </c>
      <c r="P245" s="57">
        <f t="shared" ref="P245:P251" si="991">O245</f>
        <v>0</v>
      </c>
      <c r="Q245" s="57">
        <f t="shared" ref="Q245:Q251" si="992">O245</f>
        <v>0</v>
      </c>
      <c r="R245" s="57">
        <f t="shared" ref="R245:S251" si="993">O245</f>
        <v>0</v>
      </c>
      <c r="S245" s="163">
        <f t="shared" si="993"/>
        <v>0</v>
      </c>
      <c r="T245" s="163">
        <v>0</v>
      </c>
      <c r="U245" s="163">
        <f t="shared" ref="U245:U251" si="994">S245</f>
        <v>0</v>
      </c>
      <c r="V245" s="163">
        <f t="shared" ref="V245:V318" si="995">S245</f>
        <v>0</v>
      </c>
      <c r="W245" s="59"/>
      <c r="X245" s="57">
        <f t="shared" ca="1" si="747"/>
        <v>0</v>
      </c>
      <c r="Y245" s="32"/>
      <c r="AC245" s="12" t="b">
        <f t="shared" ref="AC245:AC276" si="996">IF($AG245="-",1,COUNTIF($AG$3:$AG$319,$AG245)&lt;2)</f>
        <v>1</v>
      </c>
      <c r="AD245" s="12" t="str">
        <f t="shared" si="748"/>
        <v>-</v>
      </c>
      <c r="AE245" s="12" t="str">
        <f t="shared" si="749"/>
        <v>-</v>
      </c>
      <c r="AF245" s="12" t="str">
        <f t="shared" ca="1" si="750"/>
        <v>0x109A</v>
      </c>
      <c r="AG245" s="12" t="str">
        <f t="shared" si="751"/>
        <v>PADC_FIX_DEM</v>
      </c>
      <c r="AH245" s="12">
        <f t="shared" si="752"/>
        <v>1</v>
      </c>
      <c r="AI245" s="12">
        <f t="shared" si="753"/>
        <v>15</v>
      </c>
      <c r="AJ245" s="12">
        <f t="shared" si="754"/>
        <v>15</v>
      </c>
      <c r="AK245" s="12">
        <f t="shared" si="755"/>
        <v>32768</v>
      </c>
      <c r="AL245" s="12" t="str">
        <f t="shared" si="756"/>
        <v>-</v>
      </c>
      <c r="AM245" s="22">
        <f t="shared" ref="AM245:AM276" si="997">HLOOKUP($AM$2,$N$2:$W$319,ROW()-ROW($AM$2)+1,0)</f>
        <v>0</v>
      </c>
      <c r="AN245" s="12">
        <f t="shared" si="757"/>
        <v>0</v>
      </c>
      <c r="AO245" s="22" t="str">
        <f ca="1">IF(AF245="-",VLOOKUP(AD245,MemoryView!$A$3:$F$108,6,0),MID(VLOOKUP(AF245,MemoryView!$BD$3:$BE$108,2,0),15-AI245+1,AH245))</f>
        <v>0</v>
      </c>
      <c r="AP245" s="22">
        <f t="shared" ca="1" si="758"/>
        <v>0</v>
      </c>
      <c r="AQ245" s="53" t="str">
        <f t="shared" si="759"/>
        <v>`EE_MNG.PADC_FIX_DEM.SET(0);        // [0..1]</v>
      </c>
      <c r="AR245" s="54" t="str">
        <f t="shared" ca="1" si="760"/>
        <v>EE_MEM #(`PARAM(16'h109A, 15, 1, 0)) PADC_FIX_DEM(); bit unsigned [1-1:0] PADC_FIX_DEM_V; assign PADC_FIX_DEM_V = PADC_FIX_DEM.GET;</v>
      </c>
      <c r="AS245" s="12" t="str">
        <f t="shared" ca="1" si="761"/>
        <v>EE_AFE_DIG0</v>
      </c>
    </row>
    <row r="246" spans="2:45">
      <c r="B246" s="55" t="str">
        <f t="shared" ca="1" si="743"/>
        <v>MLX</v>
      </c>
      <c r="C246" s="55" t="s">
        <v>58</v>
      </c>
      <c r="D246" s="58" t="s">
        <v>178</v>
      </c>
      <c r="E246" s="57" t="str">
        <f t="shared" ca="1" si="990"/>
        <v>0x109A</v>
      </c>
      <c r="F246" s="57">
        <v>3</v>
      </c>
      <c r="G246" s="57">
        <v>12</v>
      </c>
      <c r="H246" s="57">
        <v>0</v>
      </c>
      <c r="I246" s="57" t="s">
        <v>68</v>
      </c>
      <c r="J246" s="50" t="str">
        <f t="shared" si="744"/>
        <v>[14:12]</v>
      </c>
      <c r="K246" s="50">
        <f t="shared" si="745"/>
        <v>0</v>
      </c>
      <c r="L246" s="50">
        <f t="shared" si="746"/>
        <v>7</v>
      </c>
      <c r="M246" s="58" t="s">
        <v>179</v>
      </c>
      <c r="N246" s="28"/>
      <c r="O246" s="57"/>
      <c r="P246" s="57">
        <f t="shared" si="991"/>
        <v>0</v>
      </c>
      <c r="Q246" s="57">
        <f t="shared" si="992"/>
        <v>0</v>
      </c>
      <c r="R246" s="57">
        <f t="shared" si="993"/>
        <v>0</v>
      </c>
      <c r="S246" s="163">
        <f t="shared" si="993"/>
        <v>0</v>
      </c>
      <c r="T246" s="163">
        <v>0</v>
      </c>
      <c r="U246" s="163">
        <f t="shared" si="994"/>
        <v>0</v>
      </c>
      <c r="V246" s="163">
        <f t="shared" si="995"/>
        <v>0</v>
      </c>
      <c r="W246" s="59"/>
      <c r="X246" s="57">
        <f t="shared" ca="1" si="747"/>
        <v>0</v>
      </c>
      <c r="Y246" s="32"/>
      <c r="AC246" s="12" t="b">
        <f t="shared" si="996"/>
        <v>1</v>
      </c>
      <c r="AD246" s="12" t="str">
        <f t="shared" si="748"/>
        <v>-</v>
      </c>
      <c r="AE246" s="12" t="str">
        <f t="shared" si="749"/>
        <v>-</v>
      </c>
      <c r="AF246" s="12" t="str">
        <f t="shared" ca="1" si="750"/>
        <v>0x109A</v>
      </c>
      <c r="AG246" s="12" t="str">
        <f t="shared" si="751"/>
        <v>PADC_DEM_FIXED_VALUE</v>
      </c>
      <c r="AH246" s="12">
        <f t="shared" si="752"/>
        <v>3</v>
      </c>
      <c r="AI246" s="12">
        <f t="shared" si="753"/>
        <v>14</v>
      </c>
      <c r="AJ246" s="12">
        <f t="shared" si="754"/>
        <v>12</v>
      </c>
      <c r="AK246" s="12">
        <f t="shared" si="755"/>
        <v>28672</v>
      </c>
      <c r="AL246" s="12" t="str">
        <f t="shared" si="756"/>
        <v>-</v>
      </c>
      <c r="AM246" s="22">
        <f t="shared" si="997"/>
        <v>0</v>
      </c>
      <c r="AN246" s="12">
        <f t="shared" si="757"/>
        <v>0</v>
      </c>
      <c r="AO246" s="22" t="str">
        <f ca="1">IF(AF246="-",VLOOKUP(AD246,MemoryView!$A$3:$F$108,6,0),MID(VLOOKUP(AF246,MemoryView!$BD$3:$BE$108,2,0),15-AI246+1,AH246))</f>
        <v>000</v>
      </c>
      <c r="AP246" s="22">
        <f t="shared" ca="1" si="758"/>
        <v>0</v>
      </c>
      <c r="AQ246" s="53" t="str">
        <f t="shared" si="759"/>
        <v>`EE_MNG.PADC_DEM_FIXED_VALUE.SET(0);        // [0..7]</v>
      </c>
      <c r="AR246" s="54" t="str">
        <f t="shared" ca="1" si="760"/>
        <v>EE_MEM #(`PARAM(16'h109A, 12, 3, 0)) PADC_DEM_FIXED_VALUE(); bit unsigned [3-1:0] PADC_DEM_FIXED_VALUE_V; assign PADC_DEM_FIXED_VALUE_V = PADC_DEM_FIXED_VALUE.GET;</v>
      </c>
      <c r="AS246" s="12" t="str">
        <f t="shared" ca="1" si="761"/>
        <v>EE_AFE_DIG0</v>
      </c>
    </row>
    <row r="247" spans="2:45" ht="25.5">
      <c r="B247" s="55" t="str">
        <f t="shared" ca="1" si="743"/>
        <v>MLX</v>
      </c>
      <c r="C247" s="55" t="s">
        <v>58</v>
      </c>
      <c r="D247" s="58" t="s">
        <v>180</v>
      </c>
      <c r="E247" s="57" t="str">
        <f t="shared" ca="1" si="990"/>
        <v>0x109A</v>
      </c>
      <c r="F247" s="57">
        <v>1</v>
      </c>
      <c r="G247" s="57">
        <v>11</v>
      </c>
      <c r="H247" s="57">
        <v>0</v>
      </c>
      <c r="I247" s="57" t="s">
        <v>68</v>
      </c>
      <c r="J247" s="50" t="str">
        <f t="shared" si="744"/>
        <v>[11:11]</v>
      </c>
      <c r="K247" s="50">
        <f t="shared" si="745"/>
        <v>0</v>
      </c>
      <c r="L247" s="50">
        <f t="shared" si="746"/>
        <v>1</v>
      </c>
      <c r="M247" s="58" t="s">
        <v>181</v>
      </c>
      <c r="N247" s="28"/>
      <c r="O247" s="57">
        <v>1</v>
      </c>
      <c r="P247" s="57">
        <f t="shared" si="991"/>
        <v>1</v>
      </c>
      <c r="Q247" s="57">
        <f t="shared" si="992"/>
        <v>1</v>
      </c>
      <c r="R247" s="57">
        <f t="shared" si="993"/>
        <v>1</v>
      </c>
      <c r="S247" s="163">
        <f t="shared" si="993"/>
        <v>1</v>
      </c>
      <c r="T247" s="163">
        <v>1</v>
      </c>
      <c r="U247" s="163">
        <f t="shared" si="994"/>
        <v>1</v>
      </c>
      <c r="V247" s="163">
        <f t="shared" si="995"/>
        <v>1</v>
      </c>
      <c r="W247" s="59"/>
      <c r="X247" s="57">
        <f t="shared" ca="1" si="747"/>
        <v>1</v>
      </c>
      <c r="Y247" s="32"/>
      <c r="AC247" s="12" t="b">
        <f t="shared" si="996"/>
        <v>1</v>
      </c>
      <c r="AD247" s="12" t="str">
        <f t="shared" si="748"/>
        <v>-</v>
      </c>
      <c r="AE247" s="12" t="str">
        <f t="shared" si="749"/>
        <v>-</v>
      </c>
      <c r="AF247" s="12" t="str">
        <f t="shared" ca="1" si="750"/>
        <v>0x109A</v>
      </c>
      <c r="AG247" s="12" t="str">
        <f t="shared" si="751"/>
        <v>PADC_EN_CLEAR_EOC</v>
      </c>
      <c r="AH247" s="12">
        <f t="shared" si="752"/>
        <v>1</v>
      </c>
      <c r="AI247" s="12">
        <f t="shared" si="753"/>
        <v>11</v>
      </c>
      <c r="AJ247" s="12">
        <f t="shared" si="754"/>
        <v>11</v>
      </c>
      <c r="AK247" s="12">
        <f t="shared" si="755"/>
        <v>2048</v>
      </c>
      <c r="AL247" s="12" t="str">
        <f t="shared" si="756"/>
        <v>-</v>
      </c>
      <c r="AM247" s="22">
        <f t="shared" si="997"/>
        <v>1</v>
      </c>
      <c r="AN247" s="12">
        <f t="shared" si="757"/>
        <v>2048</v>
      </c>
      <c r="AO247" s="22" t="str">
        <f ca="1">IF(AF247="-",VLOOKUP(AD247,MemoryView!$A$3:$F$108,6,0),MID(VLOOKUP(AF247,MemoryView!$BD$3:$BE$108,2,0),15-AI247+1,AH247))</f>
        <v>1</v>
      </c>
      <c r="AP247" s="22">
        <f t="shared" ca="1" si="758"/>
        <v>1</v>
      </c>
      <c r="AQ247" s="53" t="str">
        <f t="shared" si="759"/>
        <v>`EE_MNG.PADC_EN_CLEAR_EOC.SET(1);        // [0..1]</v>
      </c>
      <c r="AR247" s="54" t="str">
        <f t="shared" ca="1" si="760"/>
        <v>EE_MEM #(`PARAM(16'h109A, 11, 1, 0)) PADC_EN_CLEAR_EOC(); bit unsigned [1-1:0] PADC_EN_CLEAR_EOC_V; assign PADC_EN_CLEAR_EOC_V = PADC_EN_CLEAR_EOC.GET;</v>
      </c>
      <c r="AS247" s="12" t="str">
        <f t="shared" ca="1" si="761"/>
        <v>EE_AFE_DIG0</v>
      </c>
    </row>
    <row r="248" spans="2:45" ht="51">
      <c r="B248" s="55" t="str">
        <f t="shared" ca="1" si="743"/>
        <v>MLX</v>
      </c>
      <c r="C248" s="55" t="s">
        <v>58</v>
      </c>
      <c r="D248" s="56" t="s">
        <v>182</v>
      </c>
      <c r="E248" s="57" t="str">
        <f t="shared" ca="1" si="990"/>
        <v>0x109A</v>
      </c>
      <c r="F248" s="57">
        <v>4</v>
      </c>
      <c r="G248" s="57">
        <v>7</v>
      </c>
      <c r="H248" s="57">
        <v>0</v>
      </c>
      <c r="I248" s="57" t="s">
        <v>68</v>
      </c>
      <c r="J248" s="50" t="str">
        <f t="shared" si="744"/>
        <v>[10:7]</v>
      </c>
      <c r="K248" s="50">
        <f t="shared" si="745"/>
        <v>0</v>
      </c>
      <c r="L248" s="50">
        <f t="shared" si="746"/>
        <v>15</v>
      </c>
      <c r="M248" s="58" t="s">
        <v>183</v>
      </c>
      <c r="N248" s="28"/>
      <c r="O248" s="57">
        <v>4</v>
      </c>
      <c r="P248" s="57">
        <f t="shared" si="991"/>
        <v>4</v>
      </c>
      <c r="Q248" s="57">
        <f t="shared" si="992"/>
        <v>4</v>
      </c>
      <c r="R248" s="57">
        <f t="shared" si="993"/>
        <v>4</v>
      </c>
      <c r="S248" s="163">
        <f t="shared" si="993"/>
        <v>4</v>
      </c>
      <c r="T248" s="163">
        <v>4</v>
      </c>
      <c r="U248" s="163">
        <f t="shared" si="994"/>
        <v>4</v>
      </c>
      <c r="V248" s="163">
        <f t="shared" si="995"/>
        <v>4</v>
      </c>
      <c r="W248" s="59"/>
      <c r="X248" s="57">
        <f t="shared" ca="1" si="747"/>
        <v>4</v>
      </c>
      <c r="Y248" s="32"/>
      <c r="AC248" s="12" t="b">
        <f t="shared" si="996"/>
        <v>1</v>
      </c>
      <c r="AD248" s="12" t="str">
        <f t="shared" si="748"/>
        <v>-</v>
      </c>
      <c r="AE248" s="12" t="str">
        <f t="shared" si="749"/>
        <v>-</v>
      </c>
      <c r="AF248" s="12" t="str">
        <f t="shared" ca="1" si="750"/>
        <v>0x109A</v>
      </c>
      <c r="AG248" s="12" t="str">
        <f t="shared" si="751"/>
        <v>PADC_N_BLIND_EOC</v>
      </c>
      <c r="AH248" s="12">
        <f t="shared" si="752"/>
        <v>4</v>
      </c>
      <c r="AI248" s="12">
        <f t="shared" si="753"/>
        <v>10</v>
      </c>
      <c r="AJ248" s="12">
        <f t="shared" si="754"/>
        <v>7</v>
      </c>
      <c r="AK248" s="12">
        <f t="shared" si="755"/>
        <v>1920</v>
      </c>
      <c r="AL248" s="12" t="str">
        <f t="shared" si="756"/>
        <v>-</v>
      </c>
      <c r="AM248" s="22">
        <f t="shared" si="997"/>
        <v>4</v>
      </c>
      <c r="AN248" s="12">
        <f t="shared" si="757"/>
        <v>512</v>
      </c>
      <c r="AO248" s="22" t="str">
        <f ca="1">IF(AF248="-",VLOOKUP(AD248,MemoryView!$A$3:$F$108,6,0),MID(VLOOKUP(AF248,MemoryView!$BD$3:$BE$108,2,0),15-AI248+1,AH248))</f>
        <v>0100</v>
      </c>
      <c r="AP248" s="22">
        <f t="shared" ca="1" si="758"/>
        <v>4</v>
      </c>
      <c r="AQ248" s="53" t="str">
        <f t="shared" si="759"/>
        <v>`EE_MNG.PADC_N_BLIND_EOC.SET(4);        // [0..15]</v>
      </c>
      <c r="AR248" s="54" t="str">
        <f t="shared" ca="1" si="760"/>
        <v>EE_MEM #(`PARAM(16'h109A, 7, 4, 0)) PADC_N_BLIND_EOC(); bit unsigned [4-1:0] PADC_N_BLIND_EOC_V; assign PADC_N_BLIND_EOC_V = PADC_N_BLIND_EOC.GET;</v>
      </c>
      <c r="AS248" s="12" t="str">
        <f t="shared" ca="1" si="761"/>
        <v>EE_AFE_DIG0</v>
      </c>
    </row>
    <row r="249" spans="2:45">
      <c r="B249" s="55" t="str">
        <f t="shared" ca="1" si="743"/>
        <v>MLX</v>
      </c>
      <c r="C249" s="55" t="s">
        <v>58</v>
      </c>
      <c r="D249" s="56" t="s">
        <v>184</v>
      </c>
      <c r="E249" s="57" t="str">
        <f t="shared" ca="1" si="990"/>
        <v>0x109A</v>
      </c>
      <c r="F249" s="57">
        <v>1</v>
      </c>
      <c r="G249" s="57">
        <v>6</v>
      </c>
      <c r="H249" s="57">
        <v>0</v>
      </c>
      <c r="I249" s="57" t="s">
        <v>68</v>
      </c>
      <c r="J249" s="50" t="str">
        <f t="shared" si="744"/>
        <v>[6:6]</v>
      </c>
      <c r="K249" s="50">
        <f t="shared" si="745"/>
        <v>0</v>
      </c>
      <c r="L249" s="50">
        <f t="shared" si="746"/>
        <v>1</v>
      </c>
      <c r="M249" s="58"/>
      <c r="N249" s="28"/>
      <c r="O249" s="57"/>
      <c r="P249" s="57">
        <f t="shared" si="991"/>
        <v>0</v>
      </c>
      <c r="Q249" s="57">
        <f t="shared" si="992"/>
        <v>0</v>
      </c>
      <c r="R249" s="57">
        <f t="shared" si="993"/>
        <v>0</v>
      </c>
      <c r="S249" s="163">
        <f t="shared" si="993"/>
        <v>0</v>
      </c>
      <c r="T249" s="163">
        <v>0</v>
      </c>
      <c r="U249" s="163">
        <f t="shared" si="994"/>
        <v>0</v>
      </c>
      <c r="V249" s="163">
        <f t="shared" si="995"/>
        <v>0</v>
      </c>
      <c r="W249" s="59"/>
      <c r="X249" s="57">
        <f t="shared" ca="1" si="747"/>
        <v>0</v>
      </c>
      <c r="Y249" s="32"/>
      <c r="AC249" s="12" t="b">
        <f t="shared" si="996"/>
        <v>1</v>
      </c>
      <c r="AD249" s="12" t="str">
        <f t="shared" si="748"/>
        <v>-</v>
      </c>
      <c r="AE249" s="12" t="str">
        <f t="shared" si="749"/>
        <v>-</v>
      </c>
      <c r="AF249" s="12" t="str">
        <f t="shared" ca="1" si="750"/>
        <v>0x109A</v>
      </c>
      <c r="AG249" s="12" t="str">
        <f t="shared" si="751"/>
        <v>AFE_DIG0_RESERVED</v>
      </c>
      <c r="AH249" s="12">
        <f t="shared" si="752"/>
        <v>1</v>
      </c>
      <c r="AI249" s="12">
        <f t="shared" si="753"/>
        <v>6</v>
      </c>
      <c r="AJ249" s="12">
        <f t="shared" si="754"/>
        <v>6</v>
      </c>
      <c r="AK249" s="12">
        <f t="shared" si="755"/>
        <v>64</v>
      </c>
      <c r="AL249" s="12" t="str">
        <f t="shared" si="756"/>
        <v>-</v>
      </c>
      <c r="AM249" s="22">
        <f t="shared" si="997"/>
        <v>0</v>
      </c>
      <c r="AN249" s="12">
        <f t="shared" si="757"/>
        <v>0</v>
      </c>
      <c r="AO249" s="22" t="str">
        <f ca="1">IF(AF249="-",VLOOKUP(AD249,MemoryView!$A$3:$F$108,6,0),MID(VLOOKUP(AF249,MemoryView!$BD$3:$BE$108,2,0),15-AI249+1,AH249))</f>
        <v>0</v>
      </c>
      <c r="AP249" s="22">
        <f t="shared" ca="1" si="758"/>
        <v>0</v>
      </c>
      <c r="AQ249" s="53" t="str">
        <f t="shared" si="759"/>
        <v>`EE_MNG.AFE_DIG0_RESERVED.SET(0);        // [0..1]</v>
      </c>
      <c r="AR249" s="54" t="str">
        <f t="shared" ca="1" si="760"/>
        <v>EE_MEM #(`PARAM(16'h109A, 6, 1, 0)) AFE_DIG0_RESERVED(); bit unsigned [1-1:0] AFE_DIG0_RESERVED_V; assign AFE_DIG0_RESERVED_V = AFE_DIG0_RESERVED.GET;</v>
      </c>
      <c r="AS249" s="12" t="str">
        <f t="shared" ca="1" si="761"/>
        <v>EE_AFE_DIG0</v>
      </c>
    </row>
    <row r="250" spans="2:45" ht="51">
      <c r="B250" s="55" t="str">
        <f t="shared" ca="1" si="743"/>
        <v>MLX</v>
      </c>
      <c r="C250" s="55" t="s">
        <v>58</v>
      </c>
      <c r="D250" s="56" t="s">
        <v>185</v>
      </c>
      <c r="E250" s="57" t="str">
        <f t="shared" ca="1" si="990"/>
        <v>0x109A</v>
      </c>
      <c r="F250" s="57">
        <v>2</v>
      </c>
      <c r="G250" s="57">
        <v>4</v>
      </c>
      <c r="H250" s="57">
        <v>0</v>
      </c>
      <c r="I250" s="57" t="s">
        <v>68</v>
      </c>
      <c r="J250" s="50" t="str">
        <f t="shared" si="744"/>
        <v>[5:4]</v>
      </c>
      <c r="K250" s="50">
        <f t="shared" si="745"/>
        <v>0</v>
      </c>
      <c r="L250" s="50">
        <f t="shared" si="746"/>
        <v>3</v>
      </c>
      <c r="M250" s="58" t="s">
        <v>186</v>
      </c>
      <c r="N250" s="28"/>
      <c r="O250" s="57">
        <v>0</v>
      </c>
      <c r="P250" s="57">
        <f t="shared" si="991"/>
        <v>0</v>
      </c>
      <c r="Q250" s="57">
        <f t="shared" si="992"/>
        <v>0</v>
      </c>
      <c r="R250" s="57">
        <f t="shared" si="993"/>
        <v>0</v>
      </c>
      <c r="S250" s="163">
        <f t="shared" si="993"/>
        <v>0</v>
      </c>
      <c r="T250" s="163">
        <v>0</v>
      </c>
      <c r="U250" s="163">
        <f t="shared" si="994"/>
        <v>0</v>
      </c>
      <c r="V250" s="163">
        <f t="shared" si="995"/>
        <v>0</v>
      </c>
      <c r="W250" s="59"/>
      <c r="X250" s="57">
        <f t="shared" ca="1" si="747"/>
        <v>0</v>
      </c>
      <c r="Y250" s="32"/>
      <c r="AC250" s="12" t="b">
        <f t="shared" si="996"/>
        <v>1</v>
      </c>
      <c r="AD250" s="12" t="str">
        <f t="shared" si="748"/>
        <v>-</v>
      </c>
      <c r="AE250" s="12" t="str">
        <f t="shared" si="749"/>
        <v>-</v>
      </c>
      <c r="AF250" s="12" t="str">
        <f t="shared" ca="1" si="750"/>
        <v>0x109A</v>
      </c>
      <c r="AG250" s="12" t="str">
        <f t="shared" si="751"/>
        <v>PADC_FORCE_CHOP_INT</v>
      </c>
      <c r="AH250" s="12">
        <f t="shared" si="752"/>
        <v>2</v>
      </c>
      <c r="AI250" s="12">
        <f t="shared" si="753"/>
        <v>5</v>
      </c>
      <c r="AJ250" s="12">
        <f t="shared" si="754"/>
        <v>4</v>
      </c>
      <c r="AK250" s="12">
        <f t="shared" si="755"/>
        <v>48</v>
      </c>
      <c r="AL250" s="12" t="str">
        <f t="shared" si="756"/>
        <v>-</v>
      </c>
      <c r="AM250" s="22">
        <f t="shared" si="997"/>
        <v>0</v>
      </c>
      <c r="AN250" s="12">
        <f t="shared" si="757"/>
        <v>0</v>
      </c>
      <c r="AO250" s="22" t="str">
        <f ca="1">IF(AF250="-",VLOOKUP(AD250,MemoryView!$A$3:$F$108,6,0),MID(VLOOKUP(AF250,MemoryView!$BD$3:$BE$108,2,0),15-AI250+1,AH250))</f>
        <v>00</v>
      </c>
      <c r="AP250" s="22">
        <f t="shared" ca="1" si="758"/>
        <v>0</v>
      </c>
      <c r="AQ250" s="53" t="str">
        <f t="shared" si="759"/>
        <v>`EE_MNG.PADC_FORCE_CHOP_INT.SET(0);        // [0..3]</v>
      </c>
      <c r="AR250" s="54" t="str">
        <f t="shared" ca="1" si="760"/>
        <v>EE_MEM #(`PARAM(16'h109A, 4, 2, 0)) PADC_FORCE_CHOP_INT(); bit unsigned [2-1:0] PADC_FORCE_CHOP_INT_V; assign PADC_FORCE_CHOP_INT_V = PADC_FORCE_CHOP_INT.GET;</v>
      </c>
      <c r="AS250" s="12" t="str">
        <f t="shared" ca="1" si="761"/>
        <v>EE_AFE_DIG0</v>
      </c>
    </row>
    <row r="251" spans="2:45" ht="38.25">
      <c r="B251" s="55" t="str">
        <f t="shared" ca="1" si="743"/>
        <v>MLX</v>
      </c>
      <c r="C251" s="55" t="s">
        <v>58</v>
      </c>
      <c r="D251" s="56" t="s">
        <v>187</v>
      </c>
      <c r="E251" s="57" t="str">
        <f t="shared" ca="1" si="990"/>
        <v>0x109A</v>
      </c>
      <c r="F251" s="57">
        <v>4</v>
      </c>
      <c r="G251" s="57">
        <v>0</v>
      </c>
      <c r="H251" s="57">
        <v>0</v>
      </c>
      <c r="I251" s="57" t="s">
        <v>68</v>
      </c>
      <c r="J251" s="50" t="str">
        <f t="shared" si="744"/>
        <v>[3:0]</v>
      </c>
      <c r="K251" s="50">
        <f t="shared" si="745"/>
        <v>0</v>
      </c>
      <c r="L251" s="50">
        <f t="shared" si="746"/>
        <v>15</v>
      </c>
      <c r="M251" s="58" t="s">
        <v>188</v>
      </c>
      <c r="N251" s="28"/>
      <c r="O251" s="57">
        <v>3</v>
      </c>
      <c r="P251" s="57">
        <f t="shared" si="991"/>
        <v>3</v>
      </c>
      <c r="Q251" s="57">
        <f t="shared" si="992"/>
        <v>3</v>
      </c>
      <c r="R251" s="57">
        <f t="shared" si="993"/>
        <v>3</v>
      </c>
      <c r="S251" s="163">
        <f t="shared" si="993"/>
        <v>3</v>
      </c>
      <c r="T251" s="163">
        <v>3</v>
      </c>
      <c r="U251" s="163">
        <f t="shared" si="994"/>
        <v>3</v>
      </c>
      <c r="V251" s="163">
        <f t="shared" si="995"/>
        <v>3</v>
      </c>
      <c r="W251" s="59"/>
      <c r="X251" s="57">
        <f t="shared" ca="1" si="747"/>
        <v>3</v>
      </c>
      <c r="Y251" s="32"/>
      <c r="AC251" s="12" t="b">
        <f t="shared" si="996"/>
        <v>1</v>
      </c>
      <c r="AD251" s="12" t="str">
        <f t="shared" si="748"/>
        <v>-</v>
      </c>
      <c r="AE251" s="12" t="str">
        <f t="shared" si="749"/>
        <v>-</v>
      </c>
      <c r="AF251" s="12" t="str">
        <f t="shared" ca="1" si="750"/>
        <v>0x109A</v>
      </c>
      <c r="AG251" s="12" t="str">
        <f t="shared" si="751"/>
        <v>PADC_N_CHOP_INT</v>
      </c>
      <c r="AH251" s="12">
        <f t="shared" si="752"/>
        <v>4</v>
      </c>
      <c r="AI251" s="12">
        <f t="shared" si="753"/>
        <v>3</v>
      </c>
      <c r="AJ251" s="12">
        <f t="shared" si="754"/>
        <v>0</v>
      </c>
      <c r="AK251" s="12">
        <f t="shared" si="755"/>
        <v>15</v>
      </c>
      <c r="AL251" s="12" t="str">
        <f t="shared" si="756"/>
        <v>-</v>
      </c>
      <c r="AM251" s="22">
        <f t="shared" si="997"/>
        <v>3</v>
      </c>
      <c r="AN251" s="12">
        <f t="shared" si="757"/>
        <v>3</v>
      </c>
      <c r="AO251" s="22" t="str">
        <f ca="1">IF(AF251="-",VLOOKUP(AD251,MemoryView!$A$3:$F$108,6,0),MID(VLOOKUP(AF251,MemoryView!$BD$3:$BE$108,2,0),15-AI251+1,AH251))</f>
        <v>0011</v>
      </c>
      <c r="AP251" s="22">
        <f t="shared" ca="1" si="758"/>
        <v>3</v>
      </c>
      <c r="AQ251" s="53" t="str">
        <f t="shared" si="759"/>
        <v>`EE_MNG.PADC_N_CHOP_INT.SET(3);        // [0..15]</v>
      </c>
      <c r="AR251" s="54" t="str">
        <f t="shared" ca="1" si="760"/>
        <v>EE_MEM #(`PARAM(16'h109A, 0, 4, 0)) PADC_N_CHOP_INT(); bit unsigned [4-1:0] PADC_N_CHOP_INT_V; assign PADC_N_CHOP_INT_V = PADC_N_CHOP_INT.GET;</v>
      </c>
      <c r="AS251" s="12" t="str">
        <f t="shared" ca="1" si="761"/>
        <v>EE_AFE_DIG0</v>
      </c>
    </row>
    <row r="252" spans="2:45">
      <c r="B252" s="47" t="str">
        <f t="shared" ca="1" si="743"/>
        <v>MLX</v>
      </c>
      <c r="C252" s="47" t="s">
        <v>189</v>
      </c>
      <c r="D252" s="48" t="s">
        <v>58</v>
      </c>
      <c r="E252" s="60" t="str">
        <f ca="1">"0x"&amp;DEC2HEX(HEX2DEC(RIGHT(INDIRECT(ADDRESS(ROW()-1,COLUMN())),4))+2,4)</f>
        <v>0x109C</v>
      </c>
      <c r="F252" s="49">
        <v>16</v>
      </c>
      <c r="G252" s="49">
        <v>0</v>
      </c>
      <c r="H252" s="49">
        <v>0</v>
      </c>
      <c r="I252" s="49" t="s">
        <v>58</v>
      </c>
      <c r="J252" s="50" t="str">
        <f t="shared" si="744"/>
        <v>-</v>
      </c>
      <c r="K252" s="50">
        <f t="shared" si="745"/>
        <v>0</v>
      </c>
      <c r="L252" s="50">
        <f t="shared" si="746"/>
        <v>65535</v>
      </c>
      <c r="M252" s="51" t="s">
        <v>190</v>
      </c>
      <c r="N252" s="28"/>
      <c r="O252" s="52"/>
      <c r="P252" s="52"/>
      <c r="Q252" s="52"/>
      <c r="R252" s="52"/>
      <c r="S252" s="140"/>
      <c r="T252" s="165"/>
      <c r="U252" s="165"/>
      <c r="V252" s="165"/>
      <c r="W252" s="28"/>
      <c r="X252" s="52">
        <f t="shared" ca="1" si="747"/>
        <v>6671</v>
      </c>
      <c r="Y252" s="32"/>
      <c r="AC252" s="12">
        <f t="shared" si="996"/>
        <v>1</v>
      </c>
      <c r="AD252" s="12" t="str">
        <f t="shared" ca="1" si="748"/>
        <v>0x109C</v>
      </c>
      <c r="AE252" s="12" t="str">
        <f t="shared" si="749"/>
        <v>EE_AFE_DIG1</v>
      </c>
      <c r="AF252" s="12" t="str">
        <f t="shared" si="750"/>
        <v>-</v>
      </c>
      <c r="AG252" s="12" t="str">
        <f t="shared" si="751"/>
        <v>-</v>
      </c>
      <c r="AH252" s="12" t="str">
        <f t="shared" si="752"/>
        <v>-</v>
      </c>
      <c r="AI252" s="12" t="str">
        <f t="shared" si="753"/>
        <v>-</v>
      </c>
      <c r="AJ252" s="12" t="str">
        <f t="shared" si="754"/>
        <v>-</v>
      </c>
      <c r="AK252" s="12" t="str">
        <f t="shared" ca="1" si="755"/>
        <v>0x109C</v>
      </c>
      <c r="AL252" s="12" t="str">
        <f t="shared" ca="1" si="756"/>
        <v>MLX</v>
      </c>
      <c r="AM252" s="22">
        <f t="shared" si="997"/>
        <v>0</v>
      </c>
      <c r="AN252" s="12" t="str">
        <f t="shared" ca="1" si="757"/>
        <v>0x109C</v>
      </c>
      <c r="AO252" s="22" t="str">
        <f ca="1">IF(AF252="-",VLOOKUP(AD252,MemoryView!$A$3:$F$108,6,0),MID(VLOOKUP(AF252,MemoryView!$BD$3:$BE$108,2,0),15-AI252+1,AH252))</f>
        <v>1A0F</v>
      </c>
      <c r="AP252" s="22">
        <f t="shared" ca="1" si="758"/>
        <v>6671</v>
      </c>
      <c r="AQ252" s="53" t="str">
        <f t="shared" si="759"/>
        <v>-</v>
      </c>
      <c r="AR252" s="54" t="str">
        <f t="shared" ca="1" si="760"/>
        <v>EE_MEM #(`PARAM(16'h109C, 0, 16, 0)) EE_AFE_DIG1(); bit unsigned [16-1:0] EE_AFE_DIG1_V; assign EE_AFE_DIG1_V = EE_AFE_DIG1.GET;</v>
      </c>
      <c r="AS252" s="12" t="str">
        <f t="shared" ca="1" si="761"/>
        <v>EE_AFE_DIG1</v>
      </c>
    </row>
    <row r="253" spans="2:45" ht="51">
      <c r="B253" s="55" t="str">
        <f t="shared" ca="1" si="743"/>
        <v>MLX</v>
      </c>
      <c r="C253" s="55" t="s">
        <v>58</v>
      </c>
      <c r="D253" s="56" t="s">
        <v>191</v>
      </c>
      <c r="E253" s="57" t="str">
        <f t="shared" ref="E253:E259" ca="1" si="998">INDIRECT(ADDRESS(ROW()-1,COLUMN()))</f>
        <v>0x109C</v>
      </c>
      <c r="F253" s="57">
        <v>2</v>
      </c>
      <c r="G253" s="57">
        <v>14</v>
      </c>
      <c r="H253" s="57">
        <v>0</v>
      </c>
      <c r="I253" s="57" t="s">
        <v>68</v>
      </c>
      <c r="J253" s="50" t="str">
        <f t="shared" si="744"/>
        <v>[15:14]</v>
      </c>
      <c r="K253" s="50">
        <f t="shared" si="745"/>
        <v>0</v>
      </c>
      <c r="L253" s="50">
        <f t="shared" si="746"/>
        <v>3</v>
      </c>
      <c r="M253" s="58" t="s">
        <v>434</v>
      </c>
      <c r="N253" s="28"/>
      <c r="O253" s="57">
        <v>0</v>
      </c>
      <c r="P253" s="57">
        <f t="shared" ref="P253:P259" si="999">O253</f>
        <v>0</v>
      </c>
      <c r="Q253" s="57">
        <f t="shared" ref="Q253:Q259" si="1000">O253</f>
        <v>0</v>
      </c>
      <c r="R253" s="57">
        <f t="shared" ref="R253:S259" si="1001">O253</f>
        <v>0</v>
      </c>
      <c r="S253" s="163">
        <f t="shared" si="1001"/>
        <v>0</v>
      </c>
      <c r="T253" s="163">
        <v>0</v>
      </c>
      <c r="U253" s="163">
        <f t="shared" ref="U253:U259" si="1002">S253</f>
        <v>0</v>
      </c>
      <c r="V253" s="163">
        <f t="shared" si="995"/>
        <v>0</v>
      </c>
      <c r="W253" s="59"/>
      <c r="X253" s="57">
        <f t="shared" ca="1" si="747"/>
        <v>0</v>
      </c>
      <c r="Y253" s="32"/>
      <c r="AC253" s="12" t="b">
        <f t="shared" si="996"/>
        <v>1</v>
      </c>
      <c r="AD253" s="12" t="str">
        <f t="shared" si="748"/>
        <v>-</v>
      </c>
      <c r="AE253" s="12" t="str">
        <f t="shared" si="749"/>
        <v>-</v>
      </c>
      <c r="AF253" s="12" t="str">
        <f t="shared" ca="1" si="750"/>
        <v>0x109C</v>
      </c>
      <c r="AG253" s="12" t="str">
        <f t="shared" si="751"/>
        <v>PADC_N_BIT_SHIFT</v>
      </c>
      <c r="AH253" s="12">
        <f t="shared" si="752"/>
        <v>2</v>
      </c>
      <c r="AI253" s="12">
        <f t="shared" si="753"/>
        <v>15</v>
      </c>
      <c r="AJ253" s="12">
        <f t="shared" si="754"/>
        <v>14</v>
      </c>
      <c r="AK253" s="12">
        <f t="shared" si="755"/>
        <v>49152</v>
      </c>
      <c r="AL253" s="12" t="str">
        <f t="shared" si="756"/>
        <v>-</v>
      </c>
      <c r="AM253" s="22">
        <f t="shared" si="997"/>
        <v>0</v>
      </c>
      <c r="AN253" s="12">
        <f t="shared" si="757"/>
        <v>0</v>
      </c>
      <c r="AO253" s="22" t="str">
        <f ca="1">IF(AF253="-",VLOOKUP(AD253,MemoryView!$A$3:$F$108,6,0),MID(VLOOKUP(AF253,MemoryView!$BD$3:$BE$108,2,0),15-AI253+1,AH253))</f>
        <v>00</v>
      </c>
      <c r="AP253" s="22">
        <f t="shared" ca="1" si="758"/>
        <v>0</v>
      </c>
      <c r="AQ253" s="53" t="str">
        <f t="shared" si="759"/>
        <v>`EE_MNG.PADC_N_BIT_SHIFT.SET(0);        // [0..3]</v>
      </c>
      <c r="AR253" s="54" t="str">
        <f t="shared" ca="1" si="760"/>
        <v>EE_MEM #(`PARAM(16'h109C, 14, 2, 0)) PADC_N_BIT_SHIFT(); bit unsigned [2-1:0] PADC_N_BIT_SHIFT_V; assign PADC_N_BIT_SHIFT_V = PADC_N_BIT_SHIFT.GET;</v>
      </c>
      <c r="AS253" s="12" t="str">
        <f t="shared" ca="1" si="761"/>
        <v>EE_AFE_DIG1</v>
      </c>
    </row>
    <row r="254" spans="2:45" ht="51">
      <c r="B254" s="55" t="str">
        <f t="shared" ca="1" si="743"/>
        <v>MLX</v>
      </c>
      <c r="C254" s="55" t="s">
        <v>58</v>
      </c>
      <c r="D254" s="56" t="s">
        <v>192</v>
      </c>
      <c r="E254" s="57" t="str">
        <f t="shared" ca="1" si="998"/>
        <v>0x109C</v>
      </c>
      <c r="F254" s="57">
        <v>2</v>
      </c>
      <c r="G254" s="57">
        <v>12</v>
      </c>
      <c r="H254" s="57">
        <v>0</v>
      </c>
      <c r="I254" s="57" t="s">
        <v>68</v>
      </c>
      <c r="J254" s="50" t="str">
        <f t="shared" si="744"/>
        <v>[13:12]</v>
      </c>
      <c r="K254" s="50">
        <f t="shared" si="745"/>
        <v>0</v>
      </c>
      <c r="L254" s="50">
        <f t="shared" si="746"/>
        <v>3</v>
      </c>
      <c r="M254" s="58" t="s">
        <v>193</v>
      </c>
      <c r="N254" s="28"/>
      <c r="O254" s="57">
        <v>1</v>
      </c>
      <c r="P254" s="57">
        <f t="shared" si="999"/>
        <v>1</v>
      </c>
      <c r="Q254" s="57">
        <f t="shared" si="1000"/>
        <v>1</v>
      </c>
      <c r="R254" s="57">
        <f t="shared" si="1001"/>
        <v>1</v>
      </c>
      <c r="S254" s="163">
        <f t="shared" si="1001"/>
        <v>1</v>
      </c>
      <c r="T254" s="163">
        <v>1</v>
      </c>
      <c r="U254" s="163">
        <f t="shared" si="1002"/>
        <v>1</v>
      </c>
      <c r="V254" s="163">
        <f t="shared" si="995"/>
        <v>1</v>
      </c>
      <c r="W254" s="59"/>
      <c r="X254" s="57">
        <f t="shared" ca="1" si="747"/>
        <v>1</v>
      </c>
      <c r="Y254" s="32"/>
      <c r="AC254" s="12" t="b">
        <f t="shared" si="996"/>
        <v>1</v>
      </c>
      <c r="AD254" s="12" t="str">
        <f t="shared" si="748"/>
        <v>-</v>
      </c>
      <c r="AE254" s="12" t="str">
        <f t="shared" si="749"/>
        <v>-</v>
      </c>
      <c r="AF254" s="12" t="str">
        <f t="shared" ca="1" si="750"/>
        <v>0x109C</v>
      </c>
      <c r="AG254" s="12" t="str">
        <f t="shared" si="751"/>
        <v>PADC_FORCE_CHOP_EXT</v>
      </c>
      <c r="AH254" s="12">
        <f t="shared" si="752"/>
        <v>2</v>
      </c>
      <c r="AI254" s="12">
        <f t="shared" si="753"/>
        <v>13</v>
      </c>
      <c r="AJ254" s="12">
        <f t="shared" si="754"/>
        <v>12</v>
      </c>
      <c r="AK254" s="12">
        <f t="shared" si="755"/>
        <v>12288</v>
      </c>
      <c r="AL254" s="12" t="str">
        <f t="shared" si="756"/>
        <v>-</v>
      </c>
      <c r="AM254" s="22">
        <f t="shared" si="997"/>
        <v>1</v>
      </c>
      <c r="AN254" s="12">
        <f t="shared" si="757"/>
        <v>4096</v>
      </c>
      <c r="AO254" s="22" t="str">
        <f ca="1">IF(AF254="-",VLOOKUP(AD254,MemoryView!$A$3:$F$108,6,0),MID(VLOOKUP(AF254,MemoryView!$BD$3:$BE$108,2,0),15-AI254+1,AH254))</f>
        <v>01</v>
      </c>
      <c r="AP254" s="22">
        <f t="shared" ca="1" si="758"/>
        <v>1</v>
      </c>
      <c r="AQ254" s="53" t="str">
        <f t="shared" si="759"/>
        <v>`EE_MNG.PADC_FORCE_CHOP_EXT.SET(1);        // [0..3]</v>
      </c>
      <c r="AR254" s="54" t="str">
        <f t="shared" ca="1" si="760"/>
        <v>EE_MEM #(`PARAM(16'h109C, 12, 2, 0)) PADC_FORCE_CHOP_EXT(); bit unsigned [2-1:0] PADC_FORCE_CHOP_EXT_V; assign PADC_FORCE_CHOP_EXT_V = PADC_FORCE_CHOP_EXT.GET;</v>
      </c>
      <c r="AS254" s="12" t="str">
        <f t="shared" ca="1" si="761"/>
        <v>EE_AFE_DIG1</v>
      </c>
    </row>
    <row r="255" spans="2:45" ht="25.5">
      <c r="B255" s="55" t="str">
        <f t="shared" ca="1" si="743"/>
        <v>MLX</v>
      </c>
      <c r="C255" s="55" t="s">
        <v>58</v>
      </c>
      <c r="D255" s="56" t="s">
        <v>194</v>
      </c>
      <c r="E255" s="57" t="str">
        <f t="shared" ca="1" si="998"/>
        <v>0x109C</v>
      </c>
      <c r="F255" s="57">
        <v>1</v>
      </c>
      <c r="G255" s="57">
        <v>11</v>
      </c>
      <c r="H255" s="57">
        <v>0</v>
      </c>
      <c r="I255" s="57" t="s">
        <v>68</v>
      </c>
      <c r="J255" s="50" t="str">
        <f t="shared" si="744"/>
        <v>[11:11]</v>
      </c>
      <c r="K255" s="50">
        <f t="shared" si="745"/>
        <v>0</v>
      </c>
      <c r="L255" s="50">
        <f t="shared" si="746"/>
        <v>1</v>
      </c>
      <c r="M255" s="58" t="s">
        <v>195</v>
      </c>
      <c r="N255" s="28"/>
      <c r="O255" s="57">
        <v>1</v>
      </c>
      <c r="P255" s="57">
        <f t="shared" si="999"/>
        <v>1</v>
      </c>
      <c r="Q255" s="57">
        <f t="shared" si="1000"/>
        <v>1</v>
      </c>
      <c r="R255" s="57">
        <f t="shared" si="1001"/>
        <v>1</v>
      </c>
      <c r="S255" s="163">
        <f t="shared" si="1001"/>
        <v>1</v>
      </c>
      <c r="T255" s="163">
        <v>1</v>
      </c>
      <c r="U255" s="163">
        <f t="shared" si="1002"/>
        <v>1</v>
      </c>
      <c r="V255" s="163">
        <f t="shared" si="995"/>
        <v>1</v>
      </c>
      <c r="W255" s="59"/>
      <c r="X255" s="57">
        <f t="shared" ca="1" si="747"/>
        <v>1</v>
      </c>
      <c r="Y255" s="32"/>
      <c r="AC255" s="12" t="b">
        <f t="shared" si="996"/>
        <v>1</v>
      </c>
      <c r="AD255" s="12" t="str">
        <f t="shared" si="748"/>
        <v>-</v>
      </c>
      <c r="AE255" s="12" t="str">
        <f t="shared" si="749"/>
        <v>-</v>
      </c>
      <c r="AF255" s="12" t="str">
        <f t="shared" ca="1" si="750"/>
        <v>0x109C</v>
      </c>
      <c r="AG255" s="12" t="str">
        <f t="shared" si="751"/>
        <v>MADC_EN_CLEAR_EOC</v>
      </c>
      <c r="AH255" s="12">
        <f t="shared" si="752"/>
        <v>1</v>
      </c>
      <c r="AI255" s="12">
        <f t="shared" si="753"/>
        <v>11</v>
      </c>
      <c r="AJ255" s="12">
        <f t="shared" si="754"/>
        <v>11</v>
      </c>
      <c r="AK255" s="12">
        <f t="shared" si="755"/>
        <v>2048</v>
      </c>
      <c r="AL255" s="12" t="str">
        <f t="shared" si="756"/>
        <v>-</v>
      </c>
      <c r="AM255" s="22">
        <f t="shared" si="997"/>
        <v>1</v>
      </c>
      <c r="AN255" s="12">
        <f t="shared" si="757"/>
        <v>2048</v>
      </c>
      <c r="AO255" s="22" t="str">
        <f ca="1">IF(AF255="-",VLOOKUP(AD255,MemoryView!$A$3:$F$108,6,0),MID(VLOOKUP(AF255,MemoryView!$BD$3:$BE$108,2,0),15-AI255+1,AH255))</f>
        <v>1</v>
      </c>
      <c r="AP255" s="22">
        <f t="shared" ca="1" si="758"/>
        <v>1</v>
      </c>
      <c r="AQ255" s="53" t="str">
        <f t="shared" si="759"/>
        <v>`EE_MNG.MADC_EN_CLEAR_EOC.SET(1);        // [0..1]</v>
      </c>
      <c r="AR255" s="54" t="str">
        <f t="shared" ca="1" si="760"/>
        <v>EE_MEM #(`PARAM(16'h109C, 11, 1, 0)) MADC_EN_CLEAR_EOC(); bit unsigned [1-1:0] MADC_EN_CLEAR_EOC_V; assign MADC_EN_CLEAR_EOC_V = MADC_EN_CLEAR_EOC.GET;</v>
      </c>
      <c r="AS255" s="12" t="str">
        <f t="shared" ca="1" si="761"/>
        <v>EE_AFE_DIG1</v>
      </c>
    </row>
    <row r="256" spans="2:45" ht="51">
      <c r="B256" s="55" t="str">
        <f t="shared" ca="1" si="743"/>
        <v>MLX</v>
      </c>
      <c r="C256" s="55" t="s">
        <v>58</v>
      </c>
      <c r="D256" s="56" t="s">
        <v>196</v>
      </c>
      <c r="E256" s="57" t="str">
        <f t="shared" ca="1" si="998"/>
        <v>0x109C</v>
      </c>
      <c r="F256" s="57">
        <v>4</v>
      </c>
      <c r="G256" s="57">
        <v>7</v>
      </c>
      <c r="H256" s="57">
        <v>0</v>
      </c>
      <c r="I256" s="57" t="s">
        <v>68</v>
      </c>
      <c r="J256" s="50" t="str">
        <f t="shared" si="744"/>
        <v>[10:7]</v>
      </c>
      <c r="K256" s="50">
        <f t="shared" si="745"/>
        <v>0</v>
      </c>
      <c r="L256" s="50">
        <f t="shared" si="746"/>
        <v>15</v>
      </c>
      <c r="M256" s="58" t="s">
        <v>197</v>
      </c>
      <c r="N256" s="28"/>
      <c r="O256" s="57">
        <v>4</v>
      </c>
      <c r="P256" s="57">
        <f t="shared" si="999"/>
        <v>4</v>
      </c>
      <c r="Q256" s="57">
        <f t="shared" si="1000"/>
        <v>4</v>
      </c>
      <c r="R256" s="57">
        <f t="shared" si="1001"/>
        <v>4</v>
      </c>
      <c r="S256" s="163">
        <f t="shared" si="1001"/>
        <v>4</v>
      </c>
      <c r="T256" s="163">
        <v>4</v>
      </c>
      <c r="U256" s="163">
        <f t="shared" si="1002"/>
        <v>4</v>
      </c>
      <c r="V256" s="163">
        <f t="shared" si="995"/>
        <v>4</v>
      </c>
      <c r="W256" s="59"/>
      <c r="X256" s="57">
        <f t="shared" ca="1" si="747"/>
        <v>4</v>
      </c>
      <c r="Y256" s="32"/>
      <c r="AC256" s="12" t="b">
        <f t="shared" si="996"/>
        <v>1</v>
      </c>
      <c r="AD256" s="12" t="str">
        <f t="shared" si="748"/>
        <v>-</v>
      </c>
      <c r="AE256" s="12" t="str">
        <f t="shared" si="749"/>
        <v>-</v>
      </c>
      <c r="AF256" s="12" t="str">
        <f t="shared" ca="1" si="750"/>
        <v>0x109C</v>
      </c>
      <c r="AG256" s="12" t="str">
        <f t="shared" si="751"/>
        <v>MADC_N_BLIND_EOC</v>
      </c>
      <c r="AH256" s="12">
        <f t="shared" si="752"/>
        <v>4</v>
      </c>
      <c r="AI256" s="12">
        <f t="shared" si="753"/>
        <v>10</v>
      </c>
      <c r="AJ256" s="12">
        <f t="shared" si="754"/>
        <v>7</v>
      </c>
      <c r="AK256" s="12">
        <f t="shared" si="755"/>
        <v>1920</v>
      </c>
      <c r="AL256" s="12" t="str">
        <f t="shared" si="756"/>
        <v>-</v>
      </c>
      <c r="AM256" s="22">
        <f t="shared" si="997"/>
        <v>4</v>
      </c>
      <c r="AN256" s="12">
        <f t="shared" si="757"/>
        <v>512</v>
      </c>
      <c r="AO256" s="22" t="str">
        <f ca="1">IF(AF256="-",VLOOKUP(AD256,MemoryView!$A$3:$F$108,6,0),MID(VLOOKUP(AF256,MemoryView!$BD$3:$BE$108,2,0),15-AI256+1,AH256))</f>
        <v>0100</v>
      </c>
      <c r="AP256" s="22">
        <f t="shared" ca="1" si="758"/>
        <v>4</v>
      </c>
      <c r="AQ256" s="53" t="str">
        <f t="shared" si="759"/>
        <v>`EE_MNG.MADC_N_BLIND_EOC.SET(4);        // [0..15]</v>
      </c>
      <c r="AR256" s="54" t="str">
        <f t="shared" ca="1" si="760"/>
        <v>EE_MEM #(`PARAM(16'h109C, 7, 4, 0)) MADC_N_BLIND_EOC(); bit unsigned [4-1:0] MADC_N_BLIND_EOC_V; assign MADC_N_BLIND_EOC_V = MADC_N_BLIND_EOC.GET;</v>
      </c>
      <c r="AS256" s="12" t="str">
        <f t="shared" ca="1" si="761"/>
        <v>EE_AFE_DIG1</v>
      </c>
    </row>
    <row r="257" spans="2:45">
      <c r="B257" s="55" t="str">
        <f t="shared" ca="1" si="743"/>
        <v>MLX</v>
      </c>
      <c r="C257" s="55" t="s">
        <v>58</v>
      </c>
      <c r="D257" s="56" t="s">
        <v>198</v>
      </c>
      <c r="E257" s="57" t="str">
        <f t="shared" ca="1" si="998"/>
        <v>0x109C</v>
      </c>
      <c r="F257" s="57">
        <v>1</v>
      </c>
      <c r="G257" s="57">
        <v>6</v>
      </c>
      <c r="H257" s="57">
        <v>0</v>
      </c>
      <c r="I257" s="57" t="s">
        <v>68</v>
      </c>
      <c r="J257" s="50" t="str">
        <f t="shared" si="744"/>
        <v>[6:6]</v>
      </c>
      <c r="K257" s="50">
        <f t="shared" si="745"/>
        <v>0</v>
      </c>
      <c r="L257" s="50">
        <f t="shared" si="746"/>
        <v>1</v>
      </c>
      <c r="M257" s="58"/>
      <c r="N257" s="28"/>
      <c r="O257" s="57">
        <v>0</v>
      </c>
      <c r="P257" s="57">
        <f t="shared" si="999"/>
        <v>0</v>
      </c>
      <c r="Q257" s="57">
        <f t="shared" si="1000"/>
        <v>0</v>
      </c>
      <c r="R257" s="57">
        <f t="shared" si="1001"/>
        <v>0</v>
      </c>
      <c r="S257" s="163">
        <f t="shared" si="1001"/>
        <v>0</v>
      </c>
      <c r="T257" s="163">
        <v>0</v>
      </c>
      <c r="U257" s="163">
        <f t="shared" si="1002"/>
        <v>0</v>
      </c>
      <c r="V257" s="163">
        <f t="shared" si="995"/>
        <v>0</v>
      </c>
      <c r="W257" s="59"/>
      <c r="X257" s="57">
        <f t="shared" ca="1" si="747"/>
        <v>0</v>
      </c>
      <c r="Y257" s="32"/>
      <c r="AC257" s="12" t="b">
        <f t="shared" si="996"/>
        <v>1</v>
      </c>
      <c r="AD257" s="12" t="str">
        <f t="shared" si="748"/>
        <v>-</v>
      </c>
      <c r="AE257" s="12" t="str">
        <f t="shared" si="749"/>
        <v>-</v>
      </c>
      <c r="AF257" s="12" t="str">
        <f t="shared" ca="1" si="750"/>
        <v>0x109C</v>
      </c>
      <c r="AG257" s="12" t="str">
        <f t="shared" si="751"/>
        <v>AFE_DIG1_RESERVED0</v>
      </c>
      <c r="AH257" s="12">
        <f t="shared" si="752"/>
        <v>1</v>
      </c>
      <c r="AI257" s="12">
        <f t="shared" si="753"/>
        <v>6</v>
      </c>
      <c r="AJ257" s="12">
        <f t="shared" si="754"/>
        <v>6</v>
      </c>
      <c r="AK257" s="12">
        <f t="shared" si="755"/>
        <v>64</v>
      </c>
      <c r="AL257" s="12" t="str">
        <f t="shared" si="756"/>
        <v>-</v>
      </c>
      <c r="AM257" s="22">
        <f t="shared" si="997"/>
        <v>0</v>
      </c>
      <c r="AN257" s="12">
        <f t="shared" si="757"/>
        <v>0</v>
      </c>
      <c r="AO257" s="22" t="str">
        <f ca="1">IF(AF257="-",VLOOKUP(AD257,MemoryView!$A$3:$F$108,6,0),MID(VLOOKUP(AF257,MemoryView!$BD$3:$BE$108,2,0),15-AI257+1,AH257))</f>
        <v>0</v>
      </c>
      <c r="AP257" s="22">
        <f t="shared" ca="1" si="758"/>
        <v>0</v>
      </c>
      <c r="AQ257" s="53" t="str">
        <f t="shared" si="759"/>
        <v>`EE_MNG.AFE_DIG1_RESERVED0.SET(0);        // [0..1]</v>
      </c>
      <c r="AR257" s="54" t="str">
        <f t="shared" ca="1" si="760"/>
        <v>EE_MEM #(`PARAM(16'h109C, 6, 1, 0)) AFE_DIG1_RESERVED0(); bit unsigned [1-1:0] AFE_DIG1_RESERVED0_V; assign AFE_DIG1_RESERVED0_V = AFE_DIG1_RESERVED0.GET;</v>
      </c>
      <c r="AS257" s="12" t="str">
        <f t="shared" ca="1" si="761"/>
        <v>EE_AFE_DIG1</v>
      </c>
    </row>
    <row r="258" spans="2:45" ht="51">
      <c r="B258" s="55" t="str">
        <f t="shared" ca="1" si="743"/>
        <v>MLX</v>
      </c>
      <c r="C258" s="55" t="s">
        <v>58</v>
      </c>
      <c r="D258" s="56" t="s">
        <v>199</v>
      </c>
      <c r="E258" s="57" t="str">
        <f t="shared" ca="1" si="998"/>
        <v>0x109C</v>
      </c>
      <c r="F258" s="57">
        <v>2</v>
      </c>
      <c r="G258" s="57">
        <v>4</v>
      </c>
      <c r="H258" s="57">
        <v>0</v>
      </c>
      <c r="I258" s="57" t="s">
        <v>68</v>
      </c>
      <c r="J258" s="50" t="str">
        <f t="shared" si="744"/>
        <v>[5:4]</v>
      </c>
      <c r="K258" s="50">
        <f t="shared" si="745"/>
        <v>0</v>
      </c>
      <c r="L258" s="50">
        <f t="shared" si="746"/>
        <v>3</v>
      </c>
      <c r="M258" s="58" t="s">
        <v>186</v>
      </c>
      <c r="N258" s="28"/>
      <c r="O258" s="57">
        <v>0</v>
      </c>
      <c r="P258" s="57">
        <f t="shared" si="999"/>
        <v>0</v>
      </c>
      <c r="Q258" s="57">
        <f t="shared" si="1000"/>
        <v>0</v>
      </c>
      <c r="R258" s="57">
        <f t="shared" si="1001"/>
        <v>0</v>
      </c>
      <c r="S258" s="163">
        <f t="shared" si="1001"/>
        <v>0</v>
      </c>
      <c r="T258" s="163">
        <v>0</v>
      </c>
      <c r="U258" s="163">
        <f t="shared" si="1002"/>
        <v>0</v>
      </c>
      <c r="V258" s="163">
        <f t="shared" si="995"/>
        <v>0</v>
      </c>
      <c r="W258" s="59"/>
      <c r="X258" s="57">
        <f t="shared" ca="1" si="747"/>
        <v>0</v>
      </c>
      <c r="Y258" s="32"/>
      <c r="AC258" s="12" t="b">
        <f t="shared" si="996"/>
        <v>1</v>
      </c>
      <c r="AD258" s="12" t="str">
        <f t="shared" si="748"/>
        <v>-</v>
      </c>
      <c r="AE258" s="12" t="str">
        <f t="shared" si="749"/>
        <v>-</v>
      </c>
      <c r="AF258" s="12" t="str">
        <f t="shared" ca="1" si="750"/>
        <v>0x109C</v>
      </c>
      <c r="AG258" s="12" t="str">
        <f t="shared" si="751"/>
        <v>MADC_FORCE_CHOP_INT</v>
      </c>
      <c r="AH258" s="12">
        <f t="shared" si="752"/>
        <v>2</v>
      </c>
      <c r="AI258" s="12">
        <f t="shared" si="753"/>
        <v>5</v>
      </c>
      <c r="AJ258" s="12">
        <f t="shared" si="754"/>
        <v>4</v>
      </c>
      <c r="AK258" s="12">
        <f t="shared" si="755"/>
        <v>48</v>
      </c>
      <c r="AL258" s="12" t="str">
        <f t="shared" si="756"/>
        <v>-</v>
      </c>
      <c r="AM258" s="22">
        <f t="shared" si="997"/>
        <v>0</v>
      </c>
      <c r="AN258" s="12">
        <f t="shared" si="757"/>
        <v>0</v>
      </c>
      <c r="AO258" s="22" t="str">
        <f ca="1">IF(AF258="-",VLOOKUP(AD258,MemoryView!$A$3:$F$108,6,0),MID(VLOOKUP(AF258,MemoryView!$BD$3:$BE$108,2,0),15-AI258+1,AH258))</f>
        <v>00</v>
      </c>
      <c r="AP258" s="22">
        <f t="shared" ca="1" si="758"/>
        <v>0</v>
      </c>
      <c r="AQ258" s="53" t="str">
        <f t="shared" si="759"/>
        <v>`EE_MNG.MADC_FORCE_CHOP_INT.SET(0);        // [0..3]</v>
      </c>
      <c r="AR258" s="54" t="str">
        <f t="shared" ca="1" si="760"/>
        <v>EE_MEM #(`PARAM(16'h109C, 4, 2, 0)) MADC_FORCE_CHOP_INT(); bit unsigned [2-1:0] MADC_FORCE_CHOP_INT_V; assign MADC_FORCE_CHOP_INT_V = MADC_FORCE_CHOP_INT.GET;</v>
      </c>
      <c r="AS258" s="12" t="str">
        <f t="shared" ca="1" si="761"/>
        <v>EE_AFE_DIG1</v>
      </c>
    </row>
    <row r="259" spans="2:45" ht="38.25">
      <c r="B259" s="55" t="str">
        <f t="shared" ca="1" si="743"/>
        <v>MLX</v>
      </c>
      <c r="C259" s="55" t="s">
        <v>58</v>
      </c>
      <c r="D259" s="56" t="s">
        <v>200</v>
      </c>
      <c r="E259" s="57" t="str">
        <f t="shared" ca="1" si="998"/>
        <v>0x109C</v>
      </c>
      <c r="F259" s="57">
        <v>4</v>
      </c>
      <c r="G259" s="57">
        <v>0</v>
      </c>
      <c r="H259" s="57">
        <v>0</v>
      </c>
      <c r="I259" s="57" t="s">
        <v>68</v>
      </c>
      <c r="J259" s="50" t="str">
        <f t="shared" si="744"/>
        <v>[3:0]</v>
      </c>
      <c r="K259" s="50">
        <f t="shared" si="745"/>
        <v>0</v>
      </c>
      <c r="L259" s="50">
        <f t="shared" si="746"/>
        <v>15</v>
      </c>
      <c r="M259" s="58" t="s">
        <v>201</v>
      </c>
      <c r="N259" s="28"/>
      <c r="O259" s="57">
        <v>15</v>
      </c>
      <c r="P259" s="57">
        <f t="shared" si="999"/>
        <v>15</v>
      </c>
      <c r="Q259" s="57">
        <f t="shared" si="1000"/>
        <v>15</v>
      </c>
      <c r="R259" s="57">
        <f t="shared" si="1001"/>
        <v>15</v>
      </c>
      <c r="S259" s="163">
        <f t="shared" si="1001"/>
        <v>15</v>
      </c>
      <c r="T259" s="163">
        <v>15</v>
      </c>
      <c r="U259" s="163">
        <f t="shared" si="1002"/>
        <v>15</v>
      </c>
      <c r="V259" s="163">
        <f t="shared" si="995"/>
        <v>15</v>
      </c>
      <c r="W259" s="59"/>
      <c r="X259" s="57">
        <f t="shared" ca="1" si="747"/>
        <v>15</v>
      </c>
      <c r="Y259" s="32"/>
      <c r="AC259" s="12" t="b">
        <f t="shared" si="996"/>
        <v>1</v>
      </c>
      <c r="AD259" s="12" t="str">
        <f t="shared" si="748"/>
        <v>-</v>
      </c>
      <c r="AE259" s="12" t="str">
        <f t="shared" si="749"/>
        <v>-</v>
      </c>
      <c r="AF259" s="12" t="str">
        <f t="shared" ca="1" si="750"/>
        <v>0x109C</v>
      </c>
      <c r="AG259" s="12" t="str">
        <f t="shared" si="751"/>
        <v>MADC_N_CHOP_INT</v>
      </c>
      <c r="AH259" s="12">
        <f t="shared" si="752"/>
        <v>4</v>
      </c>
      <c r="AI259" s="12">
        <f t="shared" si="753"/>
        <v>3</v>
      </c>
      <c r="AJ259" s="12">
        <f t="shared" si="754"/>
        <v>0</v>
      </c>
      <c r="AK259" s="12">
        <f t="shared" si="755"/>
        <v>15</v>
      </c>
      <c r="AL259" s="12" t="str">
        <f t="shared" si="756"/>
        <v>-</v>
      </c>
      <c r="AM259" s="22">
        <f t="shared" si="997"/>
        <v>15</v>
      </c>
      <c r="AN259" s="12">
        <f t="shared" si="757"/>
        <v>15</v>
      </c>
      <c r="AO259" s="22" t="str">
        <f ca="1">IF(AF259="-",VLOOKUP(AD259,MemoryView!$A$3:$F$108,6,0),MID(VLOOKUP(AF259,MemoryView!$BD$3:$BE$108,2,0),15-AI259+1,AH259))</f>
        <v>1111</v>
      </c>
      <c r="AP259" s="22">
        <f t="shared" ca="1" si="758"/>
        <v>15</v>
      </c>
      <c r="AQ259" s="53" t="str">
        <f t="shared" si="759"/>
        <v>`EE_MNG.MADC_N_CHOP_INT.SET(15);        // [0..15]</v>
      </c>
      <c r="AR259" s="54" t="str">
        <f t="shared" ca="1" si="760"/>
        <v>EE_MEM #(`PARAM(16'h109C, 0, 4, 0)) MADC_N_CHOP_INT(); bit unsigned [4-1:0] MADC_N_CHOP_INT_V; assign MADC_N_CHOP_INT_V = MADC_N_CHOP_INT.GET;</v>
      </c>
      <c r="AS259" s="12" t="str">
        <f t="shared" ca="1" si="761"/>
        <v>EE_AFE_DIG1</v>
      </c>
    </row>
    <row r="260" spans="2:45" ht="25.5">
      <c r="B260" s="47" t="str">
        <f t="shared" ca="1" si="743"/>
        <v>MLX</v>
      </c>
      <c r="C260" s="47" t="s">
        <v>202</v>
      </c>
      <c r="D260" s="48" t="s">
        <v>58</v>
      </c>
      <c r="E260" s="60" t="str">
        <f ca="1">"0x"&amp;DEC2HEX(HEX2DEC(RIGHT(INDIRECT(ADDRESS(ROW()-1,COLUMN())),4))+2,4)</f>
        <v>0x109E</v>
      </c>
      <c r="F260" s="49">
        <v>16</v>
      </c>
      <c r="G260" s="49">
        <v>0</v>
      </c>
      <c r="H260" s="49">
        <v>1</v>
      </c>
      <c r="I260" s="49" t="s">
        <v>58</v>
      </c>
      <c r="J260" s="50" t="str">
        <f t="shared" si="744"/>
        <v>-</v>
      </c>
      <c r="K260" s="50">
        <f t="shared" si="745"/>
        <v>-32768</v>
      </c>
      <c r="L260" s="50">
        <f t="shared" si="746"/>
        <v>32767</v>
      </c>
      <c r="M260" s="51" t="s">
        <v>203</v>
      </c>
      <c r="N260" s="28"/>
      <c r="O260" s="52"/>
      <c r="P260" s="52"/>
      <c r="Q260" s="52"/>
      <c r="R260" s="52"/>
      <c r="S260" s="140"/>
      <c r="T260" s="165"/>
      <c r="U260" s="165"/>
      <c r="V260" s="165"/>
      <c r="W260" s="28"/>
      <c r="X260" s="52">
        <f t="shared" ca="1" si="747"/>
        <v>16365</v>
      </c>
      <c r="Y260" s="32"/>
      <c r="AC260" s="12">
        <f t="shared" si="996"/>
        <v>1</v>
      </c>
      <c r="AD260" s="12" t="str">
        <f t="shared" ca="1" si="748"/>
        <v>0x109E</v>
      </c>
      <c r="AE260" s="12" t="str">
        <f t="shared" si="749"/>
        <v>EE_MM0_HR</v>
      </c>
      <c r="AF260" s="12" t="str">
        <f t="shared" si="750"/>
        <v>-</v>
      </c>
      <c r="AG260" s="12" t="str">
        <f t="shared" si="751"/>
        <v>-</v>
      </c>
      <c r="AH260" s="12" t="str">
        <f t="shared" si="752"/>
        <v>-</v>
      </c>
      <c r="AI260" s="12" t="str">
        <f t="shared" si="753"/>
        <v>-</v>
      </c>
      <c r="AJ260" s="12" t="str">
        <f t="shared" si="754"/>
        <v>-</v>
      </c>
      <c r="AK260" s="12" t="str">
        <f t="shared" ca="1" si="755"/>
        <v>0x109E</v>
      </c>
      <c r="AL260" s="12" t="str">
        <f t="shared" ca="1" si="756"/>
        <v>MLX</v>
      </c>
      <c r="AM260" s="22">
        <f t="shared" si="997"/>
        <v>0</v>
      </c>
      <c r="AN260" s="12" t="str">
        <f t="shared" ca="1" si="757"/>
        <v>0x109E</v>
      </c>
      <c r="AO260" s="22" t="str">
        <f ca="1">IF(AF260="-",VLOOKUP(AD260,MemoryView!$A$3:$F$108,6,0),MID(VLOOKUP(AF260,MemoryView!$BD$3:$BE$108,2,0),15-AI260+1,AH260))</f>
        <v>3FED</v>
      </c>
      <c r="AP260" s="22">
        <f t="shared" ca="1" si="758"/>
        <v>16365</v>
      </c>
      <c r="AQ260" s="53" t="str">
        <f t="shared" si="759"/>
        <v>-</v>
      </c>
      <c r="AR260" s="54" t="str">
        <f t="shared" ca="1" si="760"/>
        <v>EE_MEM #(`PARAM(16'h109E, 0, 16, 1)) EE_MM0_HR(); bit signed [16-1:0] EE_MM0_HR_V; assign EE_MM0_HR_V = EE_MM0_HR.GET;</v>
      </c>
      <c r="AS260" s="12" t="str">
        <f t="shared" ca="1" si="761"/>
        <v>EE_MM0_HR</v>
      </c>
    </row>
    <row r="261" spans="2:45" ht="25.5">
      <c r="B261" s="55" t="str">
        <f t="shared" ca="1" si="743"/>
        <v>MLX</v>
      </c>
      <c r="C261" s="55" t="s">
        <v>58</v>
      </c>
      <c r="D261" s="56" t="str">
        <f>RIGHT(C260,LEN(C260)-3)</f>
        <v>MM0_HR</v>
      </c>
      <c r="E261" s="57" t="str">
        <f ca="1">INDIRECT(ADDRESS(ROW()-1,COLUMN()))</f>
        <v>0x109E</v>
      </c>
      <c r="F261" s="57">
        <v>16</v>
      </c>
      <c r="G261" s="57">
        <v>0</v>
      </c>
      <c r="H261" s="57">
        <v>1</v>
      </c>
      <c r="I261" s="57" t="s">
        <v>76</v>
      </c>
      <c r="J261" s="50" t="str">
        <f t="shared" si="744"/>
        <v>[15:0]</v>
      </c>
      <c r="K261" s="50">
        <f t="shared" si="745"/>
        <v>-32768</v>
      </c>
      <c r="L261" s="50">
        <f t="shared" si="746"/>
        <v>32767</v>
      </c>
      <c r="M261" s="58" t="s">
        <v>204</v>
      </c>
      <c r="N261" s="28"/>
      <c r="O261" s="57">
        <v>16365</v>
      </c>
      <c r="P261" s="57">
        <f>O261</f>
        <v>16365</v>
      </c>
      <c r="Q261" s="57">
        <f>O261</f>
        <v>16365</v>
      </c>
      <c r="R261" s="57">
        <f>O261</f>
        <v>16365</v>
      </c>
      <c r="S261" s="163">
        <f>P261</f>
        <v>16365</v>
      </c>
      <c r="T261" s="163">
        <v>16365</v>
      </c>
      <c r="U261" s="163">
        <f>S261</f>
        <v>16365</v>
      </c>
      <c r="V261" s="163">
        <f t="shared" si="995"/>
        <v>16365</v>
      </c>
      <c r="W261" s="59"/>
      <c r="X261" s="57">
        <f t="shared" ca="1" si="747"/>
        <v>16365</v>
      </c>
      <c r="Y261" s="32"/>
      <c r="AC261" s="12" t="b">
        <f t="shared" si="996"/>
        <v>1</v>
      </c>
      <c r="AD261" s="12" t="str">
        <f t="shared" si="748"/>
        <v>-</v>
      </c>
      <c r="AE261" s="12" t="str">
        <f t="shared" si="749"/>
        <v>-</v>
      </c>
      <c r="AF261" s="12" t="str">
        <f t="shared" ca="1" si="750"/>
        <v>0x109E</v>
      </c>
      <c r="AG261" s="12" t="str">
        <f t="shared" si="751"/>
        <v>MM0_HR</v>
      </c>
      <c r="AH261" s="12">
        <f t="shared" si="752"/>
        <v>16</v>
      </c>
      <c r="AI261" s="12">
        <f t="shared" si="753"/>
        <v>15</v>
      </c>
      <c r="AJ261" s="12">
        <f t="shared" si="754"/>
        <v>0</v>
      </c>
      <c r="AK261" s="12">
        <f t="shared" si="755"/>
        <v>65535</v>
      </c>
      <c r="AL261" s="12" t="str">
        <f t="shared" si="756"/>
        <v>-</v>
      </c>
      <c r="AM261" s="22">
        <f t="shared" si="997"/>
        <v>16365</v>
      </c>
      <c r="AN261" s="12">
        <f t="shared" si="757"/>
        <v>16365</v>
      </c>
      <c r="AO261" s="22" t="str">
        <f ca="1">IF(AF261="-",VLOOKUP(AD261,MemoryView!$A$3:$F$108,6,0),MID(VLOOKUP(AF261,MemoryView!$BD$3:$BE$108,2,0),15-AI261+1,AH261))</f>
        <v>0011111111101101</v>
      </c>
      <c r="AP261" s="22">
        <f t="shared" ca="1" si="758"/>
        <v>16365</v>
      </c>
      <c r="AQ261" s="53" t="str">
        <f t="shared" si="759"/>
        <v>`EE_MNG.MM0_HR.SET(16365);        // [-32768..32767]</v>
      </c>
      <c r="AR261" s="54" t="str">
        <f t="shared" ca="1" si="760"/>
        <v>EE_MEM #(`PARAM(16'h109E, 0, 16, 1)) MM0_HR(); bit signed [16-1:0] MM0_HR_V; assign MM0_HR_V = MM0_HR.GET;</v>
      </c>
      <c r="AS261" s="12" t="str">
        <f t="shared" ca="1" si="761"/>
        <v>EE_MM0_HR</v>
      </c>
    </row>
    <row r="262" spans="2:45" ht="25.5">
      <c r="B262" s="47" t="str">
        <f t="shared" ca="1" si="743"/>
        <v>MLX</v>
      </c>
      <c r="C262" s="47" t="s">
        <v>205</v>
      </c>
      <c r="D262" s="48" t="s">
        <v>58</v>
      </c>
      <c r="E262" s="60" t="str">
        <f ca="1">"0x"&amp;DEC2HEX(HEX2DEC(RIGHT(INDIRECT(ADDRESS(ROW()-1,COLUMN())),4))+2,4)</f>
        <v>0x10A0</v>
      </c>
      <c r="F262" s="49">
        <v>16</v>
      </c>
      <c r="G262" s="49">
        <v>0</v>
      </c>
      <c r="H262" s="49">
        <v>1</v>
      </c>
      <c r="I262" s="49" t="s">
        <v>58</v>
      </c>
      <c r="J262" s="50" t="str">
        <f t="shared" si="744"/>
        <v>-</v>
      </c>
      <c r="K262" s="50">
        <f t="shared" si="745"/>
        <v>-32768</v>
      </c>
      <c r="L262" s="50">
        <f t="shared" si="746"/>
        <v>32767</v>
      </c>
      <c r="M262" s="51" t="s">
        <v>203</v>
      </c>
      <c r="N262" s="28"/>
      <c r="O262" s="52"/>
      <c r="P262" s="52"/>
      <c r="Q262" s="52"/>
      <c r="R262" s="52"/>
      <c r="S262" s="140"/>
      <c r="T262" s="165"/>
      <c r="U262" s="165"/>
      <c r="V262" s="165"/>
      <c r="W262" s="28"/>
      <c r="X262" s="52">
        <f t="shared" ca="1" si="747"/>
        <v>-118</v>
      </c>
      <c r="Y262" s="32"/>
      <c r="AC262" s="12">
        <f t="shared" si="996"/>
        <v>1</v>
      </c>
      <c r="AD262" s="12" t="str">
        <f t="shared" ca="1" si="748"/>
        <v>0x10A0</v>
      </c>
      <c r="AE262" s="12" t="str">
        <f t="shared" si="749"/>
        <v>EE_MM1_HR</v>
      </c>
      <c r="AF262" s="12" t="str">
        <f t="shared" si="750"/>
        <v>-</v>
      </c>
      <c r="AG262" s="12" t="str">
        <f t="shared" si="751"/>
        <v>-</v>
      </c>
      <c r="AH262" s="12" t="str">
        <f t="shared" si="752"/>
        <v>-</v>
      </c>
      <c r="AI262" s="12" t="str">
        <f t="shared" si="753"/>
        <v>-</v>
      </c>
      <c r="AJ262" s="12" t="str">
        <f t="shared" si="754"/>
        <v>-</v>
      </c>
      <c r="AK262" s="12" t="str">
        <f t="shared" ca="1" si="755"/>
        <v>0x10A0</v>
      </c>
      <c r="AL262" s="12" t="str">
        <f t="shared" ca="1" si="756"/>
        <v>MLX</v>
      </c>
      <c r="AM262" s="22">
        <f t="shared" si="997"/>
        <v>0</v>
      </c>
      <c r="AN262" s="12" t="str">
        <f t="shared" ca="1" si="757"/>
        <v>0x10A0</v>
      </c>
      <c r="AO262" s="22" t="str">
        <f ca="1">IF(AF262="-",VLOOKUP(AD262,MemoryView!$A$3:$F$108,6,0),MID(VLOOKUP(AF262,MemoryView!$BD$3:$BE$108,2,0),15-AI262+1,AH262))</f>
        <v>FF8A</v>
      </c>
      <c r="AP262" s="22">
        <f t="shared" ca="1" si="758"/>
        <v>65418</v>
      </c>
      <c r="AQ262" s="53" t="str">
        <f t="shared" si="759"/>
        <v>-</v>
      </c>
      <c r="AR262" s="54" t="str">
        <f t="shared" ca="1" si="760"/>
        <v>EE_MEM #(`PARAM(16'h10A0, 0, 16, 1)) EE_MM1_HR(); bit signed [16-1:0] EE_MM1_HR_V; assign EE_MM1_HR_V = EE_MM1_HR.GET;</v>
      </c>
      <c r="AS262" s="12" t="str">
        <f t="shared" ca="1" si="761"/>
        <v>EE_MM1_HR</v>
      </c>
    </row>
    <row r="263" spans="2:45" ht="25.5">
      <c r="B263" s="55" t="str">
        <f t="shared" ca="1" si="743"/>
        <v>MLX</v>
      </c>
      <c r="C263" s="55" t="s">
        <v>58</v>
      </c>
      <c r="D263" s="56" t="str">
        <f>RIGHT(C262,LEN(C262)-3)</f>
        <v>MM1_HR</v>
      </c>
      <c r="E263" s="57" t="str">
        <f ca="1">INDIRECT(ADDRESS(ROW()-1,COLUMN()))</f>
        <v>0x10A0</v>
      </c>
      <c r="F263" s="57">
        <v>16</v>
      </c>
      <c r="G263" s="57">
        <v>0</v>
      </c>
      <c r="H263" s="57">
        <v>1</v>
      </c>
      <c r="I263" s="57" t="s">
        <v>76</v>
      </c>
      <c r="J263" s="50" t="str">
        <f t="shared" si="744"/>
        <v>[15:0]</v>
      </c>
      <c r="K263" s="50">
        <f t="shared" si="745"/>
        <v>-32768</v>
      </c>
      <c r="L263" s="50">
        <f t="shared" si="746"/>
        <v>32767</v>
      </c>
      <c r="M263" s="58" t="s">
        <v>204</v>
      </c>
      <c r="N263" s="28"/>
      <c r="O263" s="57">
        <v>-118</v>
      </c>
      <c r="P263" s="57">
        <f>O263</f>
        <v>-118</v>
      </c>
      <c r="Q263" s="57">
        <f>O263</f>
        <v>-118</v>
      </c>
      <c r="R263" s="57">
        <f>O263</f>
        <v>-118</v>
      </c>
      <c r="S263" s="163">
        <f>P263</f>
        <v>-118</v>
      </c>
      <c r="T263" s="163">
        <v>-118</v>
      </c>
      <c r="U263" s="163">
        <f>S263</f>
        <v>-118</v>
      </c>
      <c r="V263" s="163">
        <f t="shared" si="995"/>
        <v>-118</v>
      </c>
      <c r="W263" s="59"/>
      <c r="X263" s="57">
        <f t="shared" ca="1" si="747"/>
        <v>-118</v>
      </c>
      <c r="Y263" s="32"/>
      <c r="AC263" s="12" t="b">
        <f t="shared" si="996"/>
        <v>1</v>
      </c>
      <c r="AD263" s="12" t="str">
        <f t="shared" si="748"/>
        <v>-</v>
      </c>
      <c r="AE263" s="12" t="str">
        <f t="shared" si="749"/>
        <v>-</v>
      </c>
      <c r="AF263" s="12" t="str">
        <f t="shared" ca="1" si="750"/>
        <v>0x10A0</v>
      </c>
      <c r="AG263" s="12" t="str">
        <f t="shared" si="751"/>
        <v>MM1_HR</v>
      </c>
      <c r="AH263" s="12">
        <f t="shared" si="752"/>
        <v>16</v>
      </c>
      <c r="AI263" s="12">
        <f t="shared" si="753"/>
        <v>15</v>
      </c>
      <c r="AJ263" s="12">
        <f t="shared" si="754"/>
        <v>0</v>
      </c>
      <c r="AK263" s="12">
        <f t="shared" si="755"/>
        <v>65535</v>
      </c>
      <c r="AL263" s="12" t="str">
        <f t="shared" si="756"/>
        <v>-</v>
      </c>
      <c r="AM263" s="22">
        <f t="shared" si="997"/>
        <v>-118</v>
      </c>
      <c r="AN263" s="12">
        <f t="shared" si="757"/>
        <v>65418</v>
      </c>
      <c r="AO263" s="22" t="str">
        <f ca="1">IF(AF263="-",VLOOKUP(AD263,MemoryView!$A$3:$F$108,6,0),MID(VLOOKUP(AF263,MemoryView!$BD$3:$BE$108,2,0),15-AI263+1,AH263))</f>
        <v>1111111110001010</v>
      </c>
      <c r="AP263" s="22">
        <f t="shared" ca="1" si="758"/>
        <v>65418</v>
      </c>
      <c r="AQ263" s="53" t="str">
        <f t="shared" si="759"/>
        <v>`EE_MNG.MM1_HR.SET(-118);        // [-32768..32767]</v>
      </c>
      <c r="AR263" s="54" t="str">
        <f t="shared" ca="1" si="760"/>
        <v>EE_MEM #(`PARAM(16'h10A0, 0, 16, 1)) MM1_HR(); bit signed [16-1:0] MM1_HR_V; assign MM1_HR_V = MM1_HR.GET;</v>
      </c>
      <c r="AS263" s="12" t="str">
        <f t="shared" ca="1" si="761"/>
        <v>EE_MM1_HR</v>
      </c>
    </row>
    <row r="264" spans="2:45" ht="25.5">
      <c r="B264" s="47" t="str">
        <f t="shared" ca="1" si="743"/>
        <v>MLX</v>
      </c>
      <c r="C264" s="47" t="s">
        <v>206</v>
      </c>
      <c r="D264" s="48" t="s">
        <v>58</v>
      </c>
      <c r="E264" s="60" t="str">
        <f ca="1">"0x"&amp;DEC2HEX(HEX2DEC(RIGHT(INDIRECT(ADDRESS(ROW()-1,COLUMN())),4))+2,4)</f>
        <v>0x10A2</v>
      </c>
      <c r="F264" s="49">
        <v>16</v>
      </c>
      <c r="G264" s="49">
        <v>0</v>
      </c>
      <c r="H264" s="49">
        <v>1</v>
      </c>
      <c r="I264" s="49" t="s">
        <v>58</v>
      </c>
      <c r="J264" s="50" t="str">
        <f t="shared" si="744"/>
        <v>-</v>
      </c>
      <c r="K264" s="50">
        <f t="shared" si="745"/>
        <v>-32768</v>
      </c>
      <c r="L264" s="50">
        <f t="shared" si="746"/>
        <v>32767</v>
      </c>
      <c r="M264" s="51" t="s">
        <v>203</v>
      </c>
      <c r="N264" s="28"/>
      <c r="O264" s="52"/>
      <c r="P264" s="52"/>
      <c r="Q264" s="52"/>
      <c r="R264" s="52"/>
      <c r="S264" s="140"/>
      <c r="T264" s="165"/>
      <c r="U264" s="165"/>
      <c r="V264" s="165"/>
      <c r="W264" s="28"/>
      <c r="X264" s="52">
        <f t="shared" ca="1" si="747"/>
        <v>-317</v>
      </c>
      <c r="Y264" s="32"/>
      <c r="AC264" s="12">
        <f t="shared" si="996"/>
        <v>1</v>
      </c>
      <c r="AD264" s="12" t="str">
        <f t="shared" ca="1" si="748"/>
        <v>0x10A2</v>
      </c>
      <c r="AE264" s="12" t="str">
        <f t="shared" si="749"/>
        <v>EE_MM2_HR</v>
      </c>
      <c r="AF264" s="12" t="str">
        <f t="shared" si="750"/>
        <v>-</v>
      </c>
      <c r="AG264" s="12" t="str">
        <f t="shared" si="751"/>
        <v>-</v>
      </c>
      <c r="AH264" s="12" t="str">
        <f t="shared" si="752"/>
        <v>-</v>
      </c>
      <c r="AI264" s="12" t="str">
        <f t="shared" si="753"/>
        <v>-</v>
      </c>
      <c r="AJ264" s="12" t="str">
        <f t="shared" si="754"/>
        <v>-</v>
      </c>
      <c r="AK264" s="12" t="str">
        <f t="shared" ca="1" si="755"/>
        <v>0x10A2</v>
      </c>
      <c r="AL264" s="12" t="str">
        <f t="shared" ca="1" si="756"/>
        <v>MLX</v>
      </c>
      <c r="AM264" s="22">
        <f t="shared" si="997"/>
        <v>0</v>
      </c>
      <c r="AN264" s="12" t="str">
        <f t="shared" ca="1" si="757"/>
        <v>0x10A2</v>
      </c>
      <c r="AO264" s="22" t="str">
        <f ca="1">IF(AF264="-",VLOOKUP(AD264,MemoryView!$A$3:$F$108,6,0),MID(VLOOKUP(AF264,MemoryView!$BD$3:$BE$108,2,0),15-AI264+1,AH264))</f>
        <v>FEC3</v>
      </c>
      <c r="AP264" s="22">
        <f t="shared" ca="1" si="758"/>
        <v>65219</v>
      </c>
      <c r="AQ264" s="53" t="str">
        <f t="shared" si="759"/>
        <v>-</v>
      </c>
      <c r="AR264" s="54" t="str">
        <f t="shared" ca="1" si="760"/>
        <v>EE_MEM #(`PARAM(16'h10A2, 0, 16, 1)) EE_MM2_HR(); bit signed [16-1:0] EE_MM2_HR_V; assign EE_MM2_HR_V = EE_MM2_HR.GET;</v>
      </c>
      <c r="AS264" s="12" t="str">
        <f t="shared" ca="1" si="761"/>
        <v>EE_MM2_HR</v>
      </c>
    </row>
    <row r="265" spans="2:45" ht="25.5">
      <c r="B265" s="55" t="str">
        <f t="shared" ca="1" si="743"/>
        <v>MLX</v>
      </c>
      <c r="C265" s="55" t="s">
        <v>58</v>
      </c>
      <c r="D265" s="56" t="str">
        <f>RIGHT(C264,LEN(C264)-3)</f>
        <v>MM2_HR</v>
      </c>
      <c r="E265" s="57" t="str">
        <f ca="1">INDIRECT(ADDRESS(ROW()-1,COLUMN()))</f>
        <v>0x10A2</v>
      </c>
      <c r="F265" s="57">
        <v>16</v>
      </c>
      <c r="G265" s="57">
        <v>0</v>
      </c>
      <c r="H265" s="57">
        <v>1</v>
      </c>
      <c r="I265" s="57" t="s">
        <v>76</v>
      </c>
      <c r="J265" s="50" t="str">
        <f t="shared" si="744"/>
        <v>[15:0]</v>
      </c>
      <c r="K265" s="50">
        <f t="shared" si="745"/>
        <v>-32768</v>
      </c>
      <c r="L265" s="50">
        <f t="shared" si="746"/>
        <v>32767</v>
      </c>
      <c r="M265" s="58" t="s">
        <v>204</v>
      </c>
      <c r="N265" s="28"/>
      <c r="O265" s="57">
        <v>-317</v>
      </c>
      <c r="P265" s="57">
        <f>O265</f>
        <v>-317</v>
      </c>
      <c r="Q265" s="57">
        <f>O265</f>
        <v>-317</v>
      </c>
      <c r="R265" s="57">
        <f>O265</f>
        <v>-317</v>
      </c>
      <c r="S265" s="163">
        <f>P265</f>
        <v>-317</v>
      </c>
      <c r="T265" s="163">
        <v>-317</v>
      </c>
      <c r="U265" s="163">
        <f>S265</f>
        <v>-317</v>
      </c>
      <c r="V265" s="163">
        <f t="shared" si="995"/>
        <v>-317</v>
      </c>
      <c r="W265" s="59"/>
      <c r="X265" s="57">
        <f t="shared" ca="1" si="747"/>
        <v>-317</v>
      </c>
      <c r="Y265" s="32"/>
      <c r="AC265" s="12" t="b">
        <f t="shared" si="996"/>
        <v>1</v>
      </c>
      <c r="AD265" s="12" t="str">
        <f t="shared" si="748"/>
        <v>-</v>
      </c>
      <c r="AE265" s="12" t="str">
        <f t="shared" si="749"/>
        <v>-</v>
      </c>
      <c r="AF265" s="12" t="str">
        <f t="shared" ca="1" si="750"/>
        <v>0x10A2</v>
      </c>
      <c r="AG265" s="12" t="str">
        <f t="shared" si="751"/>
        <v>MM2_HR</v>
      </c>
      <c r="AH265" s="12">
        <f t="shared" si="752"/>
        <v>16</v>
      </c>
      <c r="AI265" s="12">
        <f t="shared" si="753"/>
        <v>15</v>
      </c>
      <c r="AJ265" s="12">
        <f t="shared" si="754"/>
        <v>0</v>
      </c>
      <c r="AK265" s="12">
        <f t="shared" si="755"/>
        <v>65535</v>
      </c>
      <c r="AL265" s="12" t="str">
        <f t="shared" si="756"/>
        <v>-</v>
      </c>
      <c r="AM265" s="22">
        <f t="shared" si="997"/>
        <v>-317</v>
      </c>
      <c r="AN265" s="12">
        <f t="shared" si="757"/>
        <v>65219</v>
      </c>
      <c r="AO265" s="22" t="str">
        <f ca="1">IF(AF265="-",VLOOKUP(AD265,MemoryView!$A$3:$F$108,6,0),MID(VLOOKUP(AF265,MemoryView!$BD$3:$BE$108,2,0),15-AI265+1,AH265))</f>
        <v>1111111011000011</v>
      </c>
      <c r="AP265" s="22">
        <f t="shared" ca="1" si="758"/>
        <v>65219</v>
      </c>
      <c r="AQ265" s="53" t="str">
        <f t="shared" si="759"/>
        <v>`EE_MNG.MM2_HR.SET(-317);        // [-32768..32767]</v>
      </c>
      <c r="AR265" s="54" t="str">
        <f t="shared" ca="1" si="760"/>
        <v>EE_MEM #(`PARAM(16'h10A2, 0, 16, 1)) MM2_HR(); bit signed [16-1:0] MM2_HR_V; assign MM2_HR_V = MM2_HR.GET;</v>
      </c>
      <c r="AS265" s="12" t="str">
        <f t="shared" ca="1" si="761"/>
        <v>EE_MM2_HR</v>
      </c>
    </row>
    <row r="266" spans="2:45" ht="25.5">
      <c r="B266" s="47" t="str">
        <f t="shared" ca="1" si="743"/>
        <v>MLX</v>
      </c>
      <c r="C266" s="47" t="s">
        <v>207</v>
      </c>
      <c r="D266" s="48" t="s">
        <v>58</v>
      </c>
      <c r="E266" s="60" t="str">
        <f ca="1">"0x"&amp;DEC2HEX(HEX2DEC(RIGHT(INDIRECT(ADDRESS(ROW()-1,COLUMN())),4))+2,4)</f>
        <v>0x10A4</v>
      </c>
      <c r="F266" s="49">
        <v>16</v>
      </c>
      <c r="G266" s="49">
        <v>0</v>
      </c>
      <c r="H266" s="49">
        <v>1</v>
      </c>
      <c r="I266" s="49" t="s">
        <v>58</v>
      </c>
      <c r="J266" s="50" t="str">
        <f t="shared" si="744"/>
        <v>-</v>
      </c>
      <c r="K266" s="50">
        <f t="shared" si="745"/>
        <v>-32768</v>
      </c>
      <c r="L266" s="50">
        <f t="shared" si="746"/>
        <v>32767</v>
      </c>
      <c r="M266" s="51" t="s">
        <v>203</v>
      </c>
      <c r="N266" s="28"/>
      <c r="O266" s="52"/>
      <c r="P266" s="52"/>
      <c r="Q266" s="52"/>
      <c r="R266" s="52"/>
      <c r="S266" s="140"/>
      <c r="T266" s="165"/>
      <c r="U266" s="165"/>
      <c r="V266" s="165"/>
      <c r="W266" s="28"/>
      <c r="X266" s="52">
        <f t="shared" ca="1" si="747"/>
        <v>35</v>
      </c>
      <c r="Y266" s="32"/>
      <c r="AC266" s="12">
        <f t="shared" si="996"/>
        <v>1</v>
      </c>
      <c r="AD266" s="12" t="str">
        <f t="shared" ca="1" si="748"/>
        <v>0x10A4</v>
      </c>
      <c r="AE266" s="12" t="str">
        <f t="shared" si="749"/>
        <v>EE_MM3_HR</v>
      </c>
      <c r="AF266" s="12" t="str">
        <f t="shared" si="750"/>
        <v>-</v>
      </c>
      <c r="AG266" s="12" t="str">
        <f t="shared" si="751"/>
        <v>-</v>
      </c>
      <c r="AH266" s="12" t="str">
        <f t="shared" si="752"/>
        <v>-</v>
      </c>
      <c r="AI266" s="12" t="str">
        <f t="shared" si="753"/>
        <v>-</v>
      </c>
      <c r="AJ266" s="12" t="str">
        <f t="shared" si="754"/>
        <v>-</v>
      </c>
      <c r="AK266" s="12" t="str">
        <f t="shared" ca="1" si="755"/>
        <v>0x10A4</v>
      </c>
      <c r="AL266" s="12" t="str">
        <f t="shared" ca="1" si="756"/>
        <v>MLX</v>
      </c>
      <c r="AM266" s="22">
        <f t="shared" si="997"/>
        <v>0</v>
      </c>
      <c r="AN266" s="12" t="str">
        <f t="shared" ca="1" si="757"/>
        <v>0x10A4</v>
      </c>
      <c r="AO266" s="22" t="str">
        <f ca="1">IF(AF266="-",VLOOKUP(AD266,MemoryView!$A$3:$F$108,6,0),MID(VLOOKUP(AF266,MemoryView!$BD$3:$BE$108,2,0),15-AI266+1,AH266))</f>
        <v>0023</v>
      </c>
      <c r="AP266" s="22">
        <f t="shared" ca="1" si="758"/>
        <v>35</v>
      </c>
      <c r="AQ266" s="53" t="str">
        <f t="shared" si="759"/>
        <v>-</v>
      </c>
      <c r="AR266" s="54" t="str">
        <f t="shared" ca="1" si="760"/>
        <v>EE_MEM #(`PARAM(16'h10A4, 0, 16, 1)) EE_MM3_HR(); bit signed [16-1:0] EE_MM3_HR_V; assign EE_MM3_HR_V = EE_MM3_HR.GET;</v>
      </c>
      <c r="AS266" s="12" t="str">
        <f t="shared" ca="1" si="761"/>
        <v>EE_MM3_HR</v>
      </c>
    </row>
    <row r="267" spans="2:45" ht="25.5">
      <c r="B267" s="55" t="str">
        <f t="shared" ca="1" si="743"/>
        <v>MLX</v>
      </c>
      <c r="C267" s="55" t="s">
        <v>58</v>
      </c>
      <c r="D267" s="56" t="str">
        <f>RIGHT(C266,LEN(C266)-3)</f>
        <v>MM3_HR</v>
      </c>
      <c r="E267" s="57" t="str">
        <f ca="1">INDIRECT(ADDRESS(ROW()-1,COLUMN()))</f>
        <v>0x10A4</v>
      </c>
      <c r="F267" s="57">
        <v>16</v>
      </c>
      <c r="G267" s="57">
        <v>0</v>
      </c>
      <c r="H267" s="57">
        <v>1</v>
      </c>
      <c r="I267" s="57" t="s">
        <v>76</v>
      </c>
      <c r="J267" s="50" t="str">
        <f t="shared" si="744"/>
        <v>[15:0]</v>
      </c>
      <c r="K267" s="50">
        <f t="shared" si="745"/>
        <v>-32768</v>
      </c>
      <c r="L267" s="50">
        <f t="shared" si="746"/>
        <v>32767</v>
      </c>
      <c r="M267" s="58" t="s">
        <v>204</v>
      </c>
      <c r="N267" s="28"/>
      <c r="O267" s="57">
        <v>35</v>
      </c>
      <c r="P267" s="57">
        <f>O267</f>
        <v>35</v>
      </c>
      <c r="Q267" s="57">
        <f>O267</f>
        <v>35</v>
      </c>
      <c r="R267" s="57">
        <f>O267</f>
        <v>35</v>
      </c>
      <c r="S267" s="163">
        <f>P267</f>
        <v>35</v>
      </c>
      <c r="T267" s="163">
        <v>35</v>
      </c>
      <c r="U267" s="163">
        <f>S267</f>
        <v>35</v>
      </c>
      <c r="V267" s="163">
        <f t="shared" si="995"/>
        <v>35</v>
      </c>
      <c r="W267" s="59"/>
      <c r="X267" s="57">
        <f t="shared" ca="1" si="747"/>
        <v>35</v>
      </c>
      <c r="Y267" s="32"/>
      <c r="AC267" s="12" t="b">
        <f t="shared" si="996"/>
        <v>1</v>
      </c>
      <c r="AD267" s="12" t="str">
        <f t="shared" si="748"/>
        <v>-</v>
      </c>
      <c r="AE267" s="12" t="str">
        <f t="shared" si="749"/>
        <v>-</v>
      </c>
      <c r="AF267" s="12" t="str">
        <f t="shared" ca="1" si="750"/>
        <v>0x10A4</v>
      </c>
      <c r="AG267" s="12" t="str">
        <f t="shared" si="751"/>
        <v>MM3_HR</v>
      </c>
      <c r="AH267" s="12">
        <f t="shared" si="752"/>
        <v>16</v>
      </c>
      <c r="AI267" s="12">
        <f t="shared" si="753"/>
        <v>15</v>
      </c>
      <c r="AJ267" s="12">
        <f t="shared" si="754"/>
        <v>0</v>
      </c>
      <c r="AK267" s="12">
        <f t="shared" si="755"/>
        <v>65535</v>
      </c>
      <c r="AL267" s="12" t="str">
        <f t="shared" si="756"/>
        <v>-</v>
      </c>
      <c r="AM267" s="22">
        <f t="shared" si="997"/>
        <v>35</v>
      </c>
      <c r="AN267" s="12">
        <f t="shared" si="757"/>
        <v>35</v>
      </c>
      <c r="AO267" s="22" t="str">
        <f ca="1">IF(AF267="-",VLOOKUP(AD267,MemoryView!$A$3:$F$108,6,0),MID(VLOOKUP(AF267,MemoryView!$BD$3:$BE$108,2,0),15-AI267+1,AH267))</f>
        <v>0000000000100011</v>
      </c>
      <c r="AP267" s="22">
        <f t="shared" ca="1" si="758"/>
        <v>35</v>
      </c>
      <c r="AQ267" s="53" t="str">
        <f t="shared" si="759"/>
        <v>`EE_MNG.MM3_HR.SET(35);        // [-32768..32767]</v>
      </c>
      <c r="AR267" s="54" t="str">
        <f t="shared" ca="1" si="760"/>
        <v>EE_MEM #(`PARAM(16'h10A4, 0, 16, 1)) MM3_HR(); bit signed [16-1:0] MM3_HR_V; assign MM3_HR_V = MM3_HR.GET;</v>
      </c>
      <c r="AS267" s="12" t="str">
        <f t="shared" ca="1" si="761"/>
        <v>EE_MM3_HR</v>
      </c>
    </row>
    <row r="268" spans="2:45" ht="25.5">
      <c r="B268" s="47" t="str">
        <f t="shared" ca="1" si="743"/>
        <v>MLX</v>
      </c>
      <c r="C268" s="47" t="s">
        <v>208</v>
      </c>
      <c r="D268" s="48" t="s">
        <v>58</v>
      </c>
      <c r="E268" s="60" t="str">
        <f ca="1">"0x"&amp;DEC2HEX(HEX2DEC(RIGHT(INDIRECT(ADDRESS(ROW()-1,COLUMN())),4))+2,4)</f>
        <v>0x10A6</v>
      </c>
      <c r="F268" s="49">
        <v>16</v>
      </c>
      <c r="G268" s="49">
        <v>0</v>
      </c>
      <c r="H268" s="49">
        <v>1</v>
      </c>
      <c r="I268" s="49" t="s">
        <v>58</v>
      </c>
      <c r="J268" s="50" t="str">
        <f t="shared" si="744"/>
        <v>-</v>
      </c>
      <c r="K268" s="50">
        <f t="shared" si="745"/>
        <v>-32768</v>
      </c>
      <c r="L268" s="50">
        <f t="shared" si="746"/>
        <v>32767</v>
      </c>
      <c r="M268" s="51" t="s">
        <v>209</v>
      </c>
      <c r="N268" s="28"/>
      <c r="O268" s="52"/>
      <c r="P268" s="52"/>
      <c r="Q268" s="52"/>
      <c r="R268" s="52"/>
      <c r="S268" s="140"/>
      <c r="T268" s="165"/>
      <c r="U268" s="165"/>
      <c r="V268" s="165"/>
      <c r="W268" s="28"/>
      <c r="X268" s="52">
        <f t="shared" ca="1" si="747"/>
        <v>18535</v>
      </c>
      <c r="Y268" s="32"/>
      <c r="AC268" s="12">
        <f t="shared" si="996"/>
        <v>1</v>
      </c>
      <c r="AD268" s="12" t="str">
        <f t="shared" ca="1" si="748"/>
        <v>0x10A6</v>
      </c>
      <c r="AE268" s="12" t="str">
        <f t="shared" si="749"/>
        <v>EE_MM0_LR</v>
      </c>
      <c r="AF268" s="12" t="str">
        <f t="shared" si="750"/>
        <v>-</v>
      </c>
      <c r="AG268" s="12" t="str">
        <f t="shared" si="751"/>
        <v>-</v>
      </c>
      <c r="AH268" s="12" t="str">
        <f t="shared" si="752"/>
        <v>-</v>
      </c>
      <c r="AI268" s="12" t="str">
        <f t="shared" si="753"/>
        <v>-</v>
      </c>
      <c r="AJ268" s="12" t="str">
        <f t="shared" si="754"/>
        <v>-</v>
      </c>
      <c r="AK268" s="12" t="str">
        <f t="shared" ca="1" si="755"/>
        <v>0x10A6</v>
      </c>
      <c r="AL268" s="12" t="str">
        <f t="shared" ca="1" si="756"/>
        <v>MLX</v>
      </c>
      <c r="AM268" s="22">
        <f t="shared" si="997"/>
        <v>0</v>
      </c>
      <c r="AN268" s="12" t="str">
        <f t="shared" ca="1" si="757"/>
        <v>0x10A6</v>
      </c>
      <c r="AO268" s="22" t="str">
        <f ca="1">IF(AF268="-",VLOOKUP(AD268,MemoryView!$A$3:$F$108,6,0),MID(VLOOKUP(AF268,MemoryView!$BD$3:$BE$108,2,0),15-AI268+1,AH268))</f>
        <v>4867</v>
      </c>
      <c r="AP268" s="22">
        <f t="shared" ca="1" si="758"/>
        <v>18535</v>
      </c>
      <c r="AQ268" s="53" t="str">
        <f t="shared" si="759"/>
        <v>-</v>
      </c>
      <c r="AR268" s="54" t="str">
        <f t="shared" ca="1" si="760"/>
        <v>EE_MEM #(`PARAM(16'h10A6, 0, 16, 1)) EE_MM0_LR(); bit signed [16-1:0] EE_MM0_LR_V; assign EE_MM0_LR_V = EE_MM0_LR.GET;</v>
      </c>
      <c r="AS268" s="12" t="str">
        <f t="shared" ca="1" si="761"/>
        <v>EE_MM0_LR</v>
      </c>
    </row>
    <row r="269" spans="2:45" ht="25.5">
      <c r="B269" s="55" t="str">
        <f t="shared" ca="1" si="743"/>
        <v>MLX</v>
      </c>
      <c r="C269" s="55" t="s">
        <v>58</v>
      </c>
      <c r="D269" s="56" t="str">
        <f>RIGHT(C268,LEN(C268)-3)</f>
        <v>MM0_LR</v>
      </c>
      <c r="E269" s="57" t="str">
        <f ca="1">INDIRECT(ADDRESS(ROW()-1,COLUMN()))</f>
        <v>0x10A6</v>
      </c>
      <c r="F269" s="57">
        <v>16</v>
      </c>
      <c r="G269" s="57">
        <v>0</v>
      </c>
      <c r="H269" s="57">
        <v>1</v>
      </c>
      <c r="I269" s="57" t="s">
        <v>76</v>
      </c>
      <c r="J269" s="50" t="str">
        <f t="shared" si="744"/>
        <v>[15:0]</v>
      </c>
      <c r="K269" s="50">
        <f t="shared" si="745"/>
        <v>-32768</v>
      </c>
      <c r="L269" s="50">
        <f t="shared" si="746"/>
        <v>32767</v>
      </c>
      <c r="M269" s="58" t="s">
        <v>210</v>
      </c>
      <c r="N269" s="28"/>
      <c r="O269" s="57">
        <v>18535</v>
      </c>
      <c r="P269" s="57">
        <f>O269</f>
        <v>18535</v>
      </c>
      <c r="Q269" s="57">
        <f>O269</f>
        <v>18535</v>
      </c>
      <c r="R269" s="57">
        <f>O269</f>
        <v>18535</v>
      </c>
      <c r="S269" s="163">
        <f>P269</f>
        <v>18535</v>
      </c>
      <c r="T269" s="163">
        <v>18535</v>
      </c>
      <c r="U269" s="163">
        <f>S269</f>
        <v>18535</v>
      </c>
      <c r="V269" s="163">
        <f t="shared" si="995"/>
        <v>18535</v>
      </c>
      <c r="W269" s="59"/>
      <c r="X269" s="57">
        <f t="shared" ca="1" si="747"/>
        <v>18535</v>
      </c>
      <c r="Y269" s="32"/>
      <c r="AC269" s="12" t="b">
        <f t="shared" si="996"/>
        <v>1</v>
      </c>
      <c r="AD269" s="12" t="str">
        <f t="shared" si="748"/>
        <v>-</v>
      </c>
      <c r="AE269" s="12" t="str">
        <f t="shared" si="749"/>
        <v>-</v>
      </c>
      <c r="AF269" s="12" t="str">
        <f t="shared" ca="1" si="750"/>
        <v>0x10A6</v>
      </c>
      <c r="AG269" s="12" t="str">
        <f t="shared" si="751"/>
        <v>MM0_LR</v>
      </c>
      <c r="AH269" s="12">
        <f t="shared" si="752"/>
        <v>16</v>
      </c>
      <c r="AI269" s="12">
        <f t="shared" si="753"/>
        <v>15</v>
      </c>
      <c r="AJ269" s="12">
        <f t="shared" si="754"/>
        <v>0</v>
      </c>
      <c r="AK269" s="12">
        <f t="shared" si="755"/>
        <v>65535</v>
      </c>
      <c r="AL269" s="12" t="str">
        <f t="shared" si="756"/>
        <v>-</v>
      </c>
      <c r="AM269" s="22">
        <f t="shared" si="997"/>
        <v>18535</v>
      </c>
      <c r="AN269" s="12">
        <f t="shared" si="757"/>
        <v>18535</v>
      </c>
      <c r="AO269" s="22" t="str">
        <f ca="1">IF(AF269="-",VLOOKUP(AD269,MemoryView!$A$3:$F$108,6,0),MID(VLOOKUP(AF269,MemoryView!$BD$3:$BE$108,2,0),15-AI269+1,AH269))</f>
        <v>0100100001100111</v>
      </c>
      <c r="AP269" s="22">
        <f t="shared" ca="1" si="758"/>
        <v>18535</v>
      </c>
      <c r="AQ269" s="53" t="str">
        <f t="shared" si="759"/>
        <v>`EE_MNG.MM0_LR.SET(18535);        // [-32768..32767]</v>
      </c>
      <c r="AR269" s="54" t="str">
        <f t="shared" ca="1" si="760"/>
        <v>EE_MEM #(`PARAM(16'h10A6, 0, 16, 1)) MM0_LR(); bit signed [16-1:0] MM0_LR_V; assign MM0_LR_V = MM0_LR.GET;</v>
      </c>
      <c r="AS269" s="12" t="str">
        <f t="shared" ca="1" si="761"/>
        <v>EE_MM0_LR</v>
      </c>
    </row>
    <row r="270" spans="2:45" ht="25.5">
      <c r="B270" s="47" t="str">
        <f t="shared" ca="1" si="743"/>
        <v>MLX</v>
      </c>
      <c r="C270" s="47" t="s">
        <v>211</v>
      </c>
      <c r="D270" s="48" t="s">
        <v>58</v>
      </c>
      <c r="E270" s="60" t="str">
        <f ca="1">"0x"&amp;DEC2HEX(HEX2DEC(RIGHT(INDIRECT(ADDRESS(ROW()-1,COLUMN())),4))+2,4)</f>
        <v>0x10A8</v>
      </c>
      <c r="F270" s="49">
        <v>16</v>
      </c>
      <c r="G270" s="49">
        <v>0</v>
      </c>
      <c r="H270" s="49">
        <v>1</v>
      </c>
      <c r="I270" s="49" t="s">
        <v>58</v>
      </c>
      <c r="J270" s="50" t="str">
        <f t="shared" si="744"/>
        <v>-</v>
      </c>
      <c r="K270" s="50">
        <f t="shared" si="745"/>
        <v>-32768</v>
      </c>
      <c r="L270" s="50">
        <f t="shared" si="746"/>
        <v>32767</v>
      </c>
      <c r="M270" s="51" t="s">
        <v>209</v>
      </c>
      <c r="N270" s="28"/>
      <c r="O270" s="52"/>
      <c r="P270" s="52"/>
      <c r="Q270" s="52"/>
      <c r="R270" s="52"/>
      <c r="S270" s="140"/>
      <c r="T270" s="165"/>
      <c r="U270" s="165"/>
      <c r="V270" s="165"/>
      <c r="W270" s="28"/>
      <c r="X270" s="52">
        <f t="shared" ca="1" si="747"/>
        <v>169</v>
      </c>
      <c r="Y270" s="32"/>
      <c r="AC270" s="12">
        <f t="shared" si="996"/>
        <v>1</v>
      </c>
      <c r="AD270" s="12" t="str">
        <f t="shared" ca="1" si="748"/>
        <v>0x10A8</v>
      </c>
      <c r="AE270" s="12" t="str">
        <f t="shared" si="749"/>
        <v>EE_MM1_LR</v>
      </c>
      <c r="AF270" s="12" t="str">
        <f t="shared" si="750"/>
        <v>-</v>
      </c>
      <c r="AG270" s="12" t="str">
        <f t="shared" si="751"/>
        <v>-</v>
      </c>
      <c r="AH270" s="12" t="str">
        <f t="shared" si="752"/>
        <v>-</v>
      </c>
      <c r="AI270" s="12" t="str">
        <f t="shared" si="753"/>
        <v>-</v>
      </c>
      <c r="AJ270" s="12" t="str">
        <f t="shared" si="754"/>
        <v>-</v>
      </c>
      <c r="AK270" s="12" t="str">
        <f t="shared" ca="1" si="755"/>
        <v>0x10A8</v>
      </c>
      <c r="AL270" s="12" t="str">
        <f t="shared" ca="1" si="756"/>
        <v>MLX</v>
      </c>
      <c r="AM270" s="22">
        <f t="shared" si="997"/>
        <v>0</v>
      </c>
      <c r="AN270" s="12" t="str">
        <f t="shared" ca="1" si="757"/>
        <v>0x10A8</v>
      </c>
      <c r="AO270" s="22" t="str">
        <f ca="1">IF(AF270="-",VLOOKUP(AD270,MemoryView!$A$3:$F$108,6,0),MID(VLOOKUP(AF270,MemoryView!$BD$3:$BE$108,2,0),15-AI270+1,AH270))</f>
        <v>00A9</v>
      </c>
      <c r="AP270" s="22">
        <f t="shared" ca="1" si="758"/>
        <v>169</v>
      </c>
      <c r="AQ270" s="53" t="str">
        <f t="shared" si="759"/>
        <v>-</v>
      </c>
      <c r="AR270" s="54" t="str">
        <f t="shared" ca="1" si="760"/>
        <v>EE_MEM #(`PARAM(16'h10A8, 0, 16, 1)) EE_MM1_LR(); bit signed [16-1:0] EE_MM1_LR_V; assign EE_MM1_LR_V = EE_MM1_LR.GET;</v>
      </c>
      <c r="AS270" s="12" t="str">
        <f t="shared" ca="1" si="761"/>
        <v>EE_MM1_LR</v>
      </c>
    </row>
    <row r="271" spans="2:45" ht="25.5">
      <c r="B271" s="55" t="str">
        <f t="shared" ca="1" si="743"/>
        <v>MLX</v>
      </c>
      <c r="C271" s="55" t="s">
        <v>58</v>
      </c>
      <c r="D271" s="56" t="str">
        <f>RIGHT(C270,LEN(C270)-3)</f>
        <v>MM1_LR</v>
      </c>
      <c r="E271" s="57" t="str">
        <f ca="1">INDIRECT(ADDRESS(ROW()-1,COLUMN()))</f>
        <v>0x10A8</v>
      </c>
      <c r="F271" s="57">
        <v>16</v>
      </c>
      <c r="G271" s="57">
        <v>0</v>
      </c>
      <c r="H271" s="57">
        <v>1</v>
      </c>
      <c r="I271" s="57" t="s">
        <v>76</v>
      </c>
      <c r="J271" s="50" t="str">
        <f t="shared" si="744"/>
        <v>[15:0]</v>
      </c>
      <c r="K271" s="50">
        <f t="shared" si="745"/>
        <v>-32768</v>
      </c>
      <c r="L271" s="50">
        <f t="shared" si="746"/>
        <v>32767</v>
      </c>
      <c r="M271" s="58" t="s">
        <v>210</v>
      </c>
      <c r="N271" s="28"/>
      <c r="O271" s="57">
        <v>169</v>
      </c>
      <c r="P271" s="57">
        <f>O271</f>
        <v>169</v>
      </c>
      <c r="Q271" s="57">
        <f>O271</f>
        <v>169</v>
      </c>
      <c r="R271" s="57">
        <f>O271</f>
        <v>169</v>
      </c>
      <c r="S271" s="163">
        <f>P271</f>
        <v>169</v>
      </c>
      <c r="T271" s="163">
        <v>169</v>
      </c>
      <c r="U271" s="163">
        <f>S271</f>
        <v>169</v>
      </c>
      <c r="V271" s="163">
        <f t="shared" si="995"/>
        <v>169</v>
      </c>
      <c r="W271" s="59"/>
      <c r="X271" s="57">
        <f t="shared" ca="1" si="747"/>
        <v>169</v>
      </c>
      <c r="Y271" s="32"/>
      <c r="AC271" s="12" t="b">
        <f t="shared" si="996"/>
        <v>1</v>
      </c>
      <c r="AD271" s="12" t="str">
        <f t="shared" si="748"/>
        <v>-</v>
      </c>
      <c r="AE271" s="12" t="str">
        <f t="shared" si="749"/>
        <v>-</v>
      </c>
      <c r="AF271" s="12" t="str">
        <f t="shared" ca="1" si="750"/>
        <v>0x10A8</v>
      </c>
      <c r="AG271" s="12" t="str">
        <f t="shared" si="751"/>
        <v>MM1_LR</v>
      </c>
      <c r="AH271" s="12">
        <f t="shared" si="752"/>
        <v>16</v>
      </c>
      <c r="AI271" s="12">
        <f t="shared" si="753"/>
        <v>15</v>
      </c>
      <c r="AJ271" s="12">
        <f t="shared" si="754"/>
        <v>0</v>
      </c>
      <c r="AK271" s="12">
        <f t="shared" si="755"/>
        <v>65535</v>
      </c>
      <c r="AL271" s="12" t="str">
        <f t="shared" si="756"/>
        <v>-</v>
      </c>
      <c r="AM271" s="22">
        <f t="shared" si="997"/>
        <v>169</v>
      </c>
      <c r="AN271" s="12">
        <f t="shared" si="757"/>
        <v>169</v>
      </c>
      <c r="AO271" s="22" t="str">
        <f ca="1">IF(AF271="-",VLOOKUP(AD271,MemoryView!$A$3:$F$108,6,0),MID(VLOOKUP(AF271,MemoryView!$BD$3:$BE$108,2,0),15-AI271+1,AH271))</f>
        <v>0000000010101001</v>
      </c>
      <c r="AP271" s="22">
        <f t="shared" ca="1" si="758"/>
        <v>169</v>
      </c>
      <c r="AQ271" s="53" t="str">
        <f t="shared" si="759"/>
        <v>`EE_MNG.MM1_LR.SET(169);        // [-32768..32767]</v>
      </c>
      <c r="AR271" s="54" t="str">
        <f t="shared" ca="1" si="760"/>
        <v>EE_MEM #(`PARAM(16'h10A8, 0, 16, 1)) MM1_LR(); bit signed [16-1:0] MM1_LR_V; assign MM1_LR_V = MM1_LR.GET;</v>
      </c>
      <c r="AS271" s="12" t="str">
        <f t="shared" ca="1" si="761"/>
        <v>EE_MM1_LR</v>
      </c>
    </row>
    <row r="272" spans="2:45" ht="25.5">
      <c r="B272" s="47" t="str">
        <f t="shared" ca="1" si="743"/>
        <v>MLX</v>
      </c>
      <c r="C272" s="47" t="s">
        <v>212</v>
      </c>
      <c r="D272" s="48" t="s">
        <v>58</v>
      </c>
      <c r="E272" s="60" t="str">
        <f ca="1">"0x"&amp;DEC2HEX(HEX2DEC(RIGHT(INDIRECT(ADDRESS(ROW()-1,COLUMN())),4))+2,4)</f>
        <v>0x10AA</v>
      </c>
      <c r="F272" s="49">
        <v>16</v>
      </c>
      <c r="G272" s="49">
        <v>0</v>
      </c>
      <c r="H272" s="49">
        <v>1</v>
      </c>
      <c r="I272" s="49" t="s">
        <v>58</v>
      </c>
      <c r="J272" s="50" t="str">
        <f t="shared" si="744"/>
        <v>-</v>
      </c>
      <c r="K272" s="50">
        <f t="shared" si="745"/>
        <v>-32768</v>
      </c>
      <c r="L272" s="50">
        <f t="shared" si="746"/>
        <v>32767</v>
      </c>
      <c r="M272" s="51" t="s">
        <v>209</v>
      </c>
      <c r="N272" s="28"/>
      <c r="O272" s="52"/>
      <c r="P272" s="52"/>
      <c r="Q272" s="52"/>
      <c r="R272" s="52"/>
      <c r="S272" s="140"/>
      <c r="T272" s="165"/>
      <c r="U272" s="165"/>
      <c r="V272" s="165"/>
      <c r="W272" s="28"/>
      <c r="X272" s="52">
        <f t="shared" ca="1" si="747"/>
        <v>1086</v>
      </c>
      <c r="Y272" s="32"/>
      <c r="AC272" s="12">
        <f t="shared" si="996"/>
        <v>1</v>
      </c>
      <c r="AD272" s="12" t="str">
        <f t="shared" ca="1" si="748"/>
        <v>0x10AA</v>
      </c>
      <c r="AE272" s="12" t="str">
        <f t="shared" si="749"/>
        <v>EE_MM2_LR</v>
      </c>
      <c r="AF272" s="12" t="str">
        <f t="shared" si="750"/>
        <v>-</v>
      </c>
      <c r="AG272" s="12" t="str">
        <f t="shared" si="751"/>
        <v>-</v>
      </c>
      <c r="AH272" s="12" t="str">
        <f t="shared" si="752"/>
        <v>-</v>
      </c>
      <c r="AI272" s="12" t="str">
        <f t="shared" si="753"/>
        <v>-</v>
      </c>
      <c r="AJ272" s="12" t="str">
        <f t="shared" si="754"/>
        <v>-</v>
      </c>
      <c r="AK272" s="12" t="str">
        <f t="shared" ca="1" si="755"/>
        <v>0x10AA</v>
      </c>
      <c r="AL272" s="12" t="str">
        <f t="shared" ca="1" si="756"/>
        <v>MLX</v>
      </c>
      <c r="AM272" s="22">
        <f t="shared" si="997"/>
        <v>0</v>
      </c>
      <c r="AN272" s="12" t="str">
        <f t="shared" ca="1" si="757"/>
        <v>0x10AA</v>
      </c>
      <c r="AO272" s="22" t="str">
        <f ca="1">IF(AF272="-",VLOOKUP(AD272,MemoryView!$A$3:$F$108,6,0),MID(VLOOKUP(AF272,MemoryView!$BD$3:$BE$108,2,0),15-AI272+1,AH272))</f>
        <v>043E</v>
      </c>
      <c r="AP272" s="22">
        <f t="shared" ca="1" si="758"/>
        <v>1086</v>
      </c>
      <c r="AQ272" s="53" t="str">
        <f t="shared" si="759"/>
        <v>-</v>
      </c>
      <c r="AR272" s="54" t="str">
        <f t="shared" ca="1" si="760"/>
        <v>EE_MEM #(`PARAM(16'h10AA, 0, 16, 1)) EE_MM2_LR(); bit signed [16-1:0] EE_MM2_LR_V; assign EE_MM2_LR_V = EE_MM2_LR.GET;</v>
      </c>
      <c r="AS272" s="12" t="str">
        <f t="shared" ca="1" si="761"/>
        <v>EE_MM2_LR</v>
      </c>
    </row>
    <row r="273" spans="2:45" ht="25.5">
      <c r="B273" s="55" t="str">
        <f t="shared" ca="1" si="743"/>
        <v>MLX</v>
      </c>
      <c r="C273" s="55" t="s">
        <v>58</v>
      </c>
      <c r="D273" s="56" t="str">
        <f>RIGHT(C272,LEN(C272)-3)</f>
        <v>MM2_LR</v>
      </c>
      <c r="E273" s="57" t="str">
        <f ca="1">INDIRECT(ADDRESS(ROW()-1,COLUMN()))</f>
        <v>0x10AA</v>
      </c>
      <c r="F273" s="57">
        <v>16</v>
      </c>
      <c r="G273" s="57">
        <v>0</v>
      </c>
      <c r="H273" s="57">
        <v>1</v>
      </c>
      <c r="I273" s="57" t="s">
        <v>76</v>
      </c>
      <c r="J273" s="50" t="str">
        <f t="shared" si="744"/>
        <v>[15:0]</v>
      </c>
      <c r="K273" s="50">
        <f t="shared" si="745"/>
        <v>-32768</v>
      </c>
      <c r="L273" s="50">
        <f t="shared" si="746"/>
        <v>32767</v>
      </c>
      <c r="M273" s="58" t="s">
        <v>210</v>
      </c>
      <c r="N273" s="28"/>
      <c r="O273" s="57">
        <v>1086</v>
      </c>
      <c r="P273" s="57">
        <f>O273</f>
        <v>1086</v>
      </c>
      <c r="Q273" s="57">
        <f>O273</f>
        <v>1086</v>
      </c>
      <c r="R273" s="57">
        <f>O273</f>
        <v>1086</v>
      </c>
      <c r="S273" s="163">
        <f>P273</f>
        <v>1086</v>
      </c>
      <c r="T273" s="163">
        <v>1086</v>
      </c>
      <c r="U273" s="163">
        <f>S273</f>
        <v>1086</v>
      </c>
      <c r="V273" s="163">
        <f t="shared" si="995"/>
        <v>1086</v>
      </c>
      <c r="W273" s="59"/>
      <c r="X273" s="57">
        <f t="shared" ca="1" si="747"/>
        <v>1086</v>
      </c>
      <c r="Y273" s="32"/>
      <c r="AC273" s="12" t="b">
        <f t="shared" si="996"/>
        <v>1</v>
      </c>
      <c r="AD273" s="12" t="str">
        <f t="shared" si="748"/>
        <v>-</v>
      </c>
      <c r="AE273" s="12" t="str">
        <f t="shared" si="749"/>
        <v>-</v>
      </c>
      <c r="AF273" s="12" t="str">
        <f t="shared" ca="1" si="750"/>
        <v>0x10AA</v>
      </c>
      <c r="AG273" s="12" t="str">
        <f t="shared" si="751"/>
        <v>MM2_LR</v>
      </c>
      <c r="AH273" s="12">
        <f t="shared" si="752"/>
        <v>16</v>
      </c>
      <c r="AI273" s="12">
        <f t="shared" si="753"/>
        <v>15</v>
      </c>
      <c r="AJ273" s="12">
        <f t="shared" si="754"/>
        <v>0</v>
      </c>
      <c r="AK273" s="12">
        <f t="shared" si="755"/>
        <v>65535</v>
      </c>
      <c r="AL273" s="12" t="str">
        <f t="shared" si="756"/>
        <v>-</v>
      </c>
      <c r="AM273" s="22">
        <f t="shared" si="997"/>
        <v>1086</v>
      </c>
      <c r="AN273" s="12">
        <f t="shared" si="757"/>
        <v>1086</v>
      </c>
      <c r="AO273" s="22" t="str">
        <f ca="1">IF(AF273="-",VLOOKUP(AD273,MemoryView!$A$3:$F$108,6,0),MID(VLOOKUP(AF273,MemoryView!$BD$3:$BE$108,2,0),15-AI273+1,AH273))</f>
        <v>0000010000111110</v>
      </c>
      <c r="AP273" s="22">
        <f t="shared" ca="1" si="758"/>
        <v>1086</v>
      </c>
      <c r="AQ273" s="53" t="str">
        <f t="shared" si="759"/>
        <v>`EE_MNG.MM2_LR.SET(1086);        // [-32768..32767]</v>
      </c>
      <c r="AR273" s="54" t="str">
        <f t="shared" ca="1" si="760"/>
        <v>EE_MEM #(`PARAM(16'h10AA, 0, 16, 1)) MM2_LR(); bit signed [16-1:0] MM2_LR_V; assign MM2_LR_V = MM2_LR.GET;</v>
      </c>
      <c r="AS273" s="12" t="str">
        <f t="shared" ca="1" si="761"/>
        <v>EE_MM2_LR</v>
      </c>
    </row>
    <row r="274" spans="2:45" ht="25.5">
      <c r="B274" s="47" t="str">
        <f t="shared" ca="1" si="743"/>
        <v>MLX</v>
      </c>
      <c r="C274" s="47" t="s">
        <v>213</v>
      </c>
      <c r="D274" s="48" t="s">
        <v>58</v>
      </c>
      <c r="E274" s="60" t="str">
        <f ca="1">"0x"&amp;DEC2HEX(HEX2DEC(RIGHT(INDIRECT(ADDRESS(ROW()-1,COLUMN())),4))+2,4)</f>
        <v>0x10AC</v>
      </c>
      <c r="F274" s="49">
        <v>16</v>
      </c>
      <c r="G274" s="49">
        <v>0</v>
      </c>
      <c r="H274" s="49">
        <v>1</v>
      </c>
      <c r="I274" s="49" t="s">
        <v>58</v>
      </c>
      <c r="J274" s="50" t="str">
        <f t="shared" si="744"/>
        <v>-</v>
      </c>
      <c r="K274" s="50">
        <f t="shared" si="745"/>
        <v>-32768</v>
      </c>
      <c r="L274" s="50">
        <f t="shared" si="746"/>
        <v>32767</v>
      </c>
      <c r="M274" s="51" t="s">
        <v>209</v>
      </c>
      <c r="N274" s="28"/>
      <c r="O274" s="52"/>
      <c r="P274" s="52"/>
      <c r="Q274" s="52"/>
      <c r="R274" s="52"/>
      <c r="S274" s="140"/>
      <c r="T274" s="165"/>
      <c r="U274" s="165"/>
      <c r="V274" s="165"/>
      <c r="W274" s="28"/>
      <c r="X274" s="52">
        <f t="shared" ca="1" si="747"/>
        <v>-40</v>
      </c>
      <c r="Y274" s="32"/>
      <c r="AC274" s="12">
        <f t="shared" si="996"/>
        <v>1</v>
      </c>
      <c r="AD274" s="12" t="str">
        <f t="shared" ca="1" si="748"/>
        <v>0x10AC</v>
      </c>
      <c r="AE274" s="12" t="str">
        <f t="shared" si="749"/>
        <v>EE_MM3_LR</v>
      </c>
      <c r="AF274" s="12" t="str">
        <f t="shared" si="750"/>
        <v>-</v>
      </c>
      <c r="AG274" s="12" t="str">
        <f t="shared" si="751"/>
        <v>-</v>
      </c>
      <c r="AH274" s="12" t="str">
        <f t="shared" si="752"/>
        <v>-</v>
      </c>
      <c r="AI274" s="12" t="str">
        <f t="shared" si="753"/>
        <v>-</v>
      </c>
      <c r="AJ274" s="12" t="str">
        <f t="shared" si="754"/>
        <v>-</v>
      </c>
      <c r="AK274" s="12" t="str">
        <f t="shared" ca="1" si="755"/>
        <v>0x10AC</v>
      </c>
      <c r="AL274" s="12" t="str">
        <f t="shared" ca="1" si="756"/>
        <v>MLX</v>
      </c>
      <c r="AM274" s="22">
        <f t="shared" si="997"/>
        <v>0</v>
      </c>
      <c r="AN274" s="12" t="str">
        <f t="shared" ca="1" si="757"/>
        <v>0x10AC</v>
      </c>
      <c r="AO274" s="22" t="str">
        <f ca="1">IF(AF274="-",VLOOKUP(AD274,MemoryView!$A$3:$F$108,6,0),MID(VLOOKUP(AF274,MemoryView!$BD$3:$BE$108,2,0),15-AI274+1,AH274))</f>
        <v>FFD8</v>
      </c>
      <c r="AP274" s="22">
        <f t="shared" ca="1" si="758"/>
        <v>65496</v>
      </c>
      <c r="AQ274" s="53" t="str">
        <f t="shared" si="759"/>
        <v>-</v>
      </c>
      <c r="AR274" s="54" t="str">
        <f t="shared" ca="1" si="760"/>
        <v>EE_MEM #(`PARAM(16'h10AC, 0, 16, 1)) EE_MM3_LR(); bit signed [16-1:0] EE_MM3_LR_V; assign EE_MM3_LR_V = EE_MM3_LR.GET;</v>
      </c>
      <c r="AS274" s="12" t="str">
        <f t="shared" ca="1" si="761"/>
        <v>EE_MM3_LR</v>
      </c>
    </row>
    <row r="275" spans="2:45" ht="25.5">
      <c r="B275" s="55" t="str">
        <f t="shared" ca="1" si="743"/>
        <v>MLX</v>
      </c>
      <c r="C275" s="55" t="s">
        <v>58</v>
      </c>
      <c r="D275" s="56" t="str">
        <f>RIGHT(C274,LEN(C274)-3)</f>
        <v>MM3_LR</v>
      </c>
      <c r="E275" s="57" t="str">
        <f ca="1">INDIRECT(ADDRESS(ROW()-1,COLUMN()))</f>
        <v>0x10AC</v>
      </c>
      <c r="F275" s="57">
        <v>16</v>
      </c>
      <c r="G275" s="57">
        <v>0</v>
      </c>
      <c r="H275" s="57">
        <v>1</v>
      </c>
      <c r="I275" s="57" t="s">
        <v>76</v>
      </c>
      <c r="J275" s="50" t="str">
        <f t="shared" si="744"/>
        <v>[15:0]</v>
      </c>
      <c r="K275" s="50">
        <f t="shared" si="745"/>
        <v>-32768</v>
      </c>
      <c r="L275" s="50">
        <f t="shared" si="746"/>
        <v>32767</v>
      </c>
      <c r="M275" s="58" t="s">
        <v>210</v>
      </c>
      <c r="N275" s="28"/>
      <c r="O275" s="57">
        <v>-40</v>
      </c>
      <c r="P275" s="57">
        <f>O275</f>
        <v>-40</v>
      </c>
      <c r="Q275" s="57">
        <f>O275</f>
        <v>-40</v>
      </c>
      <c r="R275" s="57">
        <f>O275</f>
        <v>-40</v>
      </c>
      <c r="S275" s="163">
        <f>P275</f>
        <v>-40</v>
      </c>
      <c r="T275" s="163">
        <v>-40</v>
      </c>
      <c r="U275" s="163">
        <f>S275</f>
        <v>-40</v>
      </c>
      <c r="V275" s="163">
        <f t="shared" si="995"/>
        <v>-40</v>
      </c>
      <c r="W275" s="59"/>
      <c r="X275" s="57">
        <f t="shared" ca="1" si="747"/>
        <v>-40</v>
      </c>
      <c r="Y275" s="32"/>
      <c r="AC275" s="12" t="b">
        <f t="shared" si="996"/>
        <v>1</v>
      </c>
      <c r="AD275" s="12" t="str">
        <f t="shared" si="748"/>
        <v>-</v>
      </c>
      <c r="AE275" s="12" t="str">
        <f t="shared" si="749"/>
        <v>-</v>
      </c>
      <c r="AF275" s="12" t="str">
        <f t="shared" ca="1" si="750"/>
        <v>0x10AC</v>
      </c>
      <c r="AG275" s="12" t="str">
        <f t="shared" si="751"/>
        <v>MM3_LR</v>
      </c>
      <c r="AH275" s="12">
        <f t="shared" si="752"/>
        <v>16</v>
      </c>
      <c r="AI275" s="12">
        <f t="shared" si="753"/>
        <v>15</v>
      </c>
      <c r="AJ275" s="12">
        <f t="shared" si="754"/>
        <v>0</v>
      </c>
      <c r="AK275" s="12">
        <f t="shared" si="755"/>
        <v>65535</v>
      </c>
      <c r="AL275" s="12" t="str">
        <f t="shared" si="756"/>
        <v>-</v>
      </c>
      <c r="AM275" s="22">
        <f t="shared" si="997"/>
        <v>-40</v>
      </c>
      <c r="AN275" s="12">
        <f t="shared" si="757"/>
        <v>65496</v>
      </c>
      <c r="AO275" s="22" t="str">
        <f ca="1">IF(AF275="-",VLOOKUP(AD275,MemoryView!$A$3:$F$108,6,0),MID(VLOOKUP(AF275,MemoryView!$BD$3:$BE$108,2,0),15-AI275+1,AH275))</f>
        <v>1111111111011000</v>
      </c>
      <c r="AP275" s="22">
        <f t="shared" ca="1" si="758"/>
        <v>65496</v>
      </c>
      <c r="AQ275" s="53" t="str">
        <f t="shared" si="759"/>
        <v>`EE_MNG.MM3_LR.SET(-40);        // [-32768..32767]</v>
      </c>
      <c r="AR275" s="54" t="str">
        <f t="shared" ca="1" si="760"/>
        <v>EE_MEM #(`PARAM(16'h10AC, 0, 16, 1)) MM3_LR(); bit signed [16-1:0] MM3_LR_V; assign MM3_LR_V = MM3_LR.GET;</v>
      </c>
      <c r="AS275" s="12" t="str">
        <f t="shared" ca="1" si="761"/>
        <v>EE_MM3_LR</v>
      </c>
    </row>
    <row r="276" spans="2:45">
      <c r="B276" s="47" t="str">
        <f t="shared" ca="1" si="743"/>
        <v>MLX</v>
      </c>
      <c r="C276" s="47" t="s">
        <v>214</v>
      </c>
      <c r="D276" s="48" t="s">
        <v>58</v>
      </c>
      <c r="E276" s="60" t="str">
        <f ca="1">"0x"&amp;DEC2HEX(HEX2DEC(RIGHT(INDIRECT(ADDRESS(ROW()-1,COLUMN())),4))+2,4)</f>
        <v>0x10AE</v>
      </c>
      <c r="F276" s="49">
        <v>16</v>
      </c>
      <c r="G276" s="49">
        <v>0</v>
      </c>
      <c r="H276" s="49">
        <v>1</v>
      </c>
      <c r="I276" s="49" t="s">
        <v>58</v>
      </c>
      <c r="J276" s="50" t="str">
        <f t="shared" si="744"/>
        <v>-</v>
      </c>
      <c r="K276" s="50">
        <f t="shared" si="745"/>
        <v>-32768</v>
      </c>
      <c r="L276" s="50">
        <f t="shared" si="746"/>
        <v>32767</v>
      </c>
      <c r="M276" s="51" t="s">
        <v>215</v>
      </c>
      <c r="N276" s="28"/>
      <c r="O276" s="52"/>
      <c r="P276" s="52"/>
      <c r="Q276" s="52"/>
      <c r="R276" s="52"/>
      <c r="S276" s="140"/>
      <c r="T276" s="165"/>
      <c r="U276" s="165"/>
      <c r="V276" s="165"/>
      <c r="W276" s="28"/>
      <c r="X276" s="52">
        <f t="shared" ca="1" si="747"/>
        <v>19989</v>
      </c>
      <c r="Y276" s="32"/>
      <c r="AC276" s="12">
        <f t="shared" si="996"/>
        <v>1</v>
      </c>
      <c r="AD276" s="12" t="str">
        <f t="shared" ca="1" si="748"/>
        <v>0x10AE</v>
      </c>
      <c r="AE276" s="12" t="str">
        <f t="shared" si="749"/>
        <v>EE_RP0</v>
      </c>
      <c r="AF276" s="12" t="str">
        <f t="shared" si="750"/>
        <v>-</v>
      </c>
      <c r="AG276" s="12" t="str">
        <f t="shared" si="751"/>
        <v>-</v>
      </c>
      <c r="AH276" s="12" t="str">
        <f t="shared" si="752"/>
        <v>-</v>
      </c>
      <c r="AI276" s="12" t="str">
        <f t="shared" si="753"/>
        <v>-</v>
      </c>
      <c r="AJ276" s="12" t="str">
        <f t="shared" si="754"/>
        <v>-</v>
      </c>
      <c r="AK276" s="12" t="str">
        <f t="shared" ca="1" si="755"/>
        <v>0x10AE</v>
      </c>
      <c r="AL276" s="12" t="str">
        <f t="shared" ca="1" si="756"/>
        <v>MLX</v>
      </c>
      <c r="AM276" s="22">
        <f t="shared" si="997"/>
        <v>0</v>
      </c>
      <c r="AN276" s="12" t="str">
        <f t="shared" ca="1" si="757"/>
        <v>0x10AE</v>
      </c>
      <c r="AO276" s="22" t="str">
        <f ca="1">IF(AF276="-",VLOOKUP(AD276,MemoryView!$A$3:$F$108,6,0),MID(VLOOKUP(AF276,MemoryView!$BD$3:$BE$108,2,0),15-AI276+1,AH276))</f>
        <v>4E15</v>
      </c>
      <c r="AP276" s="22">
        <f t="shared" ca="1" si="758"/>
        <v>19989</v>
      </c>
      <c r="AQ276" s="53" t="str">
        <f t="shared" si="759"/>
        <v>-</v>
      </c>
      <c r="AR276" s="54" t="str">
        <f t="shared" ca="1" si="760"/>
        <v>EE_MEM #(`PARAM(16'h10AE, 0, 16, 1)) EE_RP0(); bit signed [16-1:0] EE_RP0_V; assign EE_RP0_V = EE_RP0.GET;</v>
      </c>
      <c r="AS276" s="12" t="str">
        <f t="shared" ca="1" si="761"/>
        <v>EE_RP0</v>
      </c>
    </row>
    <row r="277" spans="2:45">
      <c r="B277" s="55" t="str">
        <f t="shared" ca="1" si="743"/>
        <v>MLX</v>
      </c>
      <c r="C277" s="55" t="s">
        <v>58</v>
      </c>
      <c r="D277" s="56" t="str">
        <f>RIGHT(C276,LEN(C276)-3)</f>
        <v>RP0</v>
      </c>
      <c r="E277" s="57" t="str">
        <f ca="1">INDIRECT(ADDRESS(ROW()-1,COLUMN()))</f>
        <v>0x10AE</v>
      </c>
      <c r="F277" s="57">
        <v>16</v>
      </c>
      <c r="G277" s="57">
        <v>0</v>
      </c>
      <c r="H277" s="57">
        <v>1</v>
      </c>
      <c r="I277" s="57" t="s">
        <v>76</v>
      </c>
      <c r="J277" s="50" t="str">
        <f t="shared" si="744"/>
        <v>[15:0]</v>
      </c>
      <c r="K277" s="50">
        <f t="shared" si="745"/>
        <v>-32768</v>
      </c>
      <c r="L277" s="50">
        <f t="shared" si="746"/>
        <v>32767</v>
      </c>
      <c r="M277" s="58" t="s">
        <v>216</v>
      </c>
      <c r="N277" s="28"/>
      <c r="O277" s="57">
        <v>19989</v>
      </c>
      <c r="P277" s="57">
        <f>O277</f>
        <v>19989</v>
      </c>
      <c r="Q277" s="57">
        <f>O277</f>
        <v>19989</v>
      </c>
      <c r="R277" s="57">
        <f>O277</f>
        <v>19989</v>
      </c>
      <c r="S277" s="163">
        <f>P277</f>
        <v>19989</v>
      </c>
      <c r="T277" s="163">
        <v>19989</v>
      </c>
      <c r="U277" s="163">
        <f>S277</f>
        <v>19989</v>
      </c>
      <c r="V277" s="163">
        <f t="shared" si="995"/>
        <v>19989</v>
      </c>
      <c r="W277" s="59"/>
      <c r="X277" s="57">
        <f t="shared" ca="1" si="747"/>
        <v>19989</v>
      </c>
      <c r="Y277" s="32"/>
      <c r="AC277" s="12" t="b">
        <f t="shared" ref="AC277:AC308" si="1003">IF($AG277="-",1,COUNTIF($AG$3:$AG$319,$AG277)&lt;2)</f>
        <v>1</v>
      </c>
      <c r="AD277" s="12" t="str">
        <f t="shared" si="748"/>
        <v>-</v>
      </c>
      <c r="AE277" s="12" t="str">
        <f t="shared" si="749"/>
        <v>-</v>
      </c>
      <c r="AF277" s="12" t="str">
        <f t="shared" ca="1" si="750"/>
        <v>0x10AE</v>
      </c>
      <c r="AG277" s="12" t="str">
        <f t="shared" si="751"/>
        <v>RP0</v>
      </c>
      <c r="AH277" s="12">
        <f t="shared" si="752"/>
        <v>16</v>
      </c>
      <c r="AI277" s="12">
        <f t="shared" si="753"/>
        <v>15</v>
      </c>
      <c r="AJ277" s="12">
        <f t="shared" si="754"/>
        <v>0</v>
      </c>
      <c r="AK277" s="12">
        <f t="shared" si="755"/>
        <v>65535</v>
      </c>
      <c r="AL277" s="12" t="str">
        <f t="shared" si="756"/>
        <v>-</v>
      </c>
      <c r="AM277" s="22">
        <f t="shared" ref="AM277:AM308" si="1004">HLOOKUP($AM$2,$N$2:$W$319,ROW()-ROW($AM$2)+1,0)</f>
        <v>19989</v>
      </c>
      <c r="AN277" s="12">
        <f t="shared" si="757"/>
        <v>19989</v>
      </c>
      <c r="AO277" s="22" t="str">
        <f ca="1">IF(AF277="-",VLOOKUP(AD277,MemoryView!$A$3:$F$108,6,0),MID(VLOOKUP(AF277,MemoryView!$BD$3:$BE$108,2,0),15-AI277+1,AH277))</f>
        <v>0100111000010101</v>
      </c>
      <c r="AP277" s="22">
        <f t="shared" ca="1" si="758"/>
        <v>19989</v>
      </c>
      <c r="AQ277" s="53" t="str">
        <f t="shared" si="759"/>
        <v>`EE_MNG.RP0.SET(19989);        // [-32768..32767]</v>
      </c>
      <c r="AR277" s="54" t="str">
        <f t="shared" ca="1" si="760"/>
        <v>EE_MEM #(`PARAM(16'h10AE, 0, 16, 1)) RP0(); bit signed [16-1:0] RP0_V; assign RP0_V = RP0.GET;</v>
      </c>
      <c r="AS277" s="12" t="str">
        <f t="shared" ca="1" si="761"/>
        <v>EE_RP0</v>
      </c>
    </row>
    <row r="278" spans="2:45">
      <c r="B278" s="47" t="str">
        <f t="shared" ca="1" si="743"/>
        <v>MLX</v>
      </c>
      <c r="C278" s="47" t="s">
        <v>217</v>
      </c>
      <c r="D278" s="48" t="s">
        <v>58</v>
      </c>
      <c r="E278" s="60" t="str">
        <f ca="1">"0x"&amp;DEC2HEX(HEX2DEC(RIGHT(INDIRECT(ADDRESS(ROW()-1,COLUMN())),4))+2,4)</f>
        <v>0x10B0</v>
      </c>
      <c r="F278" s="49">
        <v>16</v>
      </c>
      <c r="G278" s="49">
        <v>0</v>
      </c>
      <c r="H278" s="49">
        <v>1</v>
      </c>
      <c r="I278" s="49" t="s">
        <v>58</v>
      </c>
      <c r="J278" s="50" t="str">
        <f t="shared" si="744"/>
        <v>-</v>
      </c>
      <c r="K278" s="50">
        <f t="shared" si="745"/>
        <v>-32768</v>
      </c>
      <c r="L278" s="50">
        <f t="shared" si="746"/>
        <v>32767</v>
      </c>
      <c r="M278" s="51" t="s">
        <v>215</v>
      </c>
      <c r="N278" s="28"/>
      <c r="O278" s="52"/>
      <c r="P278" s="52"/>
      <c r="Q278" s="52"/>
      <c r="R278" s="52"/>
      <c r="S278" s="140"/>
      <c r="T278" s="165"/>
      <c r="U278" s="165"/>
      <c r="V278" s="165"/>
      <c r="W278" s="28"/>
      <c r="X278" s="52">
        <f t="shared" ca="1" si="747"/>
        <v>-433</v>
      </c>
      <c r="Y278" s="32"/>
      <c r="AC278" s="12">
        <f t="shared" si="1003"/>
        <v>1</v>
      </c>
      <c r="AD278" s="12" t="str">
        <f t="shared" ca="1" si="748"/>
        <v>0x10B0</v>
      </c>
      <c r="AE278" s="12" t="str">
        <f t="shared" si="749"/>
        <v>EE_RP1</v>
      </c>
      <c r="AF278" s="12" t="str">
        <f t="shared" si="750"/>
        <v>-</v>
      </c>
      <c r="AG278" s="12" t="str">
        <f t="shared" si="751"/>
        <v>-</v>
      </c>
      <c r="AH278" s="12" t="str">
        <f t="shared" si="752"/>
        <v>-</v>
      </c>
      <c r="AI278" s="12" t="str">
        <f t="shared" si="753"/>
        <v>-</v>
      </c>
      <c r="AJ278" s="12" t="str">
        <f t="shared" si="754"/>
        <v>-</v>
      </c>
      <c r="AK278" s="12" t="str">
        <f t="shared" ca="1" si="755"/>
        <v>0x10B0</v>
      </c>
      <c r="AL278" s="12" t="str">
        <f t="shared" ca="1" si="756"/>
        <v>MLX</v>
      </c>
      <c r="AM278" s="22">
        <f t="shared" si="1004"/>
        <v>0</v>
      </c>
      <c r="AN278" s="12" t="str">
        <f t="shared" ca="1" si="757"/>
        <v>0x10B0</v>
      </c>
      <c r="AO278" s="22" t="str">
        <f ca="1">IF(AF278="-",VLOOKUP(AD278,MemoryView!$A$3:$F$108,6,0),MID(VLOOKUP(AF278,MemoryView!$BD$3:$BE$108,2,0),15-AI278+1,AH278))</f>
        <v>FE4F</v>
      </c>
      <c r="AP278" s="22">
        <f t="shared" ca="1" si="758"/>
        <v>65103</v>
      </c>
      <c r="AQ278" s="53" t="str">
        <f t="shared" si="759"/>
        <v>-</v>
      </c>
      <c r="AR278" s="54" t="str">
        <f t="shared" ca="1" si="760"/>
        <v>EE_MEM #(`PARAM(16'h10B0, 0, 16, 1)) EE_RP1(); bit signed [16-1:0] EE_RP1_V; assign EE_RP1_V = EE_RP1.GET;</v>
      </c>
      <c r="AS278" s="12" t="str">
        <f t="shared" ca="1" si="761"/>
        <v>EE_RP1</v>
      </c>
    </row>
    <row r="279" spans="2:45">
      <c r="B279" s="55" t="str">
        <f t="shared" ca="1" si="743"/>
        <v>MLX</v>
      </c>
      <c r="C279" s="55" t="s">
        <v>58</v>
      </c>
      <c r="D279" s="56" t="str">
        <f>RIGHT(C278,LEN(C278)-3)</f>
        <v>RP1</v>
      </c>
      <c r="E279" s="57" t="str">
        <f ca="1">INDIRECT(ADDRESS(ROW()-1,COLUMN()))</f>
        <v>0x10B0</v>
      </c>
      <c r="F279" s="57">
        <v>16</v>
      </c>
      <c r="G279" s="57">
        <v>0</v>
      </c>
      <c r="H279" s="57">
        <v>1</v>
      </c>
      <c r="I279" s="57" t="s">
        <v>76</v>
      </c>
      <c r="J279" s="50" t="str">
        <f t="shared" si="744"/>
        <v>[15:0]</v>
      </c>
      <c r="K279" s="50">
        <f t="shared" si="745"/>
        <v>-32768</v>
      </c>
      <c r="L279" s="50">
        <f t="shared" si="746"/>
        <v>32767</v>
      </c>
      <c r="M279" s="58" t="s">
        <v>216</v>
      </c>
      <c r="N279" s="28"/>
      <c r="O279" s="57">
        <v>-433</v>
      </c>
      <c r="P279" s="57">
        <f>O279</f>
        <v>-433</v>
      </c>
      <c r="Q279" s="57">
        <f>O279</f>
        <v>-433</v>
      </c>
      <c r="R279" s="57">
        <f>O279</f>
        <v>-433</v>
      </c>
      <c r="S279" s="163">
        <f>P279</f>
        <v>-433</v>
      </c>
      <c r="T279" s="163">
        <v>-433</v>
      </c>
      <c r="U279" s="163">
        <f>S279</f>
        <v>-433</v>
      </c>
      <c r="V279" s="163">
        <f t="shared" si="995"/>
        <v>-433</v>
      </c>
      <c r="W279" s="59"/>
      <c r="X279" s="57">
        <f t="shared" ca="1" si="747"/>
        <v>-433</v>
      </c>
      <c r="Y279" s="32"/>
      <c r="AC279" s="12" t="b">
        <f t="shared" si="1003"/>
        <v>1</v>
      </c>
      <c r="AD279" s="12" t="str">
        <f t="shared" si="748"/>
        <v>-</v>
      </c>
      <c r="AE279" s="12" t="str">
        <f t="shared" si="749"/>
        <v>-</v>
      </c>
      <c r="AF279" s="12" t="str">
        <f t="shared" ca="1" si="750"/>
        <v>0x10B0</v>
      </c>
      <c r="AG279" s="12" t="str">
        <f t="shared" si="751"/>
        <v>RP1</v>
      </c>
      <c r="AH279" s="12">
        <f t="shared" si="752"/>
        <v>16</v>
      </c>
      <c r="AI279" s="12">
        <f t="shared" si="753"/>
        <v>15</v>
      </c>
      <c r="AJ279" s="12">
        <f t="shared" si="754"/>
        <v>0</v>
      </c>
      <c r="AK279" s="12">
        <f t="shared" si="755"/>
        <v>65535</v>
      </c>
      <c r="AL279" s="12" t="str">
        <f t="shared" si="756"/>
        <v>-</v>
      </c>
      <c r="AM279" s="22">
        <f t="shared" si="1004"/>
        <v>-433</v>
      </c>
      <c r="AN279" s="12">
        <f t="shared" si="757"/>
        <v>65103</v>
      </c>
      <c r="AO279" s="22" t="str">
        <f ca="1">IF(AF279="-",VLOOKUP(AD279,MemoryView!$A$3:$F$108,6,0),MID(VLOOKUP(AF279,MemoryView!$BD$3:$BE$108,2,0),15-AI279+1,AH279))</f>
        <v>1111111001001111</v>
      </c>
      <c r="AP279" s="22">
        <f t="shared" ca="1" si="758"/>
        <v>65103</v>
      </c>
      <c r="AQ279" s="53" t="str">
        <f t="shared" si="759"/>
        <v>`EE_MNG.RP1.SET(-433);        // [-32768..32767]</v>
      </c>
      <c r="AR279" s="54" t="str">
        <f t="shared" ca="1" si="760"/>
        <v>EE_MEM #(`PARAM(16'h10B0, 0, 16, 1)) RP1(); bit signed [16-1:0] RP1_V; assign RP1_V = RP1.GET;</v>
      </c>
      <c r="AS279" s="12" t="str">
        <f t="shared" ca="1" si="761"/>
        <v>EE_RP1</v>
      </c>
    </row>
    <row r="280" spans="2:45">
      <c r="B280" s="47" t="str">
        <f t="shared" ca="1" si="743"/>
        <v>MLX</v>
      </c>
      <c r="C280" s="47" t="s">
        <v>218</v>
      </c>
      <c r="D280" s="48" t="s">
        <v>58</v>
      </c>
      <c r="E280" s="60" t="str">
        <f ca="1">"0x"&amp;DEC2HEX(HEX2DEC(RIGHT(INDIRECT(ADDRESS(ROW()-1,COLUMN())),4))+2,4)</f>
        <v>0x10B2</v>
      </c>
      <c r="F280" s="49">
        <v>16</v>
      </c>
      <c r="G280" s="49">
        <v>0</v>
      </c>
      <c r="H280" s="49">
        <v>1</v>
      </c>
      <c r="I280" s="49" t="s">
        <v>58</v>
      </c>
      <c r="J280" s="50" t="str">
        <f t="shared" si="744"/>
        <v>-</v>
      </c>
      <c r="K280" s="50">
        <f t="shared" si="745"/>
        <v>-32768</v>
      </c>
      <c r="L280" s="50">
        <f t="shared" si="746"/>
        <v>32767</v>
      </c>
      <c r="M280" s="51" t="s">
        <v>215</v>
      </c>
      <c r="N280" s="28"/>
      <c r="O280" s="52"/>
      <c r="P280" s="52"/>
      <c r="Q280" s="52"/>
      <c r="R280" s="52"/>
      <c r="S280" s="140"/>
      <c r="T280" s="165"/>
      <c r="U280" s="165"/>
      <c r="V280" s="165"/>
      <c r="W280" s="28"/>
      <c r="X280" s="52">
        <f t="shared" ca="1" si="747"/>
        <v>1374</v>
      </c>
      <c r="Y280" s="32"/>
      <c r="AC280" s="12">
        <f t="shared" si="1003"/>
        <v>1</v>
      </c>
      <c r="AD280" s="12" t="str">
        <f t="shared" ca="1" si="748"/>
        <v>0x10B2</v>
      </c>
      <c r="AE280" s="12" t="str">
        <f t="shared" si="749"/>
        <v>EE_RP2</v>
      </c>
      <c r="AF280" s="12" t="str">
        <f t="shared" si="750"/>
        <v>-</v>
      </c>
      <c r="AG280" s="12" t="str">
        <f t="shared" si="751"/>
        <v>-</v>
      </c>
      <c r="AH280" s="12" t="str">
        <f t="shared" si="752"/>
        <v>-</v>
      </c>
      <c r="AI280" s="12" t="str">
        <f t="shared" si="753"/>
        <v>-</v>
      </c>
      <c r="AJ280" s="12" t="str">
        <f t="shared" si="754"/>
        <v>-</v>
      </c>
      <c r="AK280" s="12" t="str">
        <f t="shared" ca="1" si="755"/>
        <v>0x10B2</v>
      </c>
      <c r="AL280" s="12" t="str">
        <f t="shared" ca="1" si="756"/>
        <v>MLX</v>
      </c>
      <c r="AM280" s="22">
        <f t="shared" si="1004"/>
        <v>0</v>
      </c>
      <c r="AN280" s="12" t="str">
        <f t="shared" ca="1" si="757"/>
        <v>0x10B2</v>
      </c>
      <c r="AO280" s="22" t="str">
        <f ca="1">IF(AF280="-",VLOOKUP(AD280,MemoryView!$A$3:$F$108,6,0),MID(VLOOKUP(AF280,MemoryView!$BD$3:$BE$108,2,0),15-AI280+1,AH280))</f>
        <v>055E</v>
      </c>
      <c r="AP280" s="22">
        <f t="shared" ca="1" si="758"/>
        <v>1374</v>
      </c>
      <c r="AQ280" s="53" t="str">
        <f t="shared" si="759"/>
        <v>-</v>
      </c>
      <c r="AR280" s="54" t="str">
        <f t="shared" ca="1" si="760"/>
        <v>EE_MEM #(`PARAM(16'h10B2, 0, 16, 1)) EE_RP2(); bit signed [16-1:0] EE_RP2_V; assign EE_RP2_V = EE_RP2.GET;</v>
      </c>
      <c r="AS280" s="12" t="str">
        <f t="shared" ca="1" si="761"/>
        <v>EE_RP2</v>
      </c>
    </row>
    <row r="281" spans="2:45">
      <c r="B281" s="55" t="str">
        <f t="shared" ca="1" si="743"/>
        <v>MLX</v>
      </c>
      <c r="C281" s="55" t="s">
        <v>58</v>
      </c>
      <c r="D281" s="56" t="str">
        <f>RIGHT(C280,LEN(C280)-3)</f>
        <v>RP2</v>
      </c>
      <c r="E281" s="57" t="str">
        <f ca="1">INDIRECT(ADDRESS(ROW()-1,COLUMN()))</f>
        <v>0x10B2</v>
      </c>
      <c r="F281" s="57">
        <v>16</v>
      </c>
      <c r="G281" s="57">
        <v>0</v>
      </c>
      <c r="H281" s="57">
        <v>1</v>
      </c>
      <c r="I281" s="57" t="s">
        <v>76</v>
      </c>
      <c r="J281" s="50" t="str">
        <f t="shared" si="744"/>
        <v>[15:0]</v>
      </c>
      <c r="K281" s="50">
        <f t="shared" si="745"/>
        <v>-32768</v>
      </c>
      <c r="L281" s="50">
        <f t="shared" si="746"/>
        <v>32767</v>
      </c>
      <c r="M281" s="58" t="s">
        <v>216</v>
      </c>
      <c r="N281" s="28"/>
      <c r="O281" s="57">
        <v>1374</v>
      </c>
      <c r="P281" s="57">
        <f>O281</f>
        <v>1374</v>
      </c>
      <c r="Q281" s="57">
        <f>O281</f>
        <v>1374</v>
      </c>
      <c r="R281" s="57">
        <f>O281</f>
        <v>1374</v>
      </c>
      <c r="S281" s="163">
        <f>P281</f>
        <v>1374</v>
      </c>
      <c r="T281" s="163">
        <v>1374</v>
      </c>
      <c r="U281" s="163">
        <f>S281</f>
        <v>1374</v>
      </c>
      <c r="V281" s="163">
        <f t="shared" si="995"/>
        <v>1374</v>
      </c>
      <c r="W281" s="59"/>
      <c r="X281" s="57">
        <f t="shared" ca="1" si="747"/>
        <v>1374</v>
      </c>
      <c r="Y281" s="32"/>
      <c r="AC281" s="12" t="b">
        <f t="shared" si="1003"/>
        <v>1</v>
      </c>
      <c r="AD281" s="12" t="str">
        <f t="shared" si="748"/>
        <v>-</v>
      </c>
      <c r="AE281" s="12" t="str">
        <f t="shared" si="749"/>
        <v>-</v>
      </c>
      <c r="AF281" s="12" t="str">
        <f t="shared" ca="1" si="750"/>
        <v>0x10B2</v>
      </c>
      <c r="AG281" s="12" t="str">
        <f t="shared" si="751"/>
        <v>RP2</v>
      </c>
      <c r="AH281" s="12">
        <f t="shared" si="752"/>
        <v>16</v>
      </c>
      <c r="AI281" s="12">
        <f t="shared" si="753"/>
        <v>15</v>
      </c>
      <c r="AJ281" s="12">
        <f t="shared" si="754"/>
        <v>0</v>
      </c>
      <c r="AK281" s="12">
        <f t="shared" si="755"/>
        <v>65535</v>
      </c>
      <c r="AL281" s="12" t="str">
        <f t="shared" si="756"/>
        <v>-</v>
      </c>
      <c r="AM281" s="22">
        <f t="shared" si="1004"/>
        <v>1374</v>
      </c>
      <c r="AN281" s="12">
        <f t="shared" si="757"/>
        <v>1374</v>
      </c>
      <c r="AO281" s="22" t="str">
        <f ca="1">IF(AF281="-",VLOOKUP(AD281,MemoryView!$A$3:$F$108,6,0),MID(VLOOKUP(AF281,MemoryView!$BD$3:$BE$108,2,0),15-AI281+1,AH281))</f>
        <v>0000010101011110</v>
      </c>
      <c r="AP281" s="22">
        <f t="shared" ca="1" si="758"/>
        <v>1374</v>
      </c>
      <c r="AQ281" s="53" t="str">
        <f t="shared" si="759"/>
        <v>`EE_MNG.RP2.SET(1374);        // [-32768..32767]</v>
      </c>
      <c r="AR281" s="54" t="str">
        <f t="shared" ca="1" si="760"/>
        <v>EE_MEM #(`PARAM(16'h10B2, 0, 16, 1)) RP2(); bit signed [16-1:0] RP2_V; assign RP2_V = RP2.GET;</v>
      </c>
      <c r="AS281" s="12" t="str">
        <f t="shared" ca="1" si="761"/>
        <v>EE_RP2</v>
      </c>
    </row>
    <row r="282" spans="2:45">
      <c r="B282" s="47" t="str">
        <f t="shared" ca="1" si="743"/>
        <v>MLX</v>
      </c>
      <c r="C282" s="47" t="s">
        <v>219</v>
      </c>
      <c r="D282" s="48" t="s">
        <v>58</v>
      </c>
      <c r="E282" s="60" t="str">
        <f ca="1">"0x"&amp;DEC2HEX(HEX2DEC(RIGHT(INDIRECT(ADDRESS(ROW()-1,COLUMN())),4))+2,4)</f>
        <v>0x10B4</v>
      </c>
      <c r="F282" s="49">
        <v>16</v>
      </c>
      <c r="G282" s="49">
        <v>0</v>
      </c>
      <c r="H282" s="49">
        <v>1</v>
      </c>
      <c r="I282" s="49" t="s">
        <v>58</v>
      </c>
      <c r="J282" s="50" t="str">
        <f t="shared" si="744"/>
        <v>-</v>
      </c>
      <c r="K282" s="50">
        <f t="shared" si="745"/>
        <v>-32768</v>
      </c>
      <c r="L282" s="50">
        <f t="shared" si="746"/>
        <v>32767</v>
      </c>
      <c r="M282" s="51" t="s">
        <v>215</v>
      </c>
      <c r="N282" s="28"/>
      <c r="O282" s="52"/>
      <c r="P282" s="52"/>
      <c r="Q282" s="52"/>
      <c r="R282" s="52"/>
      <c r="S282" s="140"/>
      <c r="T282" s="165"/>
      <c r="U282" s="165"/>
      <c r="V282" s="165"/>
      <c r="W282" s="28"/>
      <c r="X282" s="52">
        <f t="shared" ca="1" si="747"/>
        <v>-67</v>
      </c>
      <c r="Y282" s="32"/>
      <c r="AC282" s="12">
        <f t="shared" si="1003"/>
        <v>1</v>
      </c>
      <c r="AD282" s="12" t="str">
        <f t="shared" ca="1" si="748"/>
        <v>0x10B4</v>
      </c>
      <c r="AE282" s="12" t="str">
        <f t="shared" si="749"/>
        <v>EE_RP3</v>
      </c>
      <c r="AF282" s="12" t="str">
        <f t="shared" si="750"/>
        <v>-</v>
      </c>
      <c r="AG282" s="12" t="str">
        <f t="shared" si="751"/>
        <v>-</v>
      </c>
      <c r="AH282" s="12" t="str">
        <f t="shared" si="752"/>
        <v>-</v>
      </c>
      <c r="AI282" s="12" t="str">
        <f t="shared" si="753"/>
        <v>-</v>
      </c>
      <c r="AJ282" s="12" t="str">
        <f t="shared" si="754"/>
        <v>-</v>
      </c>
      <c r="AK282" s="12" t="str">
        <f t="shared" ca="1" si="755"/>
        <v>0x10B4</v>
      </c>
      <c r="AL282" s="12" t="str">
        <f t="shared" ca="1" si="756"/>
        <v>MLX</v>
      </c>
      <c r="AM282" s="22">
        <f t="shared" si="1004"/>
        <v>0</v>
      </c>
      <c r="AN282" s="12" t="str">
        <f t="shared" ca="1" si="757"/>
        <v>0x10B4</v>
      </c>
      <c r="AO282" s="22" t="str">
        <f ca="1">IF(AF282="-",VLOOKUP(AD282,MemoryView!$A$3:$F$108,6,0),MID(VLOOKUP(AF282,MemoryView!$BD$3:$BE$108,2,0),15-AI282+1,AH282))</f>
        <v>FFBD</v>
      </c>
      <c r="AP282" s="22">
        <f t="shared" ca="1" si="758"/>
        <v>65469</v>
      </c>
      <c r="AQ282" s="53" t="str">
        <f t="shared" si="759"/>
        <v>-</v>
      </c>
      <c r="AR282" s="54" t="str">
        <f t="shared" ca="1" si="760"/>
        <v>EE_MEM #(`PARAM(16'h10B4, 0, 16, 1)) EE_RP3(); bit signed [16-1:0] EE_RP3_V; assign EE_RP3_V = EE_RP3.GET;</v>
      </c>
      <c r="AS282" s="12" t="str">
        <f t="shared" ca="1" si="761"/>
        <v>EE_RP3</v>
      </c>
    </row>
    <row r="283" spans="2:45">
      <c r="B283" s="55" t="str">
        <f t="shared" ca="1" si="743"/>
        <v>MLX</v>
      </c>
      <c r="C283" s="55" t="s">
        <v>58</v>
      </c>
      <c r="D283" s="56" t="str">
        <f>RIGHT(C282,LEN(C282)-3)</f>
        <v>RP3</v>
      </c>
      <c r="E283" s="57" t="str">
        <f ca="1">INDIRECT(ADDRESS(ROW()-1,COLUMN()))</f>
        <v>0x10B4</v>
      </c>
      <c r="F283" s="57">
        <v>16</v>
      </c>
      <c r="G283" s="57">
        <v>0</v>
      </c>
      <c r="H283" s="57">
        <v>1</v>
      </c>
      <c r="I283" s="57" t="s">
        <v>76</v>
      </c>
      <c r="J283" s="50" t="str">
        <f t="shared" si="744"/>
        <v>[15:0]</v>
      </c>
      <c r="K283" s="50">
        <f t="shared" si="745"/>
        <v>-32768</v>
      </c>
      <c r="L283" s="50">
        <f t="shared" si="746"/>
        <v>32767</v>
      </c>
      <c r="M283" s="58" t="s">
        <v>216</v>
      </c>
      <c r="N283" s="28"/>
      <c r="O283" s="57">
        <v>-67</v>
      </c>
      <c r="P283" s="57">
        <f>O283</f>
        <v>-67</v>
      </c>
      <c r="Q283" s="57">
        <f>O283</f>
        <v>-67</v>
      </c>
      <c r="R283" s="57">
        <f>O283</f>
        <v>-67</v>
      </c>
      <c r="S283" s="163">
        <f>P283</f>
        <v>-67</v>
      </c>
      <c r="T283" s="163">
        <v>-67</v>
      </c>
      <c r="U283" s="163">
        <f>S283</f>
        <v>-67</v>
      </c>
      <c r="V283" s="163">
        <f t="shared" si="995"/>
        <v>-67</v>
      </c>
      <c r="W283" s="59"/>
      <c r="X283" s="57">
        <f t="shared" ca="1" si="747"/>
        <v>-67</v>
      </c>
      <c r="Y283" s="32"/>
      <c r="AC283" s="12" t="b">
        <f t="shared" si="1003"/>
        <v>1</v>
      </c>
      <c r="AD283" s="12" t="str">
        <f t="shared" si="748"/>
        <v>-</v>
      </c>
      <c r="AE283" s="12" t="str">
        <f t="shared" si="749"/>
        <v>-</v>
      </c>
      <c r="AF283" s="12" t="str">
        <f t="shared" ca="1" si="750"/>
        <v>0x10B4</v>
      </c>
      <c r="AG283" s="12" t="str">
        <f t="shared" si="751"/>
        <v>RP3</v>
      </c>
      <c r="AH283" s="12">
        <f t="shared" si="752"/>
        <v>16</v>
      </c>
      <c r="AI283" s="12">
        <f t="shared" si="753"/>
        <v>15</v>
      </c>
      <c r="AJ283" s="12">
        <f t="shared" si="754"/>
        <v>0</v>
      </c>
      <c r="AK283" s="12">
        <f t="shared" si="755"/>
        <v>65535</v>
      </c>
      <c r="AL283" s="12" t="str">
        <f t="shared" si="756"/>
        <v>-</v>
      </c>
      <c r="AM283" s="22">
        <f t="shared" si="1004"/>
        <v>-67</v>
      </c>
      <c r="AN283" s="12">
        <f t="shared" si="757"/>
        <v>65469</v>
      </c>
      <c r="AO283" s="22" t="str">
        <f ca="1">IF(AF283="-",VLOOKUP(AD283,MemoryView!$A$3:$F$108,6,0),MID(VLOOKUP(AF283,MemoryView!$BD$3:$BE$108,2,0),15-AI283+1,AH283))</f>
        <v>1111111110111101</v>
      </c>
      <c r="AP283" s="22">
        <f t="shared" ca="1" si="758"/>
        <v>65469</v>
      </c>
      <c r="AQ283" s="53" t="str">
        <f t="shared" si="759"/>
        <v>`EE_MNG.RP3.SET(-67);        // [-32768..32767]</v>
      </c>
      <c r="AR283" s="54" t="str">
        <f t="shared" ca="1" si="760"/>
        <v>EE_MEM #(`PARAM(16'h10B4, 0, 16, 1)) RP3(); bit signed [16-1:0] RP3_V; assign RP3_V = RP3.GET;</v>
      </c>
      <c r="AS283" s="12" t="str">
        <f t="shared" ca="1" si="761"/>
        <v>EE_RP3</v>
      </c>
    </row>
    <row r="284" spans="2:45">
      <c r="B284" s="47" t="str">
        <f t="shared" ca="1" si="743"/>
        <v>MLX</v>
      </c>
      <c r="C284" s="47" t="s">
        <v>220</v>
      </c>
      <c r="D284" s="48" t="s">
        <v>58</v>
      </c>
      <c r="E284" s="60" t="str">
        <f ca="1">"0x"&amp;DEC2HEX(HEX2DEC(RIGHT(INDIRECT(ADDRESS(ROW()-1,COLUMN())),4))+2,4)</f>
        <v>0x10B6</v>
      </c>
      <c r="F284" s="49">
        <v>16</v>
      </c>
      <c r="G284" s="49">
        <v>0</v>
      </c>
      <c r="H284" s="49">
        <v>0</v>
      </c>
      <c r="I284" s="49" t="s">
        <v>58</v>
      </c>
      <c r="J284" s="50" t="str">
        <f t="shared" si="744"/>
        <v>-</v>
      </c>
      <c r="K284" s="50">
        <f t="shared" si="745"/>
        <v>0</v>
      </c>
      <c r="L284" s="50">
        <f t="shared" si="746"/>
        <v>65535</v>
      </c>
      <c r="M284" s="51" t="s">
        <v>221</v>
      </c>
      <c r="N284" s="28"/>
      <c r="O284" s="52"/>
      <c r="P284" s="52"/>
      <c r="Q284" s="52"/>
      <c r="R284" s="52"/>
      <c r="S284" s="140"/>
      <c r="T284" s="165"/>
      <c r="U284" s="165"/>
      <c r="V284" s="165"/>
      <c r="W284" s="28"/>
      <c r="X284" s="52">
        <f t="shared" ca="1" si="747"/>
        <v>64143</v>
      </c>
      <c r="Y284" s="32"/>
      <c r="AC284" s="12">
        <f t="shared" si="1003"/>
        <v>1</v>
      </c>
      <c r="AD284" s="12" t="str">
        <f t="shared" ca="1" si="748"/>
        <v>0x10B6</v>
      </c>
      <c r="AE284" s="12" t="str">
        <f t="shared" si="749"/>
        <v>EE_ANA_DIAG0</v>
      </c>
      <c r="AF284" s="12" t="str">
        <f t="shared" si="750"/>
        <v>-</v>
      </c>
      <c r="AG284" s="12" t="str">
        <f t="shared" si="751"/>
        <v>-</v>
      </c>
      <c r="AH284" s="12" t="str">
        <f t="shared" si="752"/>
        <v>-</v>
      </c>
      <c r="AI284" s="12" t="str">
        <f t="shared" si="753"/>
        <v>-</v>
      </c>
      <c r="AJ284" s="12" t="str">
        <f t="shared" si="754"/>
        <v>-</v>
      </c>
      <c r="AK284" s="12" t="str">
        <f t="shared" ca="1" si="755"/>
        <v>0x10B6</v>
      </c>
      <c r="AL284" s="12" t="str">
        <f t="shared" ca="1" si="756"/>
        <v>MLX</v>
      </c>
      <c r="AM284" s="22">
        <f t="shared" si="1004"/>
        <v>0</v>
      </c>
      <c r="AN284" s="12" t="str">
        <f t="shared" ca="1" si="757"/>
        <v>0x10B6</v>
      </c>
      <c r="AO284" s="22" t="str">
        <f ca="1">IF(AF284="-",VLOOKUP(AD284,MemoryView!$A$3:$F$108,6,0),MID(VLOOKUP(AF284,MemoryView!$BD$3:$BE$108,2,0),15-AI284+1,AH284))</f>
        <v>FA8F</v>
      </c>
      <c r="AP284" s="22">
        <f t="shared" ca="1" si="758"/>
        <v>64143</v>
      </c>
      <c r="AQ284" s="53" t="str">
        <f t="shared" si="759"/>
        <v>-</v>
      </c>
      <c r="AR284" s="54" t="str">
        <f t="shared" ca="1" si="760"/>
        <v>EE_MEM #(`PARAM(16'h10B6, 0, 16, 0)) EE_ANA_DIAG0(); bit unsigned [16-1:0] EE_ANA_DIAG0_V; assign EE_ANA_DIAG0_V = EE_ANA_DIAG0.GET;</v>
      </c>
      <c r="AS284" s="12" t="str">
        <f t="shared" ca="1" si="761"/>
        <v>EE_ANA_DIAG0</v>
      </c>
    </row>
    <row r="285" spans="2:45" ht="76.5">
      <c r="B285" s="55" t="str">
        <f t="shared" ca="1" si="743"/>
        <v>MLX</v>
      </c>
      <c r="C285" s="55" t="s">
        <v>58</v>
      </c>
      <c r="D285" s="56" t="s">
        <v>222</v>
      </c>
      <c r="E285" s="57" t="str">
        <f ca="1">INDIRECT(ADDRESS(ROW()-1,COLUMN()))</f>
        <v>0x10B6</v>
      </c>
      <c r="F285" s="57">
        <v>9</v>
      </c>
      <c r="G285" s="57">
        <v>7</v>
      </c>
      <c r="H285" s="57">
        <v>1</v>
      </c>
      <c r="I285" s="57" t="s">
        <v>76</v>
      </c>
      <c r="J285" s="50" t="str">
        <f t="shared" si="744"/>
        <v>[15:7]</v>
      </c>
      <c r="K285" s="50">
        <f t="shared" si="745"/>
        <v>-256</v>
      </c>
      <c r="L285" s="50">
        <f t="shared" si="746"/>
        <v>255</v>
      </c>
      <c r="M285" s="58" t="s">
        <v>223</v>
      </c>
      <c r="N285" s="28"/>
      <c r="O285" s="57">
        <v>-11</v>
      </c>
      <c r="P285" s="57">
        <f t="shared" ref="P285:P286" si="1005">O285</f>
        <v>-11</v>
      </c>
      <c r="Q285" s="57">
        <f t="shared" ref="Q285:Q286" si="1006">O285</f>
        <v>-11</v>
      </c>
      <c r="R285" s="57">
        <f t="shared" ref="R285:S286" si="1007">O285</f>
        <v>-11</v>
      </c>
      <c r="S285" s="163">
        <f t="shared" si="1007"/>
        <v>-11</v>
      </c>
      <c r="T285" s="163">
        <v>-11</v>
      </c>
      <c r="U285" s="163">
        <f>S285</f>
        <v>-11</v>
      </c>
      <c r="V285" s="163">
        <f t="shared" si="995"/>
        <v>-11</v>
      </c>
      <c r="W285" s="59"/>
      <c r="X285" s="57">
        <f t="shared" ca="1" si="747"/>
        <v>-11</v>
      </c>
      <c r="Y285" s="32"/>
      <c r="AC285" s="12" t="b">
        <f t="shared" si="1003"/>
        <v>1</v>
      </c>
      <c r="AD285" s="12" t="str">
        <f t="shared" si="748"/>
        <v>-</v>
      </c>
      <c r="AE285" s="12" t="str">
        <f t="shared" si="749"/>
        <v>-</v>
      </c>
      <c r="AF285" s="12" t="str">
        <f t="shared" ca="1" si="750"/>
        <v>0x10B6</v>
      </c>
      <c r="AG285" s="12" t="str">
        <f t="shared" si="751"/>
        <v>VANA_BASE</v>
      </c>
      <c r="AH285" s="12">
        <f t="shared" si="752"/>
        <v>9</v>
      </c>
      <c r="AI285" s="12">
        <f t="shared" si="753"/>
        <v>15</v>
      </c>
      <c r="AJ285" s="12">
        <f t="shared" si="754"/>
        <v>7</v>
      </c>
      <c r="AK285" s="12">
        <f t="shared" si="755"/>
        <v>65408</v>
      </c>
      <c r="AL285" s="12" t="str">
        <f t="shared" si="756"/>
        <v>-</v>
      </c>
      <c r="AM285" s="22">
        <f t="shared" si="1004"/>
        <v>-11</v>
      </c>
      <c r="AN285" s="12">
        <f t="shared" si="757"/>
        <v>64128</v>
      </c>
      <c r="AO285" s="22" t="str">
        <f ca="1">IF(AF285="-",VLOOKUP(AD285,MemoryView!$A$3:$F$108,6,0),MID(VLOOKUP(AF285,MemoryView!$BD$3:$BE$108,2,0),15-AI285+1,AH285))</f>
        <v>111110101</v>
      </c>
      <c r="AP285" s="22">
        <f t="shared" ca="1" si="758"/>
        <v>501</v>
      </c>
      <c r="AQ285" s="53" t="str">
        <f t="shared" si="759"/>
        <v>`EE_MNG.VANA_BASE.SET(-11);        // [-256..255]</v>
      </c>
      <c r="AR285" s="54" t="str">
        <f t="shared" ca="1" si="760"/>
        <v>EE_MEM #(`PARAM(16'h10B6, 7, 9, 1)) VANA_BASE(); bit signed [9-1:0] VANA_BASE_V; assign VANA_BASE_V = VANA_BASE.GET;</v>
      </c>
      <c r="AS285" s="12" t="str">
        <f t="shared" ca="1" si="761"/>
        <v>EE_ANA_DIAG0</v>
      </c>
    </row>
    <row r="286" spans="2:45" ht="76.5">
      <c r="B286" s="55" t="str">
        <f t="shared" ca="1" si="743"/>
        <v>MLX</v>
      </c>
      <c r="C286" s="55" t="s">
        <v>58</v>
      </c>
      <c r="D286" s="56" t="s">
        <v>224</v>
      </c>
      <c r="E286" s="57" t="str">
        <f ca="1">INDIRECT(ADDRESS(ROW()-1,COLUMN()))</f>
        <v>0x10B6</v>
      </c>
      <c r="F286" s="57">
        <v>7</v>
      </c>
      <c r="G286" s="57">
        <v>0</v>
      </c>
      <c r="H286" s="57">
        <v>0</v>
      </c>
      <c r="I286" s="57" t="s">
        <v>68</v>
      </c>
      <c r="J286" s="50" t="str">
        <f t="shared" si="744"/>
        <v>[6:0]</v>
      </c>
      <c r="K286" s="50">
        <f t="shared" si="745"/>
        <v>0</v>
      </c>
      <c r="L286" s="50">
        <f t="shared" si="746"/>
        <v>127</v>
      </c>
      <c r="M286" s="58" t="s">
        <v>223</v>
      </c>
      <c r="N286" s="28"/>
      <c r="O286" s="57">
        <v>1</v>
      </c>
      <c r="P286" s="57">
        <f t="shared" si="1005"/>
        <v>1</v>
      </c>
      <c r="Q286" s="57">
        <f t="shared" si="1006"/>
        <v>1</v>
      </c>
      <c r="R286" s="57">
        <f t="shared" si="1007"/>
        <v>1</v>
      </c>
      <c r="S286" s="163">
        <v>15</v>
      </c>
      <c r="T286" s="163">
        <v>15</v>
      </c>
      <c r="U286" s="163">
        <v>15</v>
      </c>
      <c r="V286" s="163">
        <f t="shared" si="995"/>
        <v>15</v>
      </c>
      <c r="W286" s="59"/>
      <c r="X286" s="57">
        <f t="shared" ca="1" si="747"/>
        <v>15</v>
      </c>
      <c r="Y286" s="32"/>
      <c r="AC286" s="12" t="b">
        <f t="shared" si="1003"/>
        <v>1</v>
      </c>
      <c r="AD286" s="12" t="str">
        <f t="shared" si="748"/>
        <v>-</v>
      </c>
      <c r="AE286" s="12" t="str">
        <f t="shared" si="749"/>
        <v>-</v>
      </c>
      <c r="AF286" s="12" t="str">
        <f t="shared" ca="1" si="750"/>
        <v>0x10B6</v>
      </c>
      <c r="AG286" s="12" t="str">
        <f t="shared" si="751"/>
        <v>VANA_THRD</v>
      </c>
      <c r="AH286" s="12">
        <f t="shared" si="752"/>
        <v>7</v>
      </c>
      <c r="AI286" s="12">
        <f t="shared" si="753"/>
        <v>6</v>
      </c>
      <c r="AJ286" s="12">
        <f t="shared" si="754"/>
        <v>0</v>
      </c>
      <c r="AK286" s="12">
        <f t="shared" si="755"/>
        <v>127</v>
      </c>
      <c r="AL286" s="12" t="str">
        <f t="shared" si="756"/>
        <v>-</v>
      </c>
      <c r="AM286" s="22">
        <f t="shared" si="1004"/>
        <v>15</v>
      </c>
      <c r="AN286" s="12">
        <f t="shared" si="757"/>
        <v>15</v>
      </c>
      <c r="AO286" s="22" t="str">
        <f ca="1">IF(AF286="-",VLOOKUP(AD286,MemoryView!$A$3:$F$108,6,0),MID(VLOOKUP(AF286,MemoryView!$BD$3:$BE$108,2,0),15-AI286+1,AH286))</f>
        <v>0001111</v>
      </c>
      <c r="AP286" s="22">
        <f t="shared" ca="1" si="758"/>
        <v>15</v>
      </c>
      <c r="AQ286" s="53" t="str">
        <f t="shared" si="759"/>
        <v>`EE_MNG.VANA_THRD.SET(15);        // [0..127]</v>
      </c>
      <c r="AR286" s="54" t="str">
        <f t="shared" ca="1" si="760"/>
        <v>EE_MEM #(`PARAM(16'h10B6, 0, 7, 0)) VANA_THRD(); bit unsigned [7-1:0] VANA_THRD_V; assign VANA_THRD_V = VANA_THRD.GET;</v>
      </c>
      <c r="AS286" s="12" t="str">
        <f t="shared" ca="1" si="761"/>
        <v>EE_ANA_DIAG0</v>
      </c>
    </row>
    <row r="287" spans="2:45">
      <c r="B287" s="47" t="str">
        <f t="shared" ca="1" si="743"/>
        <v>MLX</v>
      </c>
      <c r="C287" s="47" t="s">
        <v>225</v>
      </c>
      <c r="D287" s="48" t="s">
        <v>58</v>
      </c>
      <c r="E287" s="60" t="str">
        <f ca="1">"0x"&amp;DEC2HEX(HEX2DEC(RIGHT(INDIRECT(ADDRESS(ROW()-1,COLUMN())),4))+2,4)</f>
        <v>0x10B8</v>
      </c>
      <c r="F287" s="49">
        <v>16</v>
      </c>
      <c r="G287" s="49">
        <v>0</v>
      </c>
      <c r="H287" s="49">
        <v>0</v>
      </c>
      <c r="I287" s="49" t="s">
        <v>58</v>
      </c>
      <c r="J287" s="50" t="str">
        <f t="shared" si="744"/>
        <v>-</v>
      </c>
      <c r="K287" s="50">
        <f t="shared" si="745"/>
        <v>0</v>
      </c>
      <c r="L287" s="50">
        <f t="shared" si="746"/>
        <v>65535</v>
      </c>
      <c r="M287" s="51" t="s">
        <v>226</v>
      </c>
      <c r="N287" s="28"/>
      <c r="O287" s="52"/>
      <c r="P287" s="52"/>
      <c r="Q287" s="52"/>
      <c r="R287" s="52"/>
      <c r="S287" s="140"/>
      <c r="T287" s="165"/>
      <c r="U287" s="165"/>
      <c r="V287" s="165"/>
      <c r="W287" s="28"/>
      <c r="X287" s="52">
        <f t="shared" ca="1" si="747"/>
        <v>7226</v>
      </c>
      <c r="Y287" s="32"/>
      <c r="AC287" s="12">
        <f t="shared" si="1003"/>
        <v>1</v>
      </c>
      <c r="AD287" s="12" t="str">
        <f t="shared" ca="1" si="748"/>
        <v>0x10B8</v>
      </c>
      <c r="AE287" s="12" t="str">
        <f t="shared" si="749"/>
        <v>EE_ANA_DIAG1</v>
      </c>
      <c r="AF287" s="12" t="str">
        <f t="shared" si="750"/>
        <v>-</v>
      </c>
      <c r="AG287" s="12" t="str">
        <f t="shared" si="751"/>
        <v>-</v>
      </c>
      <c r="AH287" s="12" t="str">
        <f t="shared" si="752"/>
        <v>-</v>
      </c>
      <c r="AI287" s="12" t="str">
        <f t="shared" si="753"/>
        <v>-</v>
      </c>
      <c r="AJ287" s="12" t="str">
        <f t="shared" si="754"/>
        <v>-</v>
      </c>
      <c r="AK287" s="12" t="str">
        <f t="shared" ca="1" si="755"/>
        <v>0x10B8</v>
      </c>
      <c r="AL287" s="12" t="str">
        <f t="shared" ca="1" si="756"/>
        <v>MLX</v>
      </c>
      <c r="AM287" s="22">
        <f t="shared" si="1004"/>
        <v>0</v>
      </c>
      <c r="AN287" s="12" t="str">
        <f t="shared" ca="1" si="757"/>
        <v>0x10B8</v>
      </c>
      <c r="AO287" s="22" t="str">
        <f ca="1">IF(AF287="-",VLOOKUP(AD287,MemoryView!$A$3:$F$108,6,0),MID(VLOOKUP(AF287,MemoryView!$BD$3:$BE$108,2,0),15-AI287+1,AH287))</f>
        <v>1C3A</v>
      </c>
      <c r="AP287" s="22">
        <f t="shared" ca="1" si="758"/>
        <v>7226</v>
      </c>
      <c r="AQ287" s="53" t="str">
        <f t="shared" si="759"/>
        <v>-</v>
      </c>
      <c r="AR287" s="54" t="str">
        <f t="shared" ca="1" si="760"/>
        <v>EE_MEM #(`PARAM(16'h10B8, 0, 16, 0)) EE_ANA_DIAG1(); bit unsigned [16-1:0] EE_ANA_DIAG1_V; assign EE_ANA_DIAG1_V = EE_ANA_DIAG1.GET;</v>
      </c>
      <c r="AS287" s="12" t="str">
        <f t="shared" ca="1" si="761"/>
        <v>EE_ANA_DIAG1</v>
      </c>
    </row>
    <row r="288" spans="2:45" ht="76.5">
      <c r="B288" s="55" t="str">
        <f t="shared" ca="1" si="743"/>
        <v>MLX</v>
      </c>
      <c r="C288" s="55" t="s">
        <v>58</v>
      </c>
      <c r="D288" s="56" t="s">
        <v>227</v>
      </c>
      <c r="E288" s="57" t="str">
        <f ca="1">INDIRECT(ADDRESS(ROW()-1,COLUMN()))</f>
        <v>0x10B8</v>
      </c>
      <c r="F288" s="57">
        <v>9</v>
      </c>
      <c r="G288" s="57">
        <v>7</v>
      </c>
      <c r="H288" s="57">
        <v>1</v>
      </c>
      <c r="I288" s="57" t="s">
        <v>76</v>
      </c>
      <c r="J288" s="50" t="str">
        <f t="shared" si="744"/>
        <v>[15:7]</v>
      </c>
      <c r="K288" s="50">
        <f t="shared" si="745"/>
        <v>-256</v>
      </c>
      <c r="L288" s="50">
        <f t="shared" si="746"/>
        <v>255</v>
      </c>
      <c r="M288" s="58" t="s">
        <v>228</v>
      </c>
      <c r="N288" s="28"/>
      <c r="O288" s="57">
        <v>56</v>
      </c>
      <c r="P288" s="57">
        <f t="shared" ref="P288:P289" si="1008">O288</f>
        <v>56</v>
      </c>
      <c r="Q288" s="57">
        <f t="shared" ref="Q288:Q289" si="1009">O288</f>
        <v>56</v>
      </c>
      <c r="R288" s="57">
        <f t="shared" ref="R288:S289" si="1010">O288</f>
        <v>56</v>
      </c>
      <c r="S288" s="163">
        <f t="shared" si="1010"/>
        <v>56</v>
      </c>
      <c r="T288" s="163">
        <v>56</v>
      </c>
      <c r="U288" s="163">
        <f>S288</f>
        <v>56</v>
      </c>
      <c r="V288" s="163">
        <f t="shared" si="995"/>
        <v>56</v>
      </c>
      <c r="W288" s="59"/>
      <c r="X288" s="57">
        <f t="shared" ca="1" si="747"/>
        <v>56</v>
      </c>
      <c r="Y288" s="32"/>
      <c r="AC288" s="12" t="b">
        <f t="shared" si="1003"/>
        <v>1</v>
      </c>
      <c r="AD288" s="12" t="str">
        <f t="shared" si="748"/>
        <v>-</v>
      </c>
      <c r="AE288" s="12" t="str">
        <f t="shared" si="749"/>
        <v>-</v>
      </c>
      <c r="AF288" s="12" t="str">
        <f t="shared" ca="1" si="750"/>
        <v>0x10B8</v>
      </c>
      <c r="AG288" s="12" t="str">
        <f t="shared" si="751"/>
        <v>RREF_BASE</v>
      </c>
      <c r="AH288" s="12">
        <f t="shared" si="752"/>
        <v>9</v>
      </c>
      <c r="AI288" s="12">
        <f t="shared" si="753"/>
        <v>15</v>
      </c>
      <c r="AJ288" s="12">
        <f t="shared" si="754"/>
        <v>7</v>
      </c>
      <c r="AK288" s="12">
        <f t="shared" si="755"/>
        <v>65408</v>
      </c>
      <c r="AL288" s="12" t="str">
        <f t="shared" si="756"/>
        <v>-</v>
      </c>
      <c r="AM288" s="22">
        <f t="shared" si="1004"/>
        <v>56</v>
      </c>
      <c r="AN288" s="12">
        <f t="shared" si="757"/>
        <v>7168</v>
      </c>
      <c r="AO288" s="22" t="str">
        <f ca="1">IF(AF288="-",VLOOKUP(AD288,MemoryView!$A$3:$F$108,6,0),MID(VLOOKUP(AF288,MemoryView!$BD$3:$BE$108,2,0),15-AI288+1,AH288))</f>
        <v>000111000</v>
      </c>
      <c r="AP288" s="22">
        <f t="shared" ca="1" si="758"/>
        <v>56</v>
      </c>
      <c r="AQ288" s="53" t="str">
        <f t="shared" si="759"/>
        <v>`EE_MNG.RREF_BASE.SET(56);        // [-256..255]</v>
      </c>
      <c r="AR288" s="54" t="str">
        <f t="shared" ca="1" si="760"/>
        <v>EE_MEM #(`PARAM(16'h10B8, 7, 9, 1)) RREF_BASE(); bit signed [9-1:0] RREF_BASE_V; assign RREF_BASE_V = RREF_BASE.GET;</v>
      </c>
      <c r="AS288" s="12" t="str">
        <f t="shared" ca="1" si="761"/>
        <v>EE_ANA_DIAG1</v>
      </c>
    </row>
    <row r="289" spans="1:1029" ht="76.5">
      <c r="B289" s="55" t="str">
        <f t="shared" ca="1" si="743"/>
        <v>MLX</v>
      </c>
      <c r="C289" s="55" t="s">
        <v>58</v>
      </c>
      <c r="D289" s="56" t="s">
        <v>229</v>
      </c>
      <c r="E289" s="57" t="str">
        <f ca="1">INDIRECT(ADDRESS(ROW()-1,COLUMN()))</f>
        <v>0x10B8</v>
      </c>
      <c r="F289" s="57">
        <v>7</v>
      </c>
      <c r="G289" s="57">
        <v>0</v>
      </c>
      <c r="H289" s="57">
        <v>0</v>
      </c>
      <c r="I289" s="57" t="s">
        <v>68</v>
      </c>
      <c r="J289" s="50" t="str">
        <f t="shared" si="744"/>
        <v>[6:0]</v>
      </c>
      <c r="K289" s="50">
        <f t="shared" si="745"/>
        <v>0</v>
      </c>
      <c r="L289" s="50">
        <f t="shared" si="746"/>
        <v>127</v>
      </c>
      <c r="M289" s="58" t="s">
        <v>230</v>
      </c>
      <c r="N289" s="28"/>
      <c r="O289" s="57">
        <v>58</v>
      </c>
      <c r="P289" s="57">
        <f t="shared" si="1008"/>
        <v>58</v>
      </c>
      <c r="Q289" s="57">
        <f t="shared" si="1009"/>
        <v>58</v>
      </c>
      <c r="R289" s="57">
        <f t="shared" si="1010"/>
        <v>58</v>
      </c>
      <c r="S289" s="163">
        <f t="shared" si="1010"/>
        <v>58</v>
      </c>
      <c r="T289" s="163">
        <v>58</v>
      </c>
      <c r="U289" s="163">
        <f>S289</f>
        <v>58</v>
      </c>
      <c r="V289" s="163">
        <f t="shared" si="995"/>
        <v>58</v>
      </c>
      <c r="W289" s="59"/>
      <c r="X289" s="57">
        <f t="shared" ca="1" si="747"/>
        <v>58</v>
      </c>
      <c r="Y289" s="32"/>
      <c r="AC289" s="12" t="b">
        <f t="shared" si="1003"/>
        <v>1</v>
      </c>
      <c r="AD289" s="12" t="str">
        <f t="shared" si="748"/>
        <v>-</v>
      </c>
      <c r="AE289" s="12" t="str">
        <f t="shared" si="749"/>
        <v>-</v>
      </c>
      <c r="AF289" s="12" t="str">
        <f t="shared" ca="1" si="750"/>
        <v>0x10B8</v>
      </c>
      <c r="AG289" s="12" t="str">
        <f t="shared" si="751"/>
        <v>RREF_THRD</v>
      </c>
      <c r="AH289" s="12">
        <f t="shared" si="752"/>
        <v>7</v>
      </c>
      <c r="AI289" s="12">
        <f t="shared" si="753"/>
        <v>6</v>
      </c>
      <c r="AJ289" s="12">
        <f t="shared" si="754"/>
        <v>0</v>
      </c>
      <c r="AK289" s="12">
        <f t="shared" si="755"/>
        <v>127</v>
      </c>
      <c r="AL289" s="12" t="str">
        <f t="shared" si="756"/>
        <v>-</v>
      </c>
      <c r="AM289" s="22">
        <f t="shared" si="1004"/>
        <v>58</v>
      </c>
      <c r="AN289" s="12">
        <f t="shared" si="757"/>
        <v>58</v>
      </c>
      <c r="AO289" s="22" t="str">
        <f ca="1">IF(AF289="-",VLOOKUP(AD289,MemoryView!$A$3:$F$108,6,0),MID(VLOOKUP(AF289,MemoryView!$BD$3:$BE$108,2,0),15-AI289+1,AH289))</f>
        <v>0111010</v>
      </c>
      <c r="AP289" s="22">
        <f t="shared" ca="1" si="758"/>
        <v>58</v>
      </c>
      <c r="AQ289" s="53" t="str">
        <f t="shared" si="759"/>
        <v>`EE_MNG.RREF_THRD.SET(58);        // [0..127]</v>
      </c>
      <c r="AR289" s="54" t="str">
        <f t="shared" ca="1" si="760"/>
        <v>EE_MEM #(`PARAM(16'h10B8, 0, 7, 0)) RREF_THRD(); bit unsigned [7-1:0] RREF_THRD_V; assign RREF_THRD_V = RREF_THRD.GET;</v>
      </c>
      <c r="AS289" s="12" t="str">
        <f t="shared" ca="1" si="761"/>
        <v>EE_ANA_DIAG1</v>
      </c>
    </row>
    <row r="290" spans="1:1029">
      <c r="B290" s="47" t="str">
        <f t="shared" ca="1" si="743"/>
        <v>MLX</v>
      </c>
      <c r="C290" s="47" t="s">
        <v>231</v>
      </c>
      <c r="D290" s="48" t="s">
        <v>58</v>
      </c>
      <c r="E290" s="60" t="str">
        <f ca="1">"0x"&amp;DEC2HEX(HEX2DEC(RIGHT(INDIRECT(ADDRESS(ROW()-1,COLUMN())),4))+2,4)</f>
        <v>0x10BA</v>
      </c>
      <c r="F290" s="49">
        <v>16</v>
      </c>
      <c r="G290" s="49">
        <v>0</v>
      </c>
      <c r="H290" s="49">
        <v>0</v>
      </c>
      <c r="I290" s="49" t="s">
        <v>58</v>
      </c>
      <c r="J290" s="50" t="str">
        <f t="shared" si="744"/>
        <v>-</v>
      </c>
      <c r="K290" s="50">
        <f t="shared" si="745"/>
        <v>0</v>
      </c>
      <c r="L290" s="50">
        <f t="shared" si="746"/>
        <v>65535</v>
      </c>
      <c r="M290" s="51" t="s">
        <v>232</v>
      </c>
      <c r="N290" s="28"/>
      <c r="O290" s="52"/>
      <c r="P290" s="52"/>
      <c r="Q290" s="52"/>
      <c r="R290" s="52"/>
      <c r="S290" s="140"/>
      <c r="T290" s="165"/>
      <c r="U290" s="165"/>
      <c r="V290" s="165"/>
      <c r="W290" s="28"/>
      <c r="X290" s="52">
        <f t="shared" ca="1" si="747"/>
        <v>36</v>
      </c>
      <c r="Y290" s="32"/>
      <c r="AC290" s="12">
        <f t="shared" si="1003"/>
        <v>1</v>
      </c>
      <c r="AD290" s="12" t="str">
        <f t="shared" ca="1" si="748"/>
        <v>0x10BA</v>
      </c>
      <c r="AE290" s="12" t="str">
        <f t="shared" si="749"/>
        <v>EE_VZERO_THRD</v>
      </c>
      <c r="AF290" s="12" t="str">
        <f t="shared" si="750"/>
        <v>-</v>
      </c>
      <c r="AG290" s="12" t="str">
        <f t="shared" si="751"/>
        <v>-</v>
      </c>
      <c r="AH290" s="12" t="str">
        <f t="shared" si="752"/>
        <v>-</v>
      </c>
      <c r="AI290" s="12" t="str">
        <f t="shared" si="753"/>
        <v>-</v>
      </c>
      <c r="AJ290" s="12" t="str">
        <f t="shared" si="754"/>
        <v>-</v>
      </c>
      <c r="AK290" s="12" t="str">
        <f t="shared" ca="1" si="755"/>
        <v>0x10BA</v>
      </c>
      <c r="AL290" s="12" t="str">
        <f t="shared" ca="1" si="756"/>
        <v>MLX</v>
      </c>
      <c r="AM290" s="22">
        <f t="shared" si="1004"/>
        <v>0</v>
      </c>
      <c r="AN290" s="12" t="str">
        <f t="shared" ca="1" si="757"/>
        <v>0x10BA</v>
      </c>
      <c r="AO290" s="22" t="str">
        <f ca="1">IF(AF290="-",VLOOKUP(AD290,MemoryView!$A$3:$F$108,6,0),MID(VLOOKUP(AF290,MemoryView!$BD$3:$BE$108,2,0),15-AI290+1,AH290))</f>
        <v>0024</v>
      </c>
      <c r="AP290" s="22">
        <f t="shared" ca="1" si="758"/>
        <v>36</v>
      </c>
      <c r="AQ290" s="53" t="str">
        <f t="shared" si="759"/>
        <v>-</v>
      </c>
      <c r="AR290" s="54" t="str">
        <f t="shared" ca="1" si="760"/>
        <v>EE_MEM #(`PARAM(16'h10BA, 0, 16, 0)) EE_VZERO_THRD(); bit unsigned [16-1:0] EE_VZERO_THRD_V; assign EE_VZERO_THRD_V = EE_VZERO_THRD.GET;</v>
      </c>
      <c r="AS290" s="12" t="str">
        <f t="shared" ca="1" si="761"/>
        <v>EE_VZERO_THRD</v>
      </c>
    </row>
    <row r="291" spans="1:1029" ht="102">
      <c r="B291" s="55" t="str">
        <f t="shared" ca="1" si="743"/>
        <v>MLX</v>
      </c>
      <c r="C291" s="55" t="s">
        <v>58</v>
      </c>
      <c r="D291" s="143" t="s">
        <v>670</v>
      </c>
      <c r="E291" s="57" t="str">
        <f ca="1">INDIRECT(ADDRESS(ROW()-1,COLUMN()))</f>
        <v>0x10BA</v>
      </c>
      <c r="F291" s="57">
        <v>8</v>
      </c>
      <c r="G291" s="57">
        <v>8</v>
      </c>
      <c r="H291" s="57">
        <v>0</v>
      </c>
      <c r="I291" s="57" t="s">
        <v>68</v>
      </c>
      <c r="J291" s="50" t="str">
        <f t="shared" si="744"/>
        <v>[15:8]</v>
      </c>
      <c r="K291" s="50">
        <f t="shared" si="745"/>
        <v>0</v>
      </c>
      <c r="L291" s="50">
        <f t="shared" si="746"/>
        <v>255</v>
      </c>
      <c r="M291" s="159" t="s">
        <v>678</v>
      </c>
      <c r="N291" s="28"/>
      <c r="O291" s="57">
        <v>22</v>
      </c>
      <c r="P291" s="57">
        <f t="shared" ref="P291:P292" si="1011">O291</f>
        <v>22</v>
      </c>
      <c r="Q291" s="57">
        <f t="shared" ref="Q291:Q292" si="1012">O291</f>
        <v>22</v>
      </c>
      <c r="R291" s="57">
        <f t="shared" ref="R291:S292" si="1013">O291</f>
        <v>22</v>
      </c>
      <c r="S291" s="163">
        <v>0</v>
      </c>
      <c r="T291" s="163">
        <v>0</v>
      </c>
      <c r="U291" s="163">
        <v>0</v>
      </c>
      <c r="V291" s="163">
        <v>0</v>
      </c>
      <c r="W291" s="59"/>
      <c r="X291" s="57">
        <f t="shared" ca="1" si="747"/>
        <v>0</v>
      </c>
      <c r="Y291" s="32"/>
      <c r="AC291" s="12" t="b">
        <f t="shared" si="1003"/>
        <v>1</v>
      </c>
      <c r="AD291" s="12" t="str">
        <f t="shared" si="748"/>
        <v>-</v>
      </c>
      <c r="AE291" s="12" t="str">
        <f t="shared" si="749"/>
        <v>-</v>
      </c>
      <c r="AF291" s="12" t="str">
        <f t="shared" ca="1" si="750"/>
        <v>0x10BA</v>
      </c>
      <c r="AG291" s="12" t="str">
        <f t="shared" si="751"/>
        <v>VIRT_REF_TMEMS_DIAG_THRD</v>
      </c>
      <c r="AH291" s="12">
        <f t="shared" si="752"/>
        <v>8</v>
      </c>
      <c r="AI291" s="12">
        <f t="shared" si="753"/>
        <v>15</v>
      </c>
      <c r="AJ291" s="12">
        <f t="shared" si="754"/>
        <v>8</v>
      </c>
      <c r="AK291" s="12">
        <f t="shared" si="755"/>
        <v>65280</v>
      </c>
      <c r="AL291" s="12" t="str">
        <f t="shared" si="756"/>
        <v>-</v>
      </c>
      <c r="AM291" s="22">
        <f t="shared" si="1004"/>
        <v>0</v>
      </c>
      <c r="AN291" s="12">
        <f t="shared" si="757"/>
        <v>0</v>
      </c>
      <c r="AO291" s="22" t="str">
        <f ca="1">IF(AF291="-",VLOOKUP(AD291,MemoryView!$A$3:$F$108,6,0),MID(VLOOKUP(AF291,MemoryView!$BD$3:$BE$108,2,0),15-AI291+1,AH291))</f>
        <v>00000000</v>
      </c>
      <c r="AP291" s="22">
        <f t="shared" ca="1" si="758"/>
        <v>0</v>
      </c>
      <c r="AQ291" s="53" t="str">
        <f t="shared" si="759"/>
        <v>`EE_MNG.VIRT_REF_TMEMS_DIAG_THRD.SET(0);        // [0..255]</v>
      </c>
      <c r="AR291" s="54" t="str">
        <f t="shared" ca="1" si="760"/>
        <v>EE_MEM #(`PARAM(16'h10BA, 8, 8, 0)) VIRT_REF_TMEMS_DIAG_THRD(); bit unsigned [8-1:0] VIRT_REF_TMEMS_DIAG_THRD_V; assign VIRT_REF_TMEMS_DIAG_THRD_V = VIRT_REF_TMEMS_DIAG_THRD.GET;</v>
      </c>
      <c r="AS291" s="12" t="str">
        <f t="shared" ca="1" si="761"/>
        <v>EE_VZERO_THRD</v>
      </c>
    </row>
    <row r="292" spans="1:1029" ht="76.5">
      <c r="B292" s="55" t="str">
        <f t="shared" ca="1" si="743"/>
        <v>MLX</v>
      </c>
      <c r="C292" s="55" t="s">
        <v>58</v>
      </c>
      <c r="D292" s="56" t="str">
        <f>RIGHT(C290,LEN(C290)-3)</f>
        <v>VZERO_THRD</v>
      </c>
      <c r="E292" s="57" t="str">
        <f ca="1">INDIRECT(ADDRESS(ROW()-1,COLUMN()))</f>
        <v>0x10BA</v>
      </c>
      <c r="F292" s="57">
        <v>8</v>
      </c>
      <c r="G292" s="57">
        <v>0</v>
      </c>
      <c r="H292" s="57">
        <v>0</v>
      </c>
      <c r="I292" s="57" t="s">
        <v>76</v>
      </c>
      <c r="J292" s="50" t="str">
        <f t="shared" si="744"/>
        <v>[7:0]</v>
      </c>
      <c r="K292" s="50">
        <f t="shared" si="745"/>
        <v>0</v>
      </c>
      <c r="L292" s="50">
        <f t="shared" si="746"/>
        <v>255</v>
      </c>
      <c r="M292" s="58" t="s">
        <v>233</v>
      </c>
      <c r="N292" s="28"/>
      <c r="O292" s="57">
        <v>36</v>
      </c>
      <c r="P292" s="57">
        <f t="shared" si="1011"/>
        <v>36</v>
      </c>
      <c r="Q292" s="57">
        <f t="shared" si="1012"/>
        <v>36</v>
      </c>
      <c r="R292" s="57">
        <f t="shared" si="1013"/>
        <v>36</v>
      </c>
      <c r="S292" s="163">
        <f t="shared" si="1013"/>
        <v>36</v>
      </c>
      <c r="T292" s="163">
        <v>36</v>
      </c>
      <c r="U292" s="163">
        <f>S292</f>
        <v>36</v>
      </c>
      <c r="V292" s="163">
        <f t="shared" si="995"/>
        <v>36</v>
      </c>
      <c r="W292" s="59"/>
      <c r="X292" s="57">
        <f t="shared" ca="1" si="747"/>
        <v>36</v>
      </c>
      <c r="Y292" s="32"/>
      <c r="AC292" s="12" t="b">
        <f t="shared" si="1003"/>
        <v>1</v>
      </c>
      <c r="AD292" s="12" t="str">
        <f t="shared" si="748"/>
        <v>-</v>
      </c>
      <c r="AE292" s="12" t="str">
        <f t="shared" si="749"/>
        <v>-</v>
      </c>
      <c r="AF292" s="12" t="str">
        <f t="shared" ca="1" si="750"/>
        <v>0x10BA</v>
      </c>
      <c r="AG292" s="12" t="str">
        <f t="shared" si="751"/>
        <v>VZERO_THRD</v>
      </c>
      <c r="AH292" s="12">
        <f t="shared" si="752"/>
        <v>8</v>
      </c>
      <c r="AI292" s="12">
        <f t="shared" si="753"/>
        <v>7</v>
      </c>
      <c r="AJ292" s="12">
        <f t="shared" si="754"/>
        <v>0</v>
      </c>
      <c r="AK292" s="12">
        <f t="shared" si="755"/>
        <v>255</v>
      </c>
      <c r="AL292" s="12" t="str">
        <f t="shared" si="756"/>
        <v>-</v>
      </c>
      <c r="AM292" s="22">
        <f t="shared" si="1004"/>
        <v>36</v>
      </c>
      <c r="AN292" s="12">
        <f t="shared" si="757"/>
        <v>36</v>
      </c>
      <c r="AO292" s="22" t="str">
        <f ca="1">IF(AF292="-",VLOOKUP(AD292,MemoryView!$A$3:$F$108,6,0),MID(VLOOKUP(AF292,MemoryView!$BD$3:$BE$108,2,0),15-AI292+1,AH292))</f>
        <v>00100100</v>
      </c>
      <c r="AP292" s="22">
        <f t="shared" ca="1" si="758"/>
        <v>36</v>
      </c>
      <c r="AQ292" s="53" t="str">
        <f t="shared" si="759"/>
        <v>`EE_MNG.VZERO_THRD.SET(36);        // [0..255]</v>
      </c>
      <c r="AR292" s="54" t="str">
        <f t="shared" ca="1" si="760"/>
        <v>EE_MEM #(`PARAM(16'h10BA, 0, 8, 0)) VZERO_THRD(); bit unsigned [8-1:0] VZERO_THRD_V; assign VZERO_THRD_V = VZERO_THRD.GET;</v>
      </c>
      <c r="AS292" s="12" t="str">
        <f t="shared" ca="1" si="761"/>
        <v>EE_VZERO_THRD</v>
      </c>
    </row>
    <row r="293" spans="1:1029" s="132" customFormat="1">
      <c r="A293" s="133"/>
      <c r="B293" s="136" t="str">
        <f t="shared" ca="1" si="743"/>
        <v>MLX</v>
      </c>
      <c r="C293" s="145" t="s">
        <v>676</v>
      </c>
      <c r="D293" s="137" t="s">
        <v>58</v>
      </c>
      <c r="E293" s="144" t="str">
        <f ca="1">"0x"&amp;DEC2HEX(HEX2DEC(RIGHT(INDIRECT(ADDRESS(ROW()-1,COLUMN())),4))+2,4)</f>
        <v>0x10BC</v>
      </c>
      <c r="F293" s="138">
        <v>16</v>
      </c>
      <c r="G293" s="138">
        <v>0</v>
      </c>
      <c r="H293" s="138">
        <v>0</v>
      </c>
      <c r="I293" s="138" t="s">
        <v>58</v>
      </c>
      <c r="J293" s="139" t="str">
        <f t="shared" ref="J293:J298" si="1014">IF(D293&lt;&gt;"-","["&amp;AI293&amp;":"&amp;AJ293&amp;"]","-")</f>
        <v>-</v>
      </c>
      <c r="K293" s="139">
        <f t="shared" ref="K293:K298" si="1015">IF(H293,-L293-1,0)</f>
        <v>0</v>
      </c>
      <c r="L293" s="139">
        <f t="shared" ref="L293:L298" si="1016">IF(H293,FLOOR((2^F293-1)/2,1),2^F293-1)</f>
        <v>65535</v>
      </c>
      <c r="M293" s="152" t="s">
        <v>662</v>
      </c>
      <c r="N293" s="28"/>
      <c r="O293" s="140"/>
      <c r="P293" s="140"/>
      <c r="Q293" s="140"/>
      <c r="R293" s="140"/>
      <c r="S293" s="140"/>
      <c r="T293" s="165"/>
      <c r="U293" s="165"/>
      <c r="V293" s="165"/>
      <c r="W293" s="28"/>
      <c r="X293" s="140">
        <f t="shared" ref="X293:X298" ca="1" si="1017">IF(H293=0,AP293,    IF(AP293&lt;=2^(F293-1)-1,AP293,AP293-2^F293)  )</f>
        <v>6048</v>
      </c>
      <c r="Y293" s="135"/>
      <c r="Z293" s="134"/>
      <c r="AA293" s="134"/>
      <c r="AB293" s="134"/>
      <c r="AC293" s="133">
        <f t="shared" si="1003"/>
        <v>1</v>
      </c>
      <c r="AD293" s="133" t="str">
        <f t="shared" ref="AD293:AD298" ca="1" si="1018">IF(AND(D293="-",C293&lt;&gt;"-"),E293,"-")</f>
        <v>0x10BC</v>
      </c>
      <c r="AE293" s="133" t="str">
        <f t="shared" ref="AE293:AE298" si="1019">IF(D293="-",C293,"-")</f>
        <v>EE_VIRT_REF_TDIE</v>
      </c>
      <c r="AF293" s="133" t="str">
        <f t="shared" ref="AF293:AF298" si="1020">IF(AND(D293&lt;&gt;"-",ISTEXT(D293)),E293,"-")</f>
        <v>-</v>
      </c>
      <c r="AG293" s="133" t="str">
        <f t="shared" ref="AG293:AG298" si="1021">IF(AND(D293&lt;&gt;"-",ISTEXT(D293)),D293,"-")</f>
        <v>-</v>
      </c>
      <c r="AH293" s="133" t="str">
        <f t="shared" ref="AH293:AH298" si="1022">IF(D293&lt;&gt;"-",F293,"-")</f>
        <v>-</v>
      </c>
      <c r="AI293" s="133" t="str">
        <f t="shared" ref="AI293:AI298" si="1023">IF(D293&lt;&gt;"-",G293+F293-1,"-")</f>
        <v>-</v>
      </c>
      <c r="AJ293" s="133" t="str">
        <f t="shared" ref="AJ293:AJ298" si="1024">IF(D293&lt;&gt;"-",G293,"-")</f>
        <v>-</v>
      </c>
      <c r="AK293" s="133" t="str">
        <f t="shared" ref="AK293:AK298" ca="1" si="1025">IF(OR(AH293="-",AJ293="-"),AD293,(2^AH293-1)*2^AJ293)</f>
        <v>0x10BC</v>
      </c>
      <c r="AL293" s="133" t="str">
        <f t="shared" ref="AL293:AL298" ca="1" si="1026">IF(D293="-",B293,"-")</f>
        <v>MLX</v>
      </c>
      <c r="AM293" s="134">
        <f t="shared" si="1004"/>
        <v>0</v>
      </c>
      <c r="AN293" s="133" t="str">
        <f t="shared" ref="AN293:AN298" ca="1" si="1027">IF(OR(AH293="-",AJ293="-"),AD293,IF(AM293&lt;0,AM293+2^AH293,AM293)*2^AJ293)</f>
        <v>0x10BC</v>
      </c>
      <c r="AO293" s="134" t="str">
        <f ca="1">IF(AF293="-",VLOOKUP(AD293,MemoryView!$A$3:$F$108,6,0),MID(VLOOKUP(AF293,MemoryView!$BD$3:$BE$108,2,0),15-AI293+1,AH293))</f>
        <v>17A0</v>
      </c>
      <c r="AP293" s="134">
        <f t="shared" ref="AP293:AP298" ca="1" si="1028">IF(AF293="-",HEX2DEC(AO293),IF(LEN(AO293)&gt;8,BIN2DEC(LEFT(AO293,LEN(AO293)-8))*2^8+BIN2DEC(RIGHT(AO293,8)),BIN2DEC(AO293)))</f>
        <v>6048</v>
      </c>
      <c r="AQ293" s="141" t="str">
        <f t="shared" ref="AQ293:AQ298" si="1029">IF(AG293&lt;&gt;"-",CONCATENATE("`EE_MNG.",AG293,".SET(",AM293,");        // [",K293,"..",L293,"]"),"-")</f>
        <v>-</v>
      </c>
      <c r="AR293" s="142" t="str">
        <f t="shared" ref="AR293:AR298" ca="1" si="1030">IF(AND(AD293="-",AE293="-",AF293="-",AG293="-"),"-",IF(AG293&lt;&gt;"-",CONCATENATE("EE_MEM #(`PARAM(16'h",RIGHT(AF293,4),", ",G293,", ",F293,", ",H293,")) ",AG293,"(); bit ",IF(H293=0,"unsigned [","signed ["),F293,"-1:0] ", AG293,"_V; assign ",AG293,"_V = ",AG293,".GET;"), CONCATENATE("EE_MEM #(`PARAM(16'h",RIGHT(AD293,4),", ",G293,", ",F293,", ",H293,")) ",AE293,"(); bit ",IF(H293=0,"unsigned [","signed ["),F293,"-1:0] ", AE293,"_V; assign ",AE293,"_V = ",AE293,".GET;")))</f>
        <v>EE_MEM #(`PARAM(16'h10BC, 0, 16, 0)) EE_VIRT_REF_TDIE(); bit unsigned [16-1:0] EE_VIRT_REF_TDIE_V; assign EE_VIRT_REF_TDIE_V = EE_VIRT_REF_TDIE.GET;</v>
      </c>
      <c r="AS293" s="133" t="str">
        <f t="shared" ref="AS293:AS298" ca="1" si="1031">IF(AG293="-",AE293,INDIRECT(ADDRESS(ROW()-1,COLUMN())))</f>
        <v>EE_VIRT_REF_TDIE</v>
      </c>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3"/>
      <c r="DR293" s="133"/>
      <c r="DS293" s="133"/>
      <c r="DT293" s="133"/>
      <c r="DU293" s="133"/>
      <c r="DV293" s="133"/>
      <c r="DW293" s="133"/>
      <c r="DX293" s="133"/>
      <c r="DY293" s="133"/>
      <c r="DZ293" s="133"/>
      <c r="EA293" s="133"/>
      <c r="EB293" s="133"/>
      <c r="EC293" s="133"/>
      <c r="ED293" s="133"/>
      <c r="EE293" s="133"/>
      <c r="EF293" s="133"/>
      <c r="EG293" s="133"/>
      <c r="EH293" s="133"/>
      <c r="EI293" s="133"/>
      <c r="EJ293" s="133"/>
      <c r="EK293" s="133"/>
      <c r="EL293" s="133"/>
      <c r="EM293" s="133"/>
      <c r="EN293" s="133"/>
      <c r="EO293" s="133"/>
      <c r="EP293" s="133"/>
      <c r="EQ293" s="133"/>
      <c r="ER293" s="133"/>
      <c r="ES293" s="133"/>
      <c r="ET293" s="133"/>
      <c r="EU293" s="133"/>
      <c r="EV293" s="133"/>
      <c r="EW293" s="133"/>
      <c r="EX293" s="133"/>
      <c r="EY293" s="133"/>
      <c r="EZ293" s="133"/>
      <c r="FA293" s="133"/>
      <c r="FB293" s="133"/>
      <c r="FC293" s="133"/>
      <c r="FD293" s="133"/>
      <c r="FE293" s="133"/>
      <c r="FF293" s="133"/>
      <c r="FG293" s="133"/>
      <c r="FH293" s="133"/>
      <c r="FI293" s="133"/>
      <c r="FJ293" s="133"/>
      <c r="FK293" s="133"/>
      <c r="FL293" s="133"/>
      <c r="FM293" s="133"/>
      <c r="FN293" s="133"/>
      <c r="FO293" s="133"/>
      <c r="FP293" s="133"/>
      <c r="FQ293" s="133"/>
      <c r="FR293" s="133"/>
      <c r="FS293" s="133"/>
      <c r="FT293" s="133"/>
      <c r="FU293" s="133"/>
      <c r="FV293" s="133"/>
      <c r="FW293" s="133"/>
      <c r="FX293" s="133"/>
      <c r="FY293" s="133"/>
      <c r="FZ293" s="133"/>
      <c r="GA293" s="133"/>
      <c r="GB293" s="133"/>
      <c r="GC293" s="133"/>
      <c r="GD293" s="133"/>
      <c r="GE293" s="133"/>
      <c r="GF293" s="133"/>
      <c r="GG293" s="133"/>
      <c r="GH293" s="133"/>
      <c r="GI293" s="133"/>
      <c r="GJ293" s="133"/>
      <c r="GK293" s="133"/>
      <c r="GL293" s="133"/>
      <c r="GM293" s="133"/>
      <c r="GN293" s="133"/>
      <c r="GO293" s="133"/>
      <c r="GP293" s="133"/>
      <c r="GQ293" s="133"/>
      <c r="GR293" s="133"/>
      <c r="GS293" s="133"/>
      <c r="GT293" s="133"/>
      <c r="GU293" s="133"/>
      <c r="GV293" s="133"/>
      <c r="GW293" s="133"/>
      <c r="GX293" s="133"/>
      <c r="GY293" s="133"/>
      <c r="GZ293" s="133"/>
      <c r="HA293" s="133"/>
      <c r="HB293" s="133"/>
      <c r="HC293" s="133"/>
      <c r="HD293" s="133"/>
      <c r="HE293" s="133"/>
      <c r="HF293" s="133"/>
      <c r="HG293" s="133"/>
      <c r="HH293" s="133"/>
      <c r="HI293" s="133"/>
      <c r="HJ293" s="133"/>
      <c r="HK293" s="133"/>
      <c r="HL293" s="133"/>
      <c r="HM293" s="133"/>
      <c r="HN293" s="133"/>
      <c r="HO293" s="133"/>
      <c r="HP293" s="133"/>
      <c r="HQ293" s="133"/>
      <c r="HR293" s="133"/>
      <c r="HS293" s="133"/>
      <c r="HT293" s="133"/>
      <c r="HU293" s="133"/>
      <c r="HV293" s="133"/>
      <c r="HW293" s="133"/>
      <c r="HX293" s="133"/>
      <c r="HY293" s="133"/>
      <c r="HZ293" s="133"/>
      <c r="IA293" s="133"/>
      <c r="IB293" s="133"/>
      <c r="IC293" s="133"/>
      <c r="ID293" s="133"/>
      <c r="IE293" s="133"/>
      <c r="IF293" s="133"/>
      <c r="IG293" s="133"/>
      <c r="IH293" s="133"/>
      <c r="II293" s="133"/>
      <c r="IJ293" s="133"/>
      <c r="IK293" s="133"/>
      <c r="IL293" s="133"/>
      <c r="IM293" s="133"/>
      <c r="IN293" s="133"/>
      <c r="IO293" s="133"/>
      <c r="IP293" s="133"/>
      <c r="IQ293" s="133"/>
      <c r="IR293" s="133"/>
      <c r="IS293" s="133"/>
      <c r="IT293" s="133"/>
      <c r="IU293" s="133"/>
      <c r="IV293" s="133"/>
      <c r="IW293" s="133"/>
      <c r="IX293" s="133"/>
      <c r="IY293" s="133"/>
      <c r="IZ293" s="133"/>
      <c r="JA293" s="133"/>
      <c r="JB293" s="133"/>
      <c r="JC293" s="133"/>
      <c r="JD293" s="133"/>
      <c r="JE293" s="133"/>
      <c r="JF293" s="133"/>
      <c r="JG293" s="133"/>
      <c r="JH293" s="133"/>
      <c r="JI293" s="133"/>
      <c r="JJ293" s="133"/>
      <c r="JK293" s="133"/>
      <c r="JL293" s="133"/>
      <c r="JM293" s="133"/>
      <c r="JN293" s="133"/>
      <c r="JO293" s="133"/>
      <c r="JP293" s="133"/>
      <c r="JQ293" s="133"/>
      <c r="JR293" s="133"/>
      <c r="JS293" s="133"/>
      <c r="JT293" s="133"/>
      <c r="JU293" s="133"/>
      <c r="JV293" s="133"/>
      <c r="JW293" s="133"/>
      <c r="JX293" s="133"/>
      <c r="JY293" s="133"/>
      <c r="JZ293" s="133"/>
      <c r="KA293" s="133"/>
      <c r="KB293" s="133"/>
      <c r="KC293" s="133"/>
      <c r="KD293" s="133"/>
      <c r="KE293" s="133"/>
      <c r="KF293" s="133"/>
      <c r="KG293" s="133"/>
      <c r="KH293" s="133"/>
      <c r="KI293" s="133"/>
      <c r="KJ293" s="133"/>
      <c r="KK293" s="133"/>
      <c r="KL293" s="133"/>
      <c r="KM293" s="133"/>
      <c r="KN293" s="133"/>
      <c r="KO293" s="133"/>
      <c r="KP293" s="133"/>
      <c r="KQ293" s="133"/>
      <c r="KR293" s="133"/>
      <c r="KS293" s="133"/>
      <c r="KT293" s="133"/>
      <c r="KU293" s="133"/>
      <c r="KV293" s="133"/>
      <c r="KW293" s="133"/>
      <c r="KX293" s="133"/>
      <c r="KY293" s="133"/>
      <c r="KZ293" s="133"/>
      <c r="LA293" s="133"/>
      <c r="LB293" s="133"/>
      <c r="LC293" s="133"/>
      <c r="LD293" s="133"/>
      <c r="LE293" s="133"/>
      <c r="LF293" s="133"/>
      <c r="LG293" s="133"/>
      <c r="LH293" s="133"/>
      <c r="LI293" s="133"/>
      <c r="LJ293" s="133"/>
      <c r="LK293" s="133"/>
      <c r="LL293" s="133"/>
      <c r="LM293" s="133"/>
      <c r="LN293" s="133"/>
      <c r="LO293" s="133"/>
      <c r="LP293" s="133"/>
      <c r="LQ293" s="133"/>
      <c r="LR293" s="133"/>
      <c r="LS293" s="133"/>
      <c r="LT293" s="133"/>
      <c r="LU293" s="133"/>
      <c r="LV293" s="133"/>
      <c r="LW293" s="133"/>
      <c r="LX293" s="133"/>
      <c r="LY293" s="133"/>
      <c r="LZ293" s="133"/>
      <c r="MA293" s="133"/>
      <c r="MB293" s="133"/>
      <c r="MC293" s="133"/>
      <c r="MD293" s="133"/>
      <c r="ME293" s="133"/>
      <c r="MF293" s="133"/>
      <c r="MG293" s="133"/>
      <c r="MH293" s="133"/>
      <c r="MI293" s="133"/>
      <c r="MJ293" s="133"/>
      <c r="MK293" s="133"/>
      <c r="ML293" s="133"/>
      <c r="MM293" s="133"/>
      <c r="MN293" s="133"/>
      <c r="MO293" s="133"/>
      <c r="MP293" s="133"/>
      <c r="MQ293" s="133"/>
      <c r="MR293" s="133"/>
      <c r="MS293" s="133"/>
      <c r="MT293" s="133"/>
      <c r="MU293" s="133"/>
      <c r="MV293" s="133"/>
      <c r="MW293" s="133"/>
      <c r="MX293" s="133"/>
      <c r="MY293" s="133"/>
      <c r="MZ293" s="133"/>
      <c r="NA293" s="133"/>
      <c r="NB293" s="133"/>
      <c r="NC293" s="133"/>
      <c r="ND293" s="133"/>
      <c r="NE293" s="133"/>
      <c r="NF293" s="133"/>
      <c r="NG293" s="133"/>
      <c r="NH293" s="133"/>
      <c r="NI293" s="133"/>
      <c r="NJ293" s="133"/>
      <c r="NK293" s="133"/>
      <c r="NL293" s="133"/>
      <c r="NM293" s="133"/>
      <c r="NN293" s="133"/>
      <c r="NO293" s="133"/>
      <c r="NP293" s="133"/>
      <c r="NQ293" s="133"/>
      <c r="NR293" s="133"/>
      <c r="NS293" s="133"/>
      <c r="NT293" s="133"/>
      <c r="NU293" s="133"/>
      <c r="NV293" s="133"/>
      <c r="NW293" s="133"/>
      <c r="NX293" s="133"/>
      <c r="NY293" s="133"/>
      <c r="NZ293" s="133"/>
      <c r="OA293" s="133"/>
      <c r="OB293" s="133"/>
      <c r="OC293" s="133"/>
      <c r="OD293" s="133"/>
      <c r="OE293" s="133"/>
      <c r="OF293" s="133"/>
      <c r="OG293" s="133"/>
      <c r="OH293" s="133"/>
      <c r="OI293" s="133"/>
      <c r="OJ293" s="133"/>
      <c r="OK293" s="133"/>
      <c r="OL293" s="133"/>
      <c r="OM293" s="133"/>
      <c r="ON293" s="133"/>
      <c r="OO293" s="133"/>
      <c r="OP293" s="133"/>
      <c r="OQ293" s="133"/>
      <c r="OR293" s="133"/>
      <c r="OS293" s="133"/>
      <c r="OT293" s="133"/>
      <c r="OU293" s="133"/>
      <c r="OV293" s="133"/>
      <c r="OW293" s="133"/>
      <c r="OX293" s="133"/>
      <c r="OY293" s="133"/>
      <c r="OZ293" s="133"/>
      <c r="PA293" s="133"/>
      <c r="PB293" s="133"/>
      <c r="PC293" s="133"/>
      <c r="PD293" s="133"/>
      <c r="PE293" s="133"/>
      <c r="PF293" s="133"/>
      <c r="PG293" s="133"/>
      <c r="PH293" s="133"/>
      <c r="PI293" s="133"/>
      <c r="PJ293" s="133"/>
      <c r="PK293" s="133"/>
      <c r="PL293" s="133"/>
      <c r="PM293" s="133"/>
      <c r="PN293" s="133"/>
      <c r="PO293" s="133"/>
      <c r="PP293" s="133"/>
      <c r="PQ293" s="133"/>
      <c r="PR293" s="133"/>
      <c r="PS293" s="133"/>
      <c r="PT293" s="133"/>
      <c r="PU293" s="133"/>
      <c r="PV293" s="133"/>
      <c r="PW293" s="133"/>
      <c r="PX293" s="133"/>
      <c r="PY293" s="133"/>
      <c r="PZ293" s="133"/>
      <c r="QA293" s="133"/>
      <c r="QB293" s="133"/>
      <c r="QC293" s="133"/>
      <c r="QD293" s="133"/>
      <c r="QE293" s="133"/>
      <c r="QF293" s="133"/>
      <c r="QG293" s="133"/>
      <c r="QH293" s="133"/>
      <c r="QI293" s="133"/>
      <c r="QJ293" s="133"/>
      <c r="QK293" s="133"/>
      <c r="QL293" s="133"/>
      <c r="QM293" s="133"/>
      <c r="QN293" s="133"/>
      <c r="QO293" s="133"/>
      <c r="QP293" s="133"/>
      <c r="QQ293" s="133"/>
      <c r="QR293" s="133"/>
      <c r="QS293" s="133"/>
      <c r="QT293" s="133"/>
      <c r="QU293" s="133"/>
      <c r="QV293" s="133"/>
      <c r="QW293" s="133"/>
      <c r="QX293" s="133"/>
      <c r="QY293" s="133"/>
      <c r="QZ293" s="133"/>
      <c r="RA293" s="133"/>
      <c r="RB293" s="133"/>
      <c r="RC293" s="133"/>
      <c r="RD293" s="133"/>
      <c r="RE293" s="133"/>
      <c r="RF293" s="133"/>
      <c r="RG293" s="133"/>
      <c r="RH293" s="133"/>
      <c r="RI293" s="133"/>
      <c r="RJ293" s="133"/>
      <c r="RK293" s="133"/>
      <c r="RL293" s="133"/>
      <c r="RM293" s="133"/>
      <c r="RN293" s="133"/>
      <c r="RO293" s="133"/>
      <c r="RP293" s="133"/>
      <c r="RQ293" s="133"/>
      <c r="RR293" s="133"/>
      <c r="RS293" s="133"/>
      <c r="RT293" s="133"/>
      <c r="RU293" s="133"/>
      <c r="RV293" s="133"/>
      <c r="RW293" s="133"/>
      <c r="RX293" s="133"/>
      <c r="RY293" s="133"/>
      <c r="RZ293" s="133"/>
      <c r="SA293" s="133"/>
      <c r="SB293" s="133"/>
      <c r="SC293" s="133"/>
      <c r="SD293" s="133"/>
      <c r="SE293" s="133"/>
      <c r="SF293" s="133"/>
      <c r="SG293" s="133"/>
      <c r="SH293" s="133"/>
      <c r="SI293" s="133"/>
      <c r="SJ293" s="133"/>
      <c r="SK293" s="133"/>
      <c r="SL293" s="133"/>
      <c r="SM293" s="133"/>
      <c r="SN293" s="133"/>
      <c r="SO293" s="133"/>
      <c r="SP293" s="133"/>
      <c r="SQ293" s="133"/>
      <c r="SR293" s="133"/>
      <c r="SS293" s="133"/>
      <c r="ST293" s="133"/>
      <c r="SU293" s="133"/>
      <c r="SV293" s="133"/>
      <c r="SW293" s="133"/>
      <c r="SX293" s="133"/>
      <c r="SY293" s="133"/>
      <c r="SZ293" s="133"/>
      <c r="TA293" s="133"/>
      <c r="TB293" s="133"/>
      <c r="TC293" s="133"/>
      <c r="TD293" s="133"/>
      <c r="TE293" s="133"/>
      <c r="TF293" s="133"/>
      <c r="TG293" s="133"/>
      <c r="TH293" s="133"/>
      <c r="TI293" s="133"/>
      <c r="TJ293" s="133"/>
      <c r="TK293" s="133"/>
      <c r="TL293" s="133"/>
      <c r="TM293" s="133"/>
      <c r="TN293" s="133"/>
      <c r="TO293" s="133"/>
      <c r="TP293" s="133"/>
      <c r="TQ293" s="133"/>
      <c r="TR293" s="133"/>
      <c r="TS293" s="133"/>
      <c r="TT293" s="133"/>
      <c r="TU293" s="133"/>
      <c r="TV293" s="133"/>
      <c r="TW293" s="133"/>
      <c r="TX293" s="133"/>
      <c r="TY293" s="133"/>
      <c r="TZ293" s="133"/>
      <c r="UA293" s="133"/>
      <c r="UB293" s="133"/>
      <c r="UC293" s="133"/>
      <c r="UD293" s="133"/>
      <c r="UE293" s="133"/>
      <c r="UF293" s="133"/>
      <c r="UG293" s="133"/>
      <c r="UH293" s="133"/>
      <c r="UI293" s="133"/>
      <c r="UJ293" s="133"/>
      <c r="UK293" s="133"/>
      <c r="UL293" s="133"/>
      <c r="UM293" s="133"/>
      <c r="UN293" s="133"/>
      <c r="UO293" s="133"/>
      <c r="UP293" s="133"/>
      <c r="UQ293" s="133"/>
      <c r="UR293" s="133"/>
      <c r="US293" s="133"/>
      <c r="UT293" s="133"/>
      <c r="UU293" s="133"/>
      <c r="UV293" s="133"/>
      <c r="UW293" s="133"/>
      <c r="UX293" s="133"/>
      <c r="UY293" s="133"/>
      <c r="UZ293" s="133"/>
      <c r="VA293" s="133"/>
      <c r="VB293" s="133"/>
      <c r="VC293" s="133"/>
      <c r="VD293" s="133"/>
      <c r="VE293" s="133"/>
      <c r="VF293" s="133"/>
      <c r="VG293" s="133"/>
      <c r="VH293" s="133"/>
      <c r="VI293" s="133"/>
      <c r="VJ293" s="133"/>
      <c r="VK293" s="133"/>
      <c r="VL293" s="133"/>
      <c r="VM293" s="133"/>
      <c r="VN293" s="133"/>
      <c r="VO293" s="133"/>
      <c r="VP293" s="133"/>
      <c r="VQ293" s="133"/>
      <c r="VR293" s="133"/>
      <c r="VS293" s="133"/>
      <c r="VT293" s="133"/>
      <c r="VU293" s="133"/>
      <c r="VV293" s="133"/>
      <c r="VW293" s="133"/>
      <c r="VX293" s="133"/>
      <c r="VY293" s="133"/>
      <c r="VZ293" s="133"/>
      <c r="WA293" s="133"/>
      <c r="WB293" s="133"/>
      <c r="WC293" s="133"/>
      <c r="WD293" s="133"/>
      <c r="WE293" s="133"/>
      <c r="WF293" s="133"/>
      <c r="WG293" s="133"/>
      <c r="WH293" s="133"/>
      <c r="WI293" s="133"/>
      <c r="WJ293" s="133"/>
      <c r="WK293" s="133"/>
      <c r="WL293" s="133"/>
      <c r="WM293" s="133"/>
      <c r="WN293" s="133"/>
      <c r="WO293" s="133"/>
      <c r="WP293" s="133"/>
      <c r="WQ293" s="133"/>
      <c r="WR293" s="133"/>
      <c r="WS293" s="133"/>
      <c r="WT293" s="133"/>
      <c r="WU293" s="133"/>
      <c r="WV293" s="133"/>
      <c r="WW293" s="133"/>
      <c r="WX293" s="133"/>
      <c r="WY293" s="133"/>
      <c r="WZ293" s="133"/>
      <c r="XA293" s="133"/>
      <c r="XB293" s="133"/>
      <c r="XC293" s="133"/>
      <c r="XD293" s="133"/>
      <c r="XE293" s="133"/>
      <c r="XF293" s="133"/>
      <c r="XG293" s="133"/>
      <c r="XH293" s="133"/>
      <c r="XI293" s="133"/>
      <c r="XJ293" s="133"/>
      <c r="XK293" s="133"/>
      <c r="XL293" s="133"/>
      <c r="XM293" s="133"/>
      <c r="XN293" s="133"/>
      <c r="XO293" s="133"/>
      <c r="XP293" s="133"/>
      <c r="XQ293" s="133"/>
      <c r="XR293" s="133"/>
      <c r="XS293" s="133"/>
      <c r="XT293" s="133"/>
      <c r="XU293" s="133"/>
      <c r="XV293" s="133"/>
      <c r="XW293" s="133"/>
      <c r="XX293" s="133"/>
      <c r="XY293" s="133"/>
      <c r="XZ293" s="133"/>
      <c r="YA293" s="133"/>
      <c r="YB293" s="133"/>
      <c r="YC293" s="133"/>
      <c r="YD293" s="133"/>
      <c r="YE293" s="133"/>
      <c r="YF293" s="133"/>
      <c r="YG293" s="133"/>
      <c r="YH293" s="133"/>
      <c r="YI293" s="133"/>
      <c r="YJ293" s="133"/>
      <c r="YK293" s="133"/>
      <c r="YL293" s="133"/>
      <c r="YM293" s="133"/>
      <c r="YN293" s="133"/>
      <c r="YO293" s="133"/>
      <c r="YP293" s="133"/>
      <c r="YQ293" s="133"/>
      <c r="YR293" s="133"/>
      <c r="YS293" s="133"/>
      <c r="YT293" s="133"/>
      <c r="YU293" s="133"/>
      <c r="YV293" s="133"/>
      <c r="YW293" s="133"/>
      <c r="YX293" s="133"/>
      <c r="YY293" s="133"/>
      <c r="YZ293" s="133"/>
      <c r="ZA293" s="133"/>
      <c r="ZB293" s="133"/>
      <c r="ZC293" s="133"/>
      <c r="ZD293" s="133"/>
      <c r="ZE293" s="133"/>
      <c r="ZF293" s="133"/>
      <c r="ZG293" s="133"/>
      <c r="ZH293" s="133"/>
      <c r="ZI293" s="133"/>
      <c r="ZJ293" s="133"/>
      <c r="ZK293" s="133"/>
      <c r="ZL293" s="133"/>
      <c r="ZM293" s="133"/>
      <c r="ZN293" s="133"/>
      <c r="ZO293" s="133"/>
      <c r="ZP293" s="133"/>
      <c r="ZQ293" s="133"/>
      <c r="ZR293" s="133"/>
      <c r="ZS293" s="133"/>
      <c r="ZT293" s="133"/>
      <c r="ZU293" s="133"/>
      <c r="ZV293" s="133"/>
      <c r="ZW293" s="133"/>
      <c r="ZX293" s="133"/>
      <c r="ZY293" s="133"/>
      <c r="ZZ293" s="133"/>
      <c r="AAA293" s="133"/>
      <c r="AAB293" s="133"/>
      <c r="AAC293" s="133"/>
      <c r="AAD293" s="133"/>
      <c r="AAE293" s="133"/>
      <c r="AAF293" s="133"/>
      <c r="AAG293" s="133"/>
      <c r="AAH293" s="133"/>
      <c r="AAI293" s="133"/>
      <c r="AAJ293" s="133"/>
      <c r="AAK293" s="133"/>
      <c r="AAL293" s="133"/>
      <c r="AAM293" s="133"/>
      <c r="AAN293" s="133"/>
      <c r="AAO293" s="133"/>
      <c r="AAP293" s="133"/>
      <c r="AAQ293" s="133"/>
      <c r="AAR293" s="133"/>
      <c r="AAS293" s="133"/>
      <c r="AAT293" s="133"/>
      <c r="AAU293" s="133"/>
      <c r="AAV293" s="133"/>
      <c r="AAW293" s="133"/>
      <c r="AAX293" s="133"/>
      <c r="AAY293" s="133"/>
      <c r="AAZ293" s="133"/>
      <c r="ABA293" s="133"/>
      <c r="ABB293" s="133"/>
      <c r="ABC293" s="133"/>
      <c r="ABD293" s="133"/>
      <c r="ABE293" s="133"/>
      <c r="ABF293" s="133"/>
      <c r="ABG293" s="133"/>
      <c r="ABH293" s="133"/>
      <c r="ABI293" s="133"/>
      <c r="ABJ293" s="133"/>
      <c r="ABK293" s="133"/>
      <c r="ABL293" s="133"/>
      <c r="ABM293" s="133"/>
      <c r="ABN293" s="133"/>
      <c r="ABO293" s="133"/>
      <c r="ABP293" s="133"/>
      <c r="ABQ293" s="133"/>
      <c r="ABR293" s="133"/>
      <c r="ABS293" s="133"/>
      <c r="ABT293" s="133"/>
      <c r="ABU293" s="133"/>
      <c r="ABV293" s="133"/>
      <c r="ABW293" s="133"/>
      <c r="ABX293" s="133"/>
      <c r="ABY293" s="133"/>
      <c r="ABZ293" s="133"/>
      <c r="ACA293" s="133"/>
      <c r="ACB293" s="133"/>
      <c r="ACC293" s="133"/>
      <c r="ACD293" s="133"/>
      <c r="ACE293" s="133"/>
      <c r="ACF293" s="133"/>
      <c r="ACG293" s="133"/>
      <c r="ACH293" s="133"/>
      <c r="ACI293" s="133"/>
      <c r="ACJ293" s="133"/>
      <c r="ACK293" s="133"/>
      <c r="ACL293" s="133"/>
      <c r="ACM293" s="133"/>
      <c r="ACN293" s="133"/>
      <c r="ACO293" s="133"/>
      <c r="ACP293" s="133"/>
      <c r="ACQ293" s="133"/>
      <c r="ACR293" s="133"/>
      <c r="ACS293" s="133"/>
      <c r="ACT293" s="133"/>
      <c r="ACU293" s="133"/>
      <c r="ACV293" s="133"/>
      <c r="ACW293" s="133"/>
      <c r="ACX293" s="133"/>
      <c r="ACY293" s="133"/>
      <c r="ACZ293" s="133"/>
      <c r="ADA293" s="133"/>
      <c r="ADB293" s="133"/>
      <c r="ADC293" s="133"/>
      <c r="ADD293" s="133"/>
      <c r="ADE293" s="133"/>
      <c r="ADF293" s="133"/>
      <c r="ADG293" s="133"/>
      <c r="ADH293" s="133"/>
      <c r="ADI293" s="133"/>
      <c r="ADJ293" s="133"/>
      <c r="ADK293" s="133"/>
      <c r="ADL293" s="133"/>
      <c r="ADM293" s="133"/>
      <c r="ADN293" s="133"/>
      <c r="ADO293" s="133"/>
      <c r="ADP293" s="133"/>
      <c r="ADQ293" s="133"/>
      <c r="ADR293" s="133"/>
      <c r="ADS293" s="133"/>
      <c r="ADT293" s="133"/>
      <c r="ADU293" s="133"/>
      <c r="ADV293" s="133"/>
      <c r="ADW293" s="133"/>
      <c r="ADX293" s="133"/>
      <c r="ADY293" s="133"/>
      <c r="ADZ293" s="133"/>
      <c r="AEA293" s="133"/>
      <c r="AEB293" s="133"/>
      <c r="AEC293" s="133"/>
      <c r="AED293" s="133"/>
      <c r="AEE293" s="133"/>
      <c r="AEF293" s="133"/>
      <c r="AEG293" s="133"/>
      <c r="AEH293" s="133"/>
      <c r="AEI293" s="133"/>
      <c r="AEJ293" s="133"/>
      <c r="AEK293" s="133"/>
      <c r="AEL293" s="133"/>
      <c r="AEM293" s="133"/>
      <c r="AEN293" s="133"/>
      <c r="AEO293" s="133"/>
      <c r="AEP293" s="133"/>
      <c r="AEQ293" s="133"/>
      <c r="AER293" s="133"/>
      <c r="AES293" s="133"/>
      <c r="AET293" s="133"/>
      <c r="AEU293" s="133"/>
      <c r="AEV293" s="133"/>
      <c r="AEW293" s="133"/>
      <c r="AEX293" s="133"/>
      <c r="AEY293" s="133"/>
      <c r="AEZ293" s="133"/>
      <c r="AFA293" s="133"/>
      <c r="AFB293" s="133"/>
      <c r="AFC293" s="133"/>
      <c r="AFD293" s="133"/>
      <c r="AFE293" s="133"/>
      <c r="AFF293" s="133"/>
      <c r="AFG293" s="133"/>
      <c r="AFH293" s="133"/>
      <c r="AFI293" s="133"/>
      <c r="AFJ293" s="133"/>
      <c r="AFK293" s="133"/>
      <c r="AFL293" s="133"/>
      <c r="AFM293" s="133"/>
      <c r="AFN293" s="133"/>
      <c r="AFO293" s="133"/>
      <c r="AFP293" s="133"/>
      <c r="AFQ293" s="133"/>
      <c r="AFR293" s="133"/>
      <c r="AFS293" s="133"/>
      <c r="AFT293" s="133"/>
      <c r="AFU293" s="133"/>
      <c r="AFV293" s="133"/>
      <c r="AFW293" s="133"/>
      <c r="AFX293" s="133"/>
      <c r="AFY293" s="133"/>
      <c r="AFZ293" s="133"/>
      <c r="AGA293" s="133"/>
      <c r="AGB293" s="133"/>
      <c r="AGC293" s="133"/>
      <c r="AGD293" s="133"/>
      <c r="AGE293" s="133"/>
      <c r="AGF293" s="133"/>
      <c r="AGG293" s="133"/>
      <c r="AGH293" s="133"/>
      <c r="AGI293" s="133"/>
      <c r="AGJ293" s="133"/>
      <c r="AGK293" s="133"/>
      <c r="AGL293" s="133"/>
      <c r="AGM293" s="133"/>
      <c r="AGN293" s="133"/>
      <c r="AGO293" s="133"/>
      <c r="AGP293" s="133"/>
      <c r="AGQ293" s="133"/>
      <c r="AGR293" s="133"/>
      <c r="AGS293" s="133"/>
      <c r="AGT293" s="133"/>
      <c r="AGU293" s="133"/>
      <c r="AGV293" s="133"/>
      <c r="AGW293" s="133"/>
      <c r="AGX293" s="133"/>
      <c r="AGY293" s="133"/>
      <c r="AGZ293" s="133"/>
      <c r="AHA293" s="133"/>
      <c r="AHB293" s="133"/>
      <c r="AHC293" s="133"/>
      <c r="AHD293" s="133"/>
      <c r="AHE293" s="133"/>
      <c r="AHF293" s="133"/>
      <c r="AHG293" s="133"/>
      <c r="AHH293" s="133"/>
      <c r="AHI293" s="133"/>
      <c r="AHJ293" s="133"/>
      <c r="AHK293" s="133"/>
      <c r="AHL293" s="133"/>
      <c r="AHM293" s="133"/>
      <c r="AHN293" s="133"/>
      <c r="AHO293" s="133"/>
      <c r="AHP293" s="133"/>
      <c r="AHQ293" s="133"/>
      <c r="AHR293" s="133"/>
      <c r="AHS293" s="133"/>
      <c r="AHT293" s="133"/>
      <c r="AHU293" s="133"/>
      <c r="AHV293" s="133"/>
      <c r="AHW293" s="133"/>
      <c r="AHX293" s="133"/>
      <c r="AHY293" s="133"/>
      <c r="AHZ293" s="133"/>
      <c r="AIA293" s="133"/>
      <c r="AIB293" s="133"/>
      <c r="AIC293" s="133"/>
      <c r="AID293" s="133"/>
      <c r="AIE293" s="133"/>
      <c r="AIF293" s="133"/>
      <c r="AIG293" s="133"/>
      <c r="AIH293" s="133"/>
      <c r="AII293" s="133"/>
      <c r="AIJ293" s="133"/>
      <c r="AIK293" s="133"/>
      <c r="AIL293" s="133"/>
      <c r="AIM293" s="133"/>
      <c r="AIN293" s="133"/>
      <c r="AIO293" s="133"/>
      <c r="AIP293" s="133"/>
      <c r="AIQ293" s="133"/>
      <c r="AIR293" s="133"/>
      <c r="AIS293" s="133"/>
      <c r="AIT293" s="133"/>
      <c r="AIU293" s="133"/>
      <c r="AIV293" s="133"/>
      <c r="AIW293" s="133"/>
      <c r="AIX293" s="133"/>
      <c r="AIY293" s="133"/>
      <c r="AIZ293" s="133"/>
      <c r="AJA293" s="133"/>
      <c r="AJB293" s="133"/>
      <c r="AJC293" s="133"/>
      <c r="AJD293" s="133"/>
      <c r="AJE293" s="133"/>
      <c r="AJF293" s="133"/>
      <c r="AJG293" s="133"/>
      <c r="AJH293" s="133"/>
      <c r="AJI293" s="133"/>
      <c r="AJJ293" s="133"/>
      <c r="AJK293" s="133"/>
      <c r="AJL293" s="133"/>
      <c r="AJM293" s="133"/>
      <c r="AJN293" s="133"/>
      <c r="AJO293" s="133"/>
      <c r="AJP293" s="133"/>
      <c r="AJQ293" s="133"/>
      <c r="AJR293" s="133"/>
      <c r="AJS293" s="133"/>
      <c r="AJT293" s="133"/>
      <c r="AJU293" s="133"/>
      <c r="AJV293" s="133"/>
      <c r="AJW293" s="133"/>
      <c r="AJX293" s="133"/>
      <c r="AJY293" s="133"/>
      <c r="AJZ293" s="133"/>
      <c r="AKA293" s="133"/>
      <c r="AKB293" s="133"/>
      <c r="AKC293" s="133"/>
      <c r="AKD293" s="133"/>
      <c r="AKE293" s="133"/>
      <c r="AKF293" s="133"/>
      <c r="AKG293" s="133"/>
      <c r="AKH293" s="133"/>
      <c r="AKI293" s="133"/>
      <c r="AKJ293" s="133"/>
      <c r="AKK293" s="133"/>
      <c r="AKL293" s="133"/>
      <c r="AKM293" s="133"/>
      <c r="AKN293" s="133"/>
      <c r="AKO293" s="133"/>
      <c r="AKP293" s="133"/>
      <c r="AKQ293" s="133"/>
      <c r="AKR293" s="133"/>
      <c r="AKS293" s="133"/>
      <c r="AKT293" s="133"/>
      <c r="AKU293" s="133"/>
      <c r="AKV293" s="133"/>
      <c r="AKW293" s="133"/>
      <c r="AKX293" s="133"/>
      <c r="AKY293" s="133"/>
      <c r="AKZ293" s="133"/>
      <c r="ALA293" s="133"/>
      <c r="ALB293" s="133"/>
      <c r="ALC293" s="133"/>
      <c r="ALD293" s="133"/>
      <c r="ALE293" s="133"/>
      <c r="ALF293" s="133"/>
      <c r="ALG293" s="133"/>
      <c r="ALH293" s="133"/>
      <c r="ALI293" s="133"/>
      <c r="ALJ293" s="133"/>
      <c r="ALK293" s="133"/>
      <c r="ALL293" s="133"/>
      <c r="ALM293" s="133"/>
      <c r="ALN293" s="133"/>
      <c r="ALO293" s="133"/>
      <c r="ALP293" s="133"/>
      <c r="ALQ293" s="133"/>
      <c r="ALR293" s="133"/>
      <c r="ALS293" s="133"/>
      <c r="ALT293" s="133"/>
      <c r="ALU293" s="133"/>
      <c r="ALV293" s="133"/>
      <c r="ALW293" s="133"/>
      <c r="ALX293" s="133"/>
      <c r="ALY293" s="133"/>
      <c r="ALZ293" s="133"/>
      <c r="AMA293" s="133"/>
      <c r="AMB293" s="133"/>
      <c r="AMC293" s="133"/>
      <c r="AMD293" s="133"/>
      <c r="AME293" s="133"/>
      <c r="AMF293" s="133"/>
      <c r="AMG293" s="133"/>
      <c r="AMH293" s="133"/>
      <c r="AMI293" s="133"/>
      <c r="AMJ293" s="133"/>
      <c r="AMK293" s="133"/>
      <c r="AML293" s="133"/>
      <c r="AMM293" s="133"/>
      <c r="AMN293" s="133"/>
      <c r="AMO293" s="133"/>
    </row>
    <row r="294" spans="1:1029" s="147" customFormat="1" ht="102">
      <c r="A294" s="148"/>
      <c r="B294" s="155" t="str">
        <f t="shared" ca="1" si="743"/>
        <v>MLX</v>
      </c>
      <c r="C294" s="155" t="s">
        <v>58</v>
      </c>
      <c r="D294" s="156" t="s">
        <v>664</v>
      </c>
      <c r="E294" s="157" t="str">
        <f ca="1">INDIRECT(ADDRESS(ROW()-1,COLUMN()))</f>
        <v>0x10BC</v>
      </c>
      <c r="F294" s="157">
        <v>9</v>
      </c>
      <c r="G294" s="157">
        <v>7</v>
      </c>
      <c r="H294" s="157">
        <v>1</v>
      </c>
      <c r="I294" s="157" t="s">
        <v>76</v>
      </c>
      <c r="J294" s="151" t="str">
        <f t="shared" ref="J294:J295" si="1032">IF(D294&lt;&gt;"-","["&amp;AI294&amp;":"&amp;AJ294&amp;"]","-")</f>
        <v>[15:7]</v>
      </c>
      <c r="K294" s="151">
        <f t="shared" ref="K294:K295" si="1033">IF(H294,-L294-1,0)</f>
        <v>-256</v>
      </c>
      <c r="L294" s="151">
        <f t="shared" ref="L294:L295" si="1034">IF(H294,FLOOR((2^F294-1)/2,1),2^F294-1)</f>
        <v>255</v>
      </c>
      <c r="M294" s="159" t="s">
        <v>677</v>
      </c>
      <c r="N294" s="28"/>
      <c r="O294" s="157">
        <v>47</v>
      </c>
      <c r="P294" s="157">
        <f>O294</f>
        <v>47</v>
      </c>
      <c r="Q294" s="157">
        <f>O294</f>
        <v>47</v>
      </c>
      <c r="R294" s="157">
        <f>O294</f>
        <v>47</v>
      </c>
      <c r="S294" s="163">
        <f>P294</f>
        <v>47</v>
      </c>
      <c r="T294" s="163">
        <v>47</v>
      </c>
      <c r="U294" s="163">
        <f>S294</f>
        <v>47</v>
      </c>
      <c r="V294" s="163">
        <f t="shared" si="995"/>
        <v>47</v>
      </c>
      <c r="W294" s="158"/>
      <c r="X294" s="157">
        <f t="shared" ref="X294:X295" ca="1" si="1035">IF(H294=0,AP294,    IF(AP294&lt;=2^(F294-1)-1,AP294,AP294-2^F294)  )</f>
        <v>47</v>
      </c>
      <c r="Y294" s="150"/>
      <c r="Z294" s="149"/>
      <c r="AA294" s="149"/>
      <c r="AB294" s="149"/>
      <c r="AC294" s="148" t="b">
        <f t="shared" si="1003"/>
        <v>1</v>
      </c>
      <c r="AD294" s="148" t="str">
        <f t="shared" ref="AD294:AD295" si="1036">IF(AND(D294="-",C294&lt;&gt;"-"),E294,"-")</f>
        <v>-</v>
      </c>
      <c r="AE294" s="148" t="str">
        <f t="shared" ref="AE294:AE295" si="1037">IF(D294="-",C294,"-")</f>
        <v>-</v>
      </c>
      <c r="AF294" s="148" t="str">
        <f t="shared" ref="AF294:AF295" ca="1" si="1038">IF(AND(D294&lt;&gt;"-",ISTEXT(D294)),E294,"-")</f>
        <v>0x10BC</v>
      </c>
      <c r="AG294" s="148" t="str">
        <f t="shared" ref="AG294:AG295" si="1039">IF(AND(D294&lt;&gt;"-",ISTEXT(D294)),D294,"-")</f>
        <v>VIRT_REF_TDIE_DIAG_BASE</v>
      </c>
      <c r="AH294" s="148">
        <f t="shared" ref="AH294:AH295" si="1040">IF(D294&lt;&gt;"-",F294,"-")</f>
        <v>9</v>
      </c>
      <c r="AI294" s="148">
        <f t="shared" ref="AI294:AI295" si="1041">IF(D294&lt;&gt;"-",G294+F294-1,"-")</f>
        <v>15</v>
      </c>
      <c r="AJ294" s="148">
        <f t="shared" ref="AJ294:AJ295" si="1042">IF(D294&lt;&gt;"-",G294,"-")</f>
        <v>7</v>
      </c>
      <c r="AK294" s="148">
        <f t="shared" ref="AK294:AK295" si="1043">IF(OR(AH294="-",AJ294="-"),AD294,(2^AH294-1)*2^AJ294)</f>
        <v>65408</v>
      </c>
      <c r="AL294" s="148" t="str">
        <f t="shared" ref="AL294:AL295" si="1044">IF(D294="-",B294,"-")</f>
        <v>-</v>
      </c>
      <c r="AM294" s="149">
        <f t="shared" si="1004"/>
        <v>47</v>
      </c>
      <c r="AN294" s="148">
        <f t="shared" ref="AN294:AN295" si="1045">IF(OR(AH294="-",AJ294="-"),AD294,IF(AM294&lt;0,AM294+2^AH294,AM294)*2^AJ294)</f>
        <v>6016</v>
      </c>
      <c r="AO294" s="149" t="str">
        <f ca="1">IF(AF294="-",VLOOKUP(AD294,MemoryView!$A$3:$F$108,6,0),MID(VLOOKUP(AF294,MemoryView!$BD$3:$BE$108,2,0),15-AI294+1,AH294))</f>
        <v>000101111</v>
      </c>
      <c r="AP294" s="149">
        <f t="shared" ref="AP294:AP295" ca="1" si="1046">IF(AF294="-",HEX2DEC(AO294),IF(LEN(AO294)&gt;8,BIN2DEC(LEFT(AO294,LEN(AO294)-8))*2^8+BIN2DEC(RIGHT(AO294,8)),BIN2DEC(AO294)))</f>
        <v>47</v>
      </c>
      <c r="AQ294" s="153" t="str">
        <f t="shared" ref="AQ294:AQ295" si="1047">IF(AG294&lt;&gt;"-",CONCATENATE("`EE_MNG.",AG294,".SET(",AM294,");        // [",K294,"..",L294,"]"),"-")</f>
        <v>`EE_MNG.VIRT_REF_TDIE_DIAG_BASE.SET(47);        // [-256..255]</v>
      </c>
      <c r="AR294" s="154" t="str">
        <f t="shared" ref="AR294:AR295" ca="1" si="1048">IF(AND(AD294="-",AE294="-",AF294="-",AG294="-"),"-",IF(AG294&lt;&gt;"-",CONCATENATE("EE_MEM #(`PARAM(16'h",RIGHT(AF294,4),", ",G294,", ",F294,", ",H294,")) ",AG294,"(); bit ",IF(H294=0,"unsigned [","signed ["),F294,"-1:0] ", AG294,"_V; assign ",AG294,"_V = ",AG294,".GET;"), CONCATENATE("EE_MEM #(`PARAM(16'h",RIGHT(AD294,4),", ",G294,", ",F294,", ",H294,")) ",AE294,"(); bit ",IF(H294=0,"unsigned [","signed ["),F294,"-1:0] ", AE294,"_V; assign ",AE294,"_V = ",AE294,".GET;")))</f>
        <v>EE_MEM #(`PARAM(16'h10BC, 7, 9, 1)) VIRT_REF_TDIE_DIAG_BASE(); bit signed [9-1:0] VIRT_REF_TDIE_DIAG_BASE_V; assign VIRT_REF_TDIE_DIAG_BASE_V = VIRT_REF_TDIE_DIAG_BASE.GET;</v>
      </c>
      <c r="AS294" s="148" t="str">
        <f t="shared" ref="AS294:AS295" ca="1" si="1049">IF(AG294="-",AE294,INDIRECT(ADDRESS(ROW()-1,COLUMN())))</f>
        <v>EE_VIRT_REF_TDIE</v>
      </c>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48"/>
      <c r="EA294" s="148"/>
      <c r="EB294" s="148"/>
      <c r="EC294" s="148"/>
      <c r="ED294" s="148"/>
      <c r="EE294" s="148"/>
      <c r="EF294" s="148"/>
      <c r="EG294" s="148"/>
      <c r="EH294" s="148"/>
      <c r="EI294" s="148"/>
      <c r="EJ294" s="148"/>
      <c r="EK294" s="148"/>
      <c r="EL294" s="148"/>
      <c r="EM294" s="148"/>
      <c r="EN294" s="148"/>
      <c r="EO294" s="148"/>
      <c r="EP294" s="148"/>
      <c r="EQ294" s="148"/>
      <c r="ER294" s="148"/>
      <c r="ES294" s="148"/>
      <c r="ET294" s="148"/>
      <c r="EU294" s="148"/>
      <c r="EV294" s="148"/>
      <c r="EW294" s="148"/>
      <c r="EX294" s="148"/>
      <c r="EY294" s="148"/>
      <c r="EZ294" s="148"/>
      <c r="FA294" s="148"/>
      <c r="FB294" s="148"/>
      <c r="FC294" s="148"/>
      <c r="FD294" s="148"/>
      <c r="FE294" s="148"/>
      <c r="FF294" s="148"/>
      <c r="FG294" s="148"/>
      <c r="FH294" s="148"/>
      <c r="FI294" s="148"/>
      <c r="FJ294" s="148"/>
      <c r="FK294" s="148"/>
      <c r="FL294" s="148"/>
      <c r="FM294" s="148"/>
      <c r="FN294" s="148"/>
      <c r="FO294" s="148"/>
      <c r="FP294" s="148"/>
      <c r="FQ294" s="148"/>
      <c r="FR294" s="148"/>
      <c r="FS294" s="148"/>
      <c r="FT294" s="148"/>
      <c r="FU294" s="148"/>
      <c r="FV294" s="148"/>
      <c r="FW294" s="148"/>
      <c r="FX294" s="148"/>
      <c r="FY294" s="148"/>
      <c r="FZ294" s="148"/>
      <c r="GA294" s="148"/>
      <c r="GB294" s="148"/>
      <c r="GC294" s="148"/>
      <c r="GD294" s="148"/>
      <c r="GE294" s="148"/>
      <c r="GF294" s="148"/>
      <c r="GG294" s="148"/>
      <c r="GH294" s="148"/>
      <c r="GI294" s="148"/>
      <c r="GJ294" s="148"/>
      <c r="GK294" s="148"/>
      <c r="GL294" s="148"/>
      <c r="GM294" s="148"/>
      <c r="GN294" s="148"/>
      <c r="GO294" s="148"/>
      <c r="GP294" s="148"/>
      <c r="GQ294" s="148"/>
      <c r="GR294" s="148"/>
      <c r="GS294" s="148"/>
      <c r="GT294" s="148"/>
      <c r="GU294" s="148"/>
      <c r="GV294" s="148"/>
      <c r="GW294" s="148"/>
      <c r="GX294" s="148"/>
      <c r="GY294" s="148"/>
      <c r="GZ294" s="148"/>
      <c r="HA294" s="148"/>
      <c r="HB294" s="148"/>
      <c r="HC294" s="148"/>
      <c r="HD294" s="148"/>
      <c r="HE294" s="148"/>
      <c r="HF294" s="148"/>
      <c r="HG294" s="148"/>
      <c r="HH294" s="148"/>
      <c r="HI294" s="148"/>
      <c r="HJ294" s="148"/>
      <c r="HK294" s="148"/>
      <c r="HL294" s="148"/>
      <c r="HM294" s="148"/>
      <c r="HN294" s="148"/>
      <c r="HO294" s="148"/>
      <c r="HP294" s="148"/>
      <c r="HQ294" s="148"/>
      <c r="HR294" s="148"/>
      <c r="HS294" s="148"/>
      <c r="HT294" s="148"/>
      <c r="HU294" s="148"/>
      <c r="HV294" s="148"/>
      <c r="HW294" s="148"/>
      <c r="HX294" s="148"/>
      <c r="HY294" s="148"/>
      <c r="HZ294" s="148"/>
      <c r="IA294" s="148"/>
      <c r="IB294" s="148"/>
      <c r="IC294" s="148"/>
      <c r="ID294" s="148"/>
      <c r="IE294" s="148"/>
      <c r="IF294" s="148"/>
      <c r="IG294" s="148"/>
      <c r="IH294" s="148"/>
      <c r="II294" s="148"/>
      <c r="IJ294" s="148"/>
      <c r="IK294" s="148"/>
      <c r="IL294" s="148"/>
      <c r="IM294" s="148"/>
      <c r="IN294" s="148"/>
      <c r="IO294" s="148"/>
      <c r="IP294" s="148"/>
      <c r="IQ294" s="148"/>
      <c r="IR294" s="148"/>
      <c r="IS294" s="148"/>
      <c r="IT294" s="148"/>
      <c r="IU294" s="148"/>
      <c r="IV294" s="148"/>
      <c r="IW294" s="148"/>
      <c r="IX294" s="148"/>
      <c r="IY294" s="148"/>
      <c r="IZ294" s="148"/>
      <c r="JA294" s="148"/>
      <c r="JB294" s="148"/>
      <c r="JC294" s="148"/>
      <c r="JD294" s="148"/>
      <c r="JE294" s="148"/>
      <c r="JF294" s="148"/>
      <c r="JG294" s="148"/>
      <c r="JH294" s="148"/>
      <c r="JI294" s="148"/>
      <c r="JJ294" s="148"/>
      <c r="JK294" s="148"/>
      <c r="JL294" s="148"/>
      <c r="JM294" s="148"/>
      <c r="JN294" s="148"/>
      <c r="JO294" s="148"/>
      <c r="JP294" s="148"/>
      <c r="JQ294" s="148"/>
      <c r="JR294" s="148"/>
      <c r="JS294" s="148"/>
      <c r="JT294" s="148"/>
      <c r="JU294" s="148"/>
      <c r="JV294" s="148"/>
      <c r="JW294" s="148"/>
      <c r="JX294" s="148"/>
      <c r="JY294" s="148"/>
      <c r="JZ294" s="148"/>
      <c r="KA294" s="148"/>
      <c r="KB294" s="148"/>
      <c r="KC294" s="148"/>
      <c r="KD294" s="148"/>
      <c r="KE294" s="148"/>
      <c r="KF294" s="148"/>
      <c r="KG294" s="148"/>
      <c r="KH294" s="148"/>
      <c r="KI294" s="148"/>
      <c r="KJ294" s="148"/>
      <c r="KK294" s="148"/>
      <c r="KL294" s="148"/>
      <c r="KM294" s="148"/>
      <c r="KN294" s="148"/>
      <c r="KO294" s="148"/>
      <c r="KP294" s="148"/>
      <c r="KQ294" s="148"/>
      <c r="KR294" s="148"/>
      <c r="KS294" s="148"/>
      <c r="KT294" s="148"/>
      <c r="KU294" s="148"/>
      <c r="KV294" s="148"/>
      <c r="KW294" s="148"/>
      <c r="KX294" s="148"/>
      <c r="KY294" s="148"/>
      <c r="KZ294" s="148"/>
      <c r="LA294" s="148"/>
      <c r="LB294" s="148"/>
      <c r="LC294" s="148"/>
      <c r="LD294" s="148"/>
      <c r="LE294" s="148"/>
      <c r="LF294" s="148"/>
      <c r="LG294" s="148"/>
      <c r="LH294" s="148"/>
      <c r="LI294" s="148"/>
      <c r="LJ294" s="148"/>
      <c r="LK294" s="148"/>
      <c r="LL294" s="148"/>
      <c r="LM294" s="148"/>
      <c r="LN294" s="148"/>
      <c r="LO294" s="148"/>
      <c r="LP294" s="148"/>
      <c r="LQ294" s="148"/>
      <c r="LR294" s="148"/>
      <c r="LS294" s="148"/>
      <c r="LT294" s="148"/>
      <c r="LU294" s="148"/>
      <c r="LV294" s="148"/>
      <c r="LW294" s="148"/>
      <c r="LX294" s="148"/>
      <c r="LY294" s="148"/>
      <c r="LZ294" s="148"/>
      <c r="MA294" s="148"/>
      <c r="MB294" s="148"/>
      <c r="MC294" s="148"/>
      <c r="MD294" s="148"/>
      <c r="ME294" s="148"/>
      <c r="MF294" s="148"/>
      <c r="MG294" s="148"/>
      <c r="MH294" s="148"/>
      <c r="MI294" s="148"/>
      <c r="MJ294" s="148"/>
      <c r="MK294" s="148"/>
      <c r="ML294" s="148"/>
      <c r="MM294" s="148"/>
      <c r="MN294" s="148"/>
      <c r="MO294" s="148"/>
      <c r="MP294" s="148"/>
      <c r="MQ294" s="148"/>
      <c r="MR294" s="148"/>
      <c r="MS294" s="148"/>
      <c r="MT294" s="148"/>
      <c r="MU294" s="148"/>
      <c r="MV294" s="148"/>
      <c r="MW294" s="148"/>
      <c r="MX294" s="148"/>
      <c r="MY294" s="148"/>
      <c r="MZ294" s="148"/>
      <c r="NA294" s="148"/>
      <c r="NB294" s="148"/>
      <c r="NC294" s="148"/>
      <c r="ND294" s="148"/>
      <c r="NE294" s="148"/>
      <c r="NF294" s="148"/>
      <c r="NG294" s="148"/>
      <c r="NH294" s="148"/>
      <c r="NI294" s="148"/>
      <c r="NJ294" s="148"/>
      <c r="NK294" s="148"/>
      <c r="NL294" s="148"/>
      <c r="NM294" s="148"/>
      <c r="NN294" s="148"/>
      <c r="NO294" s="148"/>
      <c r="NP294" s="148"/>
      <c r="NQ294" s="148"/>
      <c r="NR294" s="148"/>
      <c r="NS294" s="148"/>
      <c r="NT294" s="148"/>
      <c r="NU294" s="148"/>
      <c r="NV294" s="148"/>
      <c r="NW294" s="148"/>
      <c r="NX294" s="148"/>
      <c r="NY294" s="148"/>
      <c r="NZ294" s="148"/>
      <c r="OA294" s="148"/>
      <c r="OB294" s="148"/>
      <c r="OC294" s="148"/>
      <c r="OD294" s="148"/>
      <c r="OE294" s="148"/>
      <c r="OF294" s="148"/>
      <c r="OG294" s="148"/>
      <c r="OH294" s="148"/>
      <c r="OI294" s="148"/>
      <c r="OJ294" s="148"/>
      <c r="OK294" s="148"/>
      <c r="OL294" s="148"/>
      <c r="OM294" s="148"/>
      <c r="ON294" s="148"/>
      <c r="OO294" s="148"/>
      <c r="OP294" s="148"/>
      <c r="OQ294" s="148"/>
      <c r="OR294" s="148"/>
      <c r="OS294" s="148"/>
      <c r="OT294" s="148"/>
      <c r="OU294" s="148"/>
      <c r="OV294" s="148"/>
      <c r="OW294" s="148"/>
      <c r="OX294" s="148"/>
      <c r="OY294" s="148"/>
      <c r="OZ294" s="148"/>
      <c r="PA294" s="148"/>
      <c r="PB294" s="148"/>
      <c r="PC294" s="148"/>
      <c r="PD294" s="148"/>
      <c r="PE294" s="148"/>
      <c r="PF294" s="148"/>
      <c r="PG294" s="148"/>
      <c r="PH294" s="148"/>
      <c r="PI294" s="148"/>
      <c r="PJ294" s="148"/>
      <c r="PK294" s="148"/>
      <c r="PL294" s="148"/>
      <c r="PM294" s="148"/>
      <c r="PN294" s="148"/>
      <c r="PO294" s="148"/>
      <c r="PP294" s="148"/>
      <c r="PQ294" s="148"/>
      <c r="PR294" s="148"/>
      <c r="PS294" s="148"/>
      <c r="PT294" s="148"/>
      <c r="PU294" s="148"/>
      <c r="PV294" s="148"/>
      <c r="PW294" s="148"/>
      <c r="PX294" s="148"/>
      <c r="PY294" s="148"/>
      <c r="PZ294" s="148"/>
      <c r="QA294" s="148"/>
      <c r="QB294" s="148"/>
      <c r="QC294" s="148"/>
      <c r="QD294" s="148"/>
      <c r="QE294" s="148"/>
      <c r="QF294" s="148"/>
      <c r="QG294" s="148"/>
      <c r="QH294" s="148"/>
      <c r="QI294" s="148"/>
      <c r="QJ294" s="148"/>
      <c r="QK294" s="148"/>
      <c r="QL294" s="148"/>
      <c r="QM294" s="148"/>
      <c r="QN294" s="148"/>
      <c r="QO294" s="148"/>
      <c r="QP294" s="148"/>
      <c r="QQ294" s="148"/>
      <c r="QR294" s="148"/>
      <c r="QS294" s="148"/>
      <c r="QT294" s="148"/>
      <c r="QU294" s="148"/>
      <c r="QV294" s="148"/>
      <c r="QW294" s="148"/>
      <c r="QX294" s="148"/>
      <c r="QY294" s="148"/>
      <c r="QZ294" s="148"/>
      <c r="RA294" s="148"/>
      <c r="RB294" s="148"/>
      <c r="RC294" s="148"/>
      <c r="RD294" s="148"/>
      <c r="RE294" s="148"/>
      <c r="RF294" s="148"/>
      <c r="RG294" s="148"/>
      <c r="RH294" s="148"/>
      <c r="RI294" s="148"/>
      <c r="RJ294" s="148"/>
      <c r="RK294" s="148"/>
      <c r="RL294" s="148"/>
      <c r="RM294" s="148"/>
      <c r="RN294" s="148"/>
      <c r="RO294" s="148"/>
      <c r="RP294" s="148"/>
      <c r="RQ294" s="148"/>
      <c r="RR294" s="148"/>
      <c r="RS294" s="148"/>
      <c r="RT294" s="148"/>
      <c r="RU294" s="148"/>
      <c r="RV294" s="148"/>
      <c r="RW294" s="148"/>
      <c r="RX294" s="148"/>
      <c r="RY294" s="148"/>
      <c r="RZ294" s="148"/>
      <c r="SA294" s="148"/>
      <c r="SB294" s="148"/>
      <c r="SC294" s="148"/>
      <c r="SD294" s="148"/>
      <c r="SE294" s="148"/>
      <c r="SF294" s="148"/>
      <c r="SG294" s="148"/>
      <c r="SH294" s="148"/>
      <c r="SI294" s="148"/>
      <c r="SJ294" s="148"/>
      <c r="SK294" s="148"/>
      <c r="SL294" s="148"/>
      <c r="SM294" s="148"/>
      <c r="SN294" s="148"/>
      <c r="SO294" s="148"/>
      <c r="SP294" s="148"/>
      <c r="SQ294" s="148"/>
      <c r="SR294" s="148"/>
      <c r="SS294" s="148"/>
      <c r="ST294" s="148"/>
      <c r="SU294" s="148"/>
      <c r="SV294" s="148"/>
      <c r="SW294" s="148"/>
      <c r="SX294" s="148"/>
      <c r="SY294" s="148"/>
      <c r="SZ294" s="148"/>
      <c r="TA294" s="148"/>
      <c r="TB294" s="148"/>
      <c r="TC294" s="148"/>
      <c r="TD294" s="148"/>
      <c r="TE294" s="148"/>
      <c r="TF294" s="148"/>
      <c r="TG294" s="148"/>
      <c r="TH294" s="148"/>
      <c r="TI294" s="148"/>
      <c r="TJ294" s="148"/>
      <c r="TK294" s="148"/>
      <c r="TL294" s="148"/>
      <c r="TM294" s="148"/>
      <c r="TN294" s="148"/>
      <c r="TO294" s="148"/>
      <c r="TP294" s="148"/>
      <c r="TQ294" s="148"/>
      <c r="TR294" s="148"/>
      <c r="TS294" s="148"/>
      <c r="TT294" s="148"/>
      <c r="TU294" s="148"/>
      <c r="TV294" s="148"/>
      <c r="TW294" s="148"/>
      <c r="TX294" s="148"/>
      <c r="TY294" s="148"/>
      <c r="TZ294" s="148"/>
      <c r="UA294" s="148"/>
      <c r="UB294" s="148"/>
      <c r="UC294" s="148"/>
      <c r="UD294" s="148"/>
      <c r="UE294" s="148"/>
      <c r="UF294" s="148"/>
      <c r="UG294" s="148"/>
      <c r="UH294" s="148"/>
      <c r="UI294" s="148"/>
      <c r="UJ294" s="148"/>
      <c r="UK294" s="148"/>
      <c r="UL294" s="148"/>
      <c r="UM294" s="148"/>
      <c r="UN294" s="148"/>
      <c r="UO294" s="148"/>
      <c r="UP294" s="148"/>
      <c r="UQ294" s="148"/>
      <c r="UR294" s="148"/>
      <c r="US294" s="148"/>
      <c r="UT294" s="148"/>
      <c r="UU294" s="148"/>
      <c r="UV294" s="148"/>
      <c r="UW294" s="148"/>
      <c r="UX294" s="148"/>
      <c r="UY294" s="148"/>
      <c r="UZ294" s="148"/>
      <c r="VA294" s="148"/>
      <c r="VB294" s="148"/>
      <c r="VC294" s="148"/>
      <c r="VD294" s="148"/>
      <c r="VE294" s="148"/>
      <c r="VF294" s="148"/>
      <c r="VG294" s="148"/>
      <c r="VH294" s="148"/>
      <c r="VI294" s="148"/>
      <c r="VJ294" s="148"/>
      <c r="VK294" s="148"/>
      <c r="VL294" s="148"/>
      <c r="VM294" s="148"/>
      <c r="VN294" s="148"/>
      <c r="VO294" s="148"/>
      <c r="VP294" s="148"/>
      <c r="VQ294" s="148"/>
      <c r="VR294" s="148"/>
      <c r="VS294" s="148"/>
      <c r="VT294" s="148"/>
      <c r="VU294" s="148"/>
      <c r="VV294" s="148"/>
      <c r="VW294" s="148"/>
      <c r="VX294" s="148"/>
      <c r="VY294" s="148"/>
      <c r="VZ294" s="148"/>
      <c r="WA294" s="148"/>
      <c r="WB294" s="148"/>
      <c r="WC294" s="148"/>
      <c r="WD294" s="148"/>
      <c r="WE294" s="148"/>
      <c r="WF294" s="148"/>
      <c r="WG294" s="148"/>
      <c r="WH294" s="148"/>
      <c r="WI294" s="148"/>
      <c r="WJ294" s="148"/>
      <c r="WK294" s="148"/>
      <c r="WL294" s="148"/>
      <c r="WM294" s="148"/>
      <c r="WN294" s="148"/>
      <c r="WO294" s="148"/>
      <c r="WP294" s="148"/>
      <c r="WQ294" s="148"/>
      <c r="WR294" s="148"/>
      <c r="WS294" s="148"/>
      <c r="WT294" s="148"/>
      <c r="WU294" s="148"/>
      <c r="WV294" s="148"/>
      <c r="WW294" s="148"/>
      <c r="WX294" s="148"/>
      <c r="WY294" s="148"/>
      <c r="WZ294" s="148"/>
      <c r="XA294" s="148"/>
      <c r="XB294" s="148"/>
      <c r="XC294" s="148"/>
      <c r="XD294" s="148"/>
      <c r="XE294" s="148"/>
      <c r="XF294" s="148"/>
      <c r="XG294" s="148"/>
      <c r="XH294" s="148"/>
      <c r="XI294" s="148"/>
      <c r="XJ294" s="148"/>
      <c r="XK294" s="148"/>
      <c r="XL294" s="148"/>
      <c r="XM294" s="148"/>
      <c r="XN294" s="148"/>
      <c r="XO294" s="148"/>
      <c r="XP294" s="148"/>
      <c r="XQ294" s="148"/>
      <c r="XR294" s="148"/>
      <c r="XS294" s="148"/>
      <c r="XT294" s="148"/>
      <c r="XU294" s="148"/>
      <c r="XV294" s="148"/>
      <c r="XW294" s="148"/>
      <c r="XX294" s="148"/>
      <c r="XY294" s="148"/>
      <c r="XZ294" s="148"/>
      <c r="YA294" s="148"/>
      <c r="YB294" s="148"/>
      <c r="YC294" s="148"/>
      <c r="YD294" s="148"/>
      <c r="YE294" s="148"/>
      <c r="YF294" s="148"/>
      <c r="YG294" s="148"/>
      <c r="YH294" s="148"/>
      <c r="YI294" s="148"/>
      <c r="YJ294" s="148"/>
      <c r="YK294" s="148"/>
      <c r="YL294" s="148"/>
      <c r="YM294" s="148"/>
      <c r="YN294" s="148"/>
      <c r="YO294" s="148"/>
      <c r="YP294" s="148"/>
      <c r="YQ294" s="148"/>
      <c r="YR294" s="148"/>
      <c r="YS294" s="148"/>
      <c r="YT294" s="148"/>
      <c r="YU294" s="148"/>
      <c r="YV294" s="148"/>
      <c r="YW294" s="148"/>
      <c r="YX294" s="148"/>
      <c r="YY294" s="148"/>
      <c r="YZ294" s="148"/>
      <c r="ZA294" s="148"/>
      <c r="ZB294" s="148"/>
      <c r="ZC294" s="148"/>
      <c r="ZD294" s="148"/>
      <c r="ZE294" s="148"/>
      <c r="ZF294" s="148"/>
      <c r="ZG294" s="148"/>
      <c r="ZH294" s="148"/>
      <c r="ZI294" s="148"/>
      <c r="ZJ294" s="148"/>
      <c r="ZK294" s="148"/>
      <c r="ZL294" s="148"/>
      <c r="ZM294" s="148"/>
      <c r="ZN294" s="148"/>
      <c r="ZO294" s="148"/>
      <c r="ZP294" s="148"/>
      <c r="ZQ294" s="148"/>
      <c r="ZR294" s="148"/>
      <c r="ZS294" s="148"/>
      <c r="ZT294" s="148"/>
      <c r="ZU294" s="148"/>
      <c r="ZV294" s="148"/>
      <c r="ZW294" s="148"/>
      <c r="ZX294" s="148"/>
      <c r="ZY294" s="148"/>
      <c r="ZZ294" s="148"/>
      <c r="AAA294" s="148"/>
      <c r="AAB294" s="148"/>
      <c r="AAC294" s="148"/>
      <c r="AAD294" s="148"/>
      <c r="AAE294" s="148"/>
      <c r="AAF294" s="148"/>
      <c r="AAG294" s="148"/>
      <c r="AAH294" s="148"/>
      <c r="AAI294" s="148"/>
      <c r="AAJ294" s="148"/>
      <c r="AAK294" s="148"/>
      <c r="AAL294" s="148"/>
      <c r="AAM294" s="148"/>
      <c r="AAN294" s="148"/>
      <c r="AAO294" s="148"/>
      <c r="AAP294" s="148"/>
      <c r="AAQ294" s="148"/>
      <c r="AAR294" s="148"/>
      <c r="AAS294" s="148"/>
      <c r="AAT294" s="148"/>
      <c r="AAU294" s="148"/>
      <c r="AAV294" s="148"/>
      <c r="AAW294" s="148"/>
      <c r="AAX294" s="148"/>
      <c r="AAY294" s="148"/>
      <c r="AAZ294" s="148"/>
      <c r="ABA294" s="148"/>
      <c r="ABB294" s="148"/>
      <c r="ABC294" s="148"/>
      <c r="ABD294" s="148"/>
      <c r="ABE294" s="148"/>
      <c r="ABF294" s="148"/>
      <c r="ABG294" s="148"/>
      <c r="ABH294" s="148"/>
      <c r="ABI294" s="148"/>
      <c r="ABJ294" s="148"/>
      <c r="ABK294" s="148"/>
      <c r="ABL294" s="148"/>
      <c r="ABM294" s="148"/>
      <c r="ABN294" s="148"/>
      <c r="ABO294" s="148"/>
      <c r="ABP294" s="148"/>
      <c r="ABQ294" s="148"/>
      <c r="ABR294" s="148"/>
      <c r="ABS294" s="148"/>
      <c r="ABT294" s="148"/>
      <c r="ABU294" s="148"/>
      <c r="ABV294" s="148"/>
      <c r="ABW294" s="148"/>
      <c r="ABX294" s="148"/>
      <c r="ABY294" s="148"/>
      <c r="ABZ294" s="148"/>
      <c r="ACA294" s="148"/>
      <c r="ACB294" s="148"/>
      <c r="ACC294" s="148"/>
      <c r="ACD294" s="148"/>
      <c r="ACE294" s="148"/>
      <c r="ACF294" s="148"/>
      <c r="ACG294" s="148"/>
      <c r="ACH294" s="148"/>
      <c r="ACI294" s="148"/>
      <c r="ACJ294" s="148"/>
      <c r="ACK294" s="148"/>
      <c r="ACL294" s="148"/>
      <c r="ACM294" s="148"/>
      <c r="ACN294" s="148"/>
      <c r="ACO294" s="148"/>
      <c r="ACP294" s="148"/>
      <c r="ACQ294" s="148"/>
      <c r="ACR294" s="148"/>
      <c r="ACS294" s="148"/>
      <c r="ACT294" s="148"/>
      <c r="ACU294" s="148"/>
      <c r="ACV294" s="148"/>
      <c r="ACW294" s="148"/>
      <c r="ACX294" s="148"/>
      <c r="ACY294" s="148"/>
      <c r="ACZ294" s="148"/>
      <c r="ADA294" s="148"/>
      <c r="ADB294" s="148"/>
      <c r="ADC294" s="148"/>
      <c r="ADD294" s="148"/>
      <c r="ADE294" s="148"/>
      <c r="ADF294" s="148"/>
      <c r="ADG294" s="148"/>
      <c r="ADH294" s="148"/>
      <c r="ADI294" s="148"/>
      <c r="ADJ294" s="148"/>
      <c r="ADK294" s="148"/>
      <c r="ADL294" s="148"/>
      <c r="ADM294" s="148"/>
      <c r="ADN294" s="148"/>
      <c r="ADO294" s="148"/>
      <c r="ADP294" s="148"/>
      <c r="ADQ294" s="148"/>
      <c r="ADR294" s="148"/>
      <c r="ADS294" s="148"/>
      <c r="ADT294" s="148"/>
      <c r="ADU294" s="148"/>
      <c r="ADV294" s="148"/>
      <c r="ADW294" s="148"/>
      <c r="ADX294" s="148"/>
      <c r="ADY294" s="148"/>
      <c r="ADZ294" s="148"/>
      <c r="AEA294" s="148"/>
      <c r="AEB294" s="148"/>
      <c r="AEC294" s="148"/>
      <c r="AED294" s="148"/>
      <c r="AEE294" s="148"/>
      <c r="AEF294" s="148"/>
      <c r="AEG294" s="148"/>
      <c r="AEH294" s="148"/>
      <c r="AEI294" s="148"/>
      <c r="AEJ294" s="148"/>
      <c r="AEK294" s="148"/>
      <c r="AEL294" s="148"/>
      <c r="AEM294" s="148"/>
      <c r="AEN294" s="148"/>
      <c r="AEO294" s="148"/>
      <c r="AEP294" s="148"/>
      <c r="AEQ294" s="148"/>
      <c r="AER294" s="148"/>
      <c r="AES294" s="148"/>
      <c r="AET294" s="148"/>
      <c r="AEU294" s="148"/>
      <c r="AEV294" s="148"/>
      <c r="AEW294" s="148"/>
      <c r="AEX294" s="148"/>
      <c r="AEY294" s="148"/>
      <c r="AEZ294" s="148"/>
      <c r="AFA294" s="148"/>
      <c r="AFB294" s="148"/>
      <c r="AFC294" s="148"/>
      <c r="AFD294" s="148"/>
      <c r="AFE294" s="148"/>
      <c r="AFF294" s="148"/>
      <c r="AFG294" s="148"/>
      <c r="AFH294" s="148"/>
      <c r="AFI294" s="148"/>
      <c r="AFJ294" s="148"/>
      <c r="AFK294" s="148"/>
      <c r="AFL294" s="148"/>
      <c r="AFM294" s="148"/>
      <c r="AFN294" s="148"/>
      <c r="AFO294" s="148"/>
      <c r="AFP294" s="148"/>
      <c r="AFQ294" s="148"/>
      <c r="AFR294" s="148"/>
      <c r="AFS294" s="148"/>
      <c r="AFT294" s="148"/>
      <c r="AFU294" s="148"/>
      <c r="AFV294" s="148"/>
      <c r="AFW294" s="148"/>
      <c r="AFX294" s="148"/>
      <c r="AFY294" s="148"/>
      <c r="AFZ294" s="148"/>
      <c r="AGA294" s="148"/>
      <c r="AGB294" s="148"/>
      <c r="AGC294" s="148"/>
      <c r="AGD294" s="148"/>
      <c r="AGE294" s="148"/>
      <c r="AGF294" s="148"/>
      <c r="AGG294" s="148"/>
      <c r="AGH294" s="148"/>
      <c r="AGI294" s="148"/>
      <c r="AGJ294" s="148"/>
      <c r="AGK294" s="148"/>
      <c r="AGL294" s="148"/>
      <c r="AGM294" s="148"/>
      <c r="AGN294" s="148"/>
      <c r="AGO294" s="148"/>
      <c r="AGP294" s="148"/>
      <c r="AGQ294" s="148"/>
      <c r="AGR294" s="148"/>
      <c r="AGS294" s="148"/>
      <c r="AGT294" s="148"/>
      <c r="AGU294" s="148"/>
      <c r="AGV294" s="148"/>
      <c r="AGW294" s="148"/>
      <c r="AGX294" s="148"/>
      <c r="AGY294" s="148"/>
      <c r="AGZ294" s="148"/>
      <c r="AHA294" s="148"/>
      <c r="AHB294" s="148"/>
      <c r="AHC294" s="148"/>
      <c r="AHD294" s="148"/>
      <c r="AHE294" s="148"/>
      <c r="AHF294" s="148"/>
      <c r="AHG294" s="148"/>
      <c r="AHH294" s="148"/>
      <c r="AHI294" s="148"/>
      <c r="AHJ294" s="148"/>
      <c r="AHK294" s="148"/>
      <c r="AHL294" s="148"/>
      <c r="AHM294" s="148"/>
      <c r="AHN294" s="148"/>
      <c r="AHO294" s="148"/>
      <c r="AHP294" s="148"/>
      <c r="AHQ294" s="148"/>
      <c r="AHR294" s="148"/>
      <c r="AHS294" s="148"/>
      <c r="AHT294" s="148"/>
      <c r="AHU294" s="148"/>
      <c r="AHV294" s="148"/>
      <c r="AHW294" s="148"/>
      <c r="AHX294" s="148"/>
      <c r="AHY294" s="148"/>
      <c r="AHZ294" s="148"/>
      <c r="AIA294" s="148"/>
      <c r="AIB294" s="148"/>
      <c r="AIC294" s="148"/>
      <c r="AID294" s="148"/>
      <c r="AIE294" s="148"/>
      <c r="AIF294" s="148"/>
      <c r="AIG294" s="148"/>
      <c r="AIH294" s="148"/>
      <c r="AII294" s="148"/>
      <c r="AIJ294" s="148"/>
      <c r="AIK294" s="148"/>
      <c r="AIL294" s="148"/>
      <c r="AIM294" s="148"/>
      <c r="AIN294" s="148"/>
      <c r="AIO294" s="148"/>
      <c r="AIP294" s="148"/>
      <c r="AIQ294" s="148"/>
      <c r="AIR294" s="148"/>
      <c r="AIS294" s="148"/>
      <c r="AIT294" s="148"/>
      <c r="AIU294" s="148"/>
      <c r="AIV294" s="148"/>
      <c r="AIW294" s="148"/>
      <c r="AIX294" s="148"/>
      <c r="AIY294" s="148"/>
      <c r="AIZ294" s="148"/>
      <c r="AJA294" s="148"/>
      <c r="AJB294" s="148"/>
      <c r="AJC294" s="148"/>
      <c r="AJD294" s="148"/>
      <c r="AJE294" s="148"/>
      <c r="AJF294" s="148"/>
      <c r="AJG294" s="148"/>
      <c r="AJH294" s="148"/>
      <c r="AJI294" s="148"/>
      <c r="AJJ294" s="148"/>
      <c r="AJK294" s="148"/>
      <c r="AJL294" s="148"/>
      <c r="AJM294" s="148"/>
      <c r="AJN294" s="148"/>
      <c r="AJO294" s="148"/>
      <c r="AJP294" s="148"/>
      <c r="AJQ294" s="148"/>
      <c r="AJR294" s="148"/>
      <c r="AJS294" s="148"/>
      <c r="AJT294" s="148"/>
      <c r="AJU294" s="148"/>
      <c r="AJV294" s="148"/>
      <c r="AJW294" s="148"/>
      <c r="AJX294" s="148"/>
      <c r="AJY294" s="148"/>
      <c r="AJZ294" s="148"/>
      <c r="AKA294" s="148"/>
      <c r="AKB294" s="148"/>
      <c r="AKC294" s="148"/>
      <c r="AKD294" s="148"/>
      <c r="AKE294" s="148"/>
      <c r="AKF294" s="148"/>
      <c r="AKG294" s="148"/>
      <c r="AKH294" s="148"/>
      <c r="AKI294" s="148"/>
      <c r="AKJ294" s="148"/>
      <c r="AKK294" s="148"/>
      <c r="AKL294" s="148"/>
      <c r="AKM294" s="148"/>
      <c r="AKN294" s="148"/>
      <c r="AKO294" s="148"/>
      <c r="AKP294" s="148"/>
      <c r="AKQ294" s="148"/>
      <c r="AKR294" s="148"/>
      <c r="AKS294" s="148"/>
      <c r="AKT294" s="148"/>
      <c r="AKU294" s="148"/>
      <c r="AKV294" s="148"/>
      <c r="AKW294" s="148"/>
      <c r="AKX294" s="148"/>
      <c r="AKY294" s="148"/>
      <c r="AKZ294" s="148"/>
      <c r="ALA294" s="148"/>
      <c r="ALB294" s="148"/>
      <c r="ALC294" s="148"/>
      <c r="ALD294" s="148"/>
      <c r="ALE294" s="148"/>
      <c r="ALF294" s="148"/>
      <c r="ALG294" s="148"/>
      <c r="ALH294" s="148"/>
      <c r="ALI294" s="148"/>
      <c r="ALJ294" s="148"/>
      <c r="ALK294" s="148"/>
      <c r="ALL294" s="148"/>
      <c r="ALM294" s="148"/>
      <c r="ALN294" s="148"/>
      <c r="ALO294" s="148"/>
      <c r="ALP294" s="148"/>
      <c r="ALQ294" s="148"/>
      <c r="ALR294" s="148"/>
      <c r="ALS294" s="148"/>
      <c r="ALT294" s="148"/>
      <c r="ALU294" s="148"/>
      <c r="ALV294" s="148"/>
      <c r="ALW294" s="148"/>
      <c r="ALX294" s="148"/>
      <c r="ALY294" s="148"/>
      <c r="ALZ294" s="148"/>
      <c r="AMA294" s="148"/>
      <c r="AMB294" s="148"/>
      <c r="AMC294" s="148"/>
      <c r="AMD294" s="148"/>
      <c r="AME294" s="148"/>
      <c r="AMF294" s="148"/>
      <c r="AMG294" s="148"/>
      <c r="AMH294" s="148"/>
      <c r="AMI294" s="148"/>
      <c r="AMJ294" s="148"/>
      <c r="AMK294" s="148"/>
      <c r="AML294" s="148"/>
      <c r="AMM294" s="148"/>
      <c r="AMN294" s="148"/>
      <c r="AMO294" s="148"/>
    </row>
    <row r="295" spans="1:1029" s="147" customFormat="1" ht="102">
      <c r="A295" s="148"/>
      <c r="B295" s="155" t="str">
        <f t="shared" ca="1" si="743"/>
        <v>MLX</v>
      </c>
      <c r="C295" s="155" t="s">
        <v>58</v>
      </c>
      <c r="D295" s="156" t="s">
        <v>661</v>
      </c>
      <c r="E295" s="157" t="str">
        <f ca="1">INDIRECT(ADDRESS(ROW()-1,COLUMN()))</f>
        <v>0x10BC</v>
      </c>
      <c r="F295" s="157">
        <v>7</v>
      </c>
      <c r="G295" s="157">
        <v>0</v>
      </c>
      <c r="H295" s="157">
        <v>0</v>
      </c>
      <c r="I295" s="157" t="s">
        <v>68</v>
      </c>
      <c r="J295" s="151" t="str">
        <f t="shared" si="1032"/>
        <v>[6:0]</v>
      </c>
      <c r="K295" s="151">
        <f t="shared" si="1033"/>
        <v>0</v>
      </c>
      <c r="L295" s="151">
        <f t="shared" si="1034"/>
        <v>127</v>
      </c>
      <c r="M295" s="159" t="s">
        <v>686</v>
      </c>
      <c r="N295" s="28"/>
      <c r="O295" s="157">
        <v>16</v>
      </c>
      <c r="P295" s="157">
        <f t="shared" ref="P295" si="1050">O295</f>
        <v>16</v>
      </c>
      <c r="Q295" s="157">
        <f t="shared" ref="Q295" si="1051">O295</f>
        <v>16</v>
      </c>
      <c r="R295" s="157">
        <f t="shared" ref="R295" si="1052">O295</f>
        <v>16</v>
      </c>
      <c r="S295" s="163">
        <v>32</v>
      </c>
      <c r="T295" s="163">
        <v>32</v>
      </c>
      <c r="U295" s="163">
        <v>32</v>
      </c>
      <c r="V295" s="163">
        <f t="shared" si="995"/>
        <v>32</v>
      </c>
      <c r="W295" s="158"/>
      <c r="X295" s="157">
        <f t="shared" ca="1" si="1035"/>
        <v>32</v>
      </c>
      <c r="Y295" s="150"/>
      <c r="Z295" s="149"/>
      <c r="AA295" s="149"/>
      <c r="AB295" s="149"/>
      <c r="AC295" s="148" t="b">
        <f t="shared" si="1003"/>
        <v>1</v>
      </c>
      <c r="AD295" s="148" t="str">
        <f t="shared" si="1036"/>
        <v>-</v>
      </c>
      <c r="AE295" s="148" t="str">
        <f t="shared" si="1037"/>
        <v>-</v>
      </c>
      <c r="AF295" s="148" t="str">
        <f t="shared" ca="1" si="1038"/>
        <v>0x10BC</v>
      </c>
      <c r="AG295" s="148" t="str">
        <f t="shared" si="1039"/>
        <v>VIRT_REF_TDIE_DIAG_THRD</v>
      </c>
      <c r="AH295" s="148">
        <f t="shared" si="1040"/>
        <v>7</v>
      </c>
      <c r="AI295" s="148">
        <f t="shared" si="1041"/>
        <v>6</v>
      </c>
      <c r="AJ295" s="148">
        <f t="shared" si="1042"/>
        <v>0</v>
      </c>
      <c r="AK295" s="148">
        <f t="shared" si="1043"/>
        <v>127</v>
      </c>
      <c r="AL295" s="148" t="str">
        <f t="shared" si="1044"/>
        <v>-</v>
      </c>
      <c r="AM295" s="149">
        <f t="shared" si="1004"/>
        <v>32</v>
      </c>
      <c r="AN295" s="148">
        <f t="shared" si="1045"/>
        <v>32</v>
      </c>
      <c r="AO295" s="149" t="str">
        <f ca="1">IF(AF295="-",VLOOKUP(AD295,MemoryView!$A$3:$F$108,6,0),MID(VLOOKUP(AF295,MemoryView!$BD$3:$BE$108,2,0),15-AI295+1,AH295))</f>
        <v>0100000</v>
      </c>
      <c r="AP295" s="149">
        <f t="shared" ca="1" si="1046"/>
        <v>32</v>
      </c>
      <c r="AQ295" s="153" t="str">
        <f t="shared" si="1047"/>
        <v>`EE_MNG.VIRT_REF_TDIE_DIAG_THRD.SET(32);        // [0..127]</v>
      </c>
      <c r="AR295" s="154" t="str">
        <f t="shared" ca="1" si="1048"/>
        <v>EE_MEM #(`PARAM(16'h10BC, 0, 7, 0)) VIRT_REF_TDIE_DIAG_THRD(); bit unsigned [7-1:0] VIRT_REF_TDIE_DIAG_THRD_V; assign VIRT_REF_TDIE_DIAG_THRD_V = VIRT_REF_TDIE_DIAG_THRD.GET;</v>
      </c>
      <c r="AS295" s="148" t="str">
        <f t="shared" ca="1" si="1049"/>
        <v>EE_VIRT_REF_TDIE</v>
      </c>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48"/>
      <c r="EA295" s="148"/>
      <c r="EB295" s="148"/>
      <c r="EC295" s="148"/>
      <c r="ED295" s="148"/>
      <c r="EE295" s="148"/>
      <c r="EF295" s="148"/>
      <c r="EG295" s="148"/>
      <c r="EH295" s="148"/>
      <c r="EI295" s="148"/>
      <c r="EJ295" s="148"/>
      <c r="EK295" s="148"/>
      <c r="EL295" s="148"/>
      <c r="EM295" s="148"/>
      <c r="EN295" s="148"/>
      <c r="EO295" s="148"/>
      <c r="EP295" s="148"/>
      <c r="EQ295" s="148"/>
      <c r="ER295" s="148"/>
      <c r="ES295" s="148"/>
      <c r="ET295" s="148"/>
      <c r="EU295" s="148"/>
      <c r="EV295" s="148"/>
      <c r="EW295" s="148"/>
      <c r="EX295" s="148"/>
      <c r="EY295" s="148"/>
      <c r="EZ295" s="148"/>
      <c r="FA295" s="148"/>
      <c r="FB295" s="148"/>
      <c r="FC295" s="148"/>
      <c r="FD295" s="148"/>
      <c r="FE295" s="148"/>
      <c r="FF295" s="148"/>
      <c r="FG295" s="148"/>
      <c r="FH295" s="148"/>
      <c r="FI295" s="148"/>
      <c r="FJ295" s="148"/>
      <c r="FK295" s="148"/>
      <c r="FL295" s="148"/>
      <c r="FM295" s="148"/>
      <c r="FN295" s="148"/>
      <c r="FO295" s="148"/>
      <c r="FP295" s="148"/>
      <c r="FQ295" s="148"/>
      <c r="FR295" s="148"/>
      <c r="FS295" s="148"/>
      <c r="FT295" s="148"/>
      <c r="FU295" s="148"/>
      <c r="FV295" s="148"/>
      <c r="FW295" s="148"/>
      <c r="FX295" s="148"/>
      <c r="FY295" s="148"/>
      <c r="FZ295" s="148"/>
      <c r="GA295" s="148"/>
      <c r="GB295" s="148"/>
      <c r="GC295" s="148"/>
      <c r="GD295" s="148"/>
      <c r="GE295" s="148"/>
      <c r="GF295" s="148"/>
      <c r="GG295" s="148"/>
      <c r="GH295" s="148"/>
      <c r="GI295" s="148"/>
      <c r="GJ295" s="148"/>
      <c r="GK295" s="148"/>
      <c r="GL295" s="148"/>
      <c r="GM295" s="148"/>
      <c r="GN295" s="148"/>
      <c r="GO295" s="148"/>
      <c r="GP295" s="148"/>
      <c r="GQ295" s="148"/>
      <c r="GR295" s="148"/>
      <c r="GS295" s="148"/>
      <c r="GT295" s="148"/>
      <c r="GU295" s="148"/>
      <c r="GV295" s="148"/>
      <c r="GW295" s="148"/>
      <c r="GX295" s="148"/>
      <c r="GY295" s="148"/>
      <c r="GZ295" s="148"/>
      <c r="HA295" s="148"/>
      <c r="HB295" s="148"/>
      <c r="HC295" s="148"/>
      <c r="HD295" s="148"/>
      <c r="HE295" s="148"/>
      <c r="HF295" s="148"/>
      <c r="HG295" s="148"/>
      <c r="HH295" s="148"/>
      <c r="HI295" s="148"/>
      <c r="HJ295" s="148"/>
      <c r="HK295" s="148"/>
      <c r="HL295" s="148"/>
      <c r="HM295" s="148"/>
      <c r="HN295" s="148"/>
      <c r="HO295" s="148"/>
      <c r="HP295" s="148"/>
      <c r="HQ295" s="148"/>
      <c r="HR295" s="148"/>
      <c r="HS295" s="148"/>
      <c r="HT295" s="148"/>
      <c r="HU295" s="148"/>
      <c r="HV295" s="148"/>
      <c r="HW295" s="148"/>
      <c r="HX295" s="148"/>
      <c r="HY295" s="148"/>
      <c r="HZ295" s="148"/>
      <c r="IA295" s="148"/>
      <c r="IB295" s="148"/>
      <c r="IC295" s="148"/>
      <c r="ID295" s="148"/>
      <c r="IE295" s="148"/>
      <c r="IF295" s="148"/>
      <c r="IG295" s="148"/>
      <c r="IH295" s="148"/>
      <c r="II295" s="148"/>
      <c r="IJ295" s="148"/>
      <c r="IK295" s="148"/>
      <c r="IL295" s="148"/>
      <c r="IM295" s="148"/>
      <c r="IN295" s="148"/>
      <c r="IO295" s="148"/>
      <c r="IP295" s="148"/>
      <c r="IQ295" s="148"/>
      <c r="IR295" s="148"/>
      <c r="IS295" s="148"/>
      <c r="IT295" s="148"/>
      <c r="IU295" s="148"/>
      <c r="IV295" s="148"/>
      <c r="IW295" s="148"/>
      <c r="IX295" s="148"/>
      <c r="IY295" s="148"/>
      <c r="IZ295" s="148"/>
      <c r="JA295" s="148"/>
      <c r="JB295" s="148"/>
      <c r="JC295" s="148"/>
      <c r="JD295" s="148"/>
      <c r="JE295" s="148"/>
      <c r="JF295" s="148"/>
      <c r="JG295" s="148"/>
      <c r="JH295" s="148"/>
      <c r="JI295" s="148"/>
      <c r="JJ295" s="148"/>
      <c r="JK295" s="148"/>
      <c r="JL295" s="148"/>
      <c r="JM295" s="148"/>
      <c r="JN295" s="148"/>
      <c r="JO295" s="148"/>
      <c r="JP295" s="148"/>
      <c r="JQ295" s="148"/>
      <c r="JR295" s="148"/>
      <c r="JS295" s="148"/>
      <c r="JT295" s="148"/>
      <c r="JU295" s="148"/>
      <c r="JV295" s="148"/>
      <c r="JW295" s="148"/>
      <c r="JX295" s="148"/>
      <c r="JY295" s="148"/>
      <c r="JZ295" s="148"/>
      <c r="KA295" s="148"/>
      <c r="KB295" s="148"/>
      <c r="KC295" s="148"/>
      <c r="KD295" s="148"/>
      <c r="KE295" s="148"/>
      <c r="KF295" s="148"/>
      <c r="KG295" s="148"/>
      <c r="KH295" s="148"/>
      <c r="KI295" s="148"/>
      <c r="KJ295" s="148"/>
      <c r="KK295" s="148"/>
      <c r="KL295" s="148"/>
      <c r="KM295" s="148"/>
      <c r="KN295" s="148"/>
      <c r="KO295" s="148"/>
      <c r="KP295" s="148"/>
      <c r="KQ295" s="148"/>
      <c r="KR295" s="148"/>
      <c r="KS295" s="148"/>
      <c r="KT295" s="148"/>
      <c r="KU295" s="148"/>
      <c r="KV295" s="148"/>
      <c r="KW295" s="148"/>
      <c r="KX295" s="148"/>
      <c r="KY295" s="148"/>
      <c r="KZ295" s="148"/>
      <c r="LA295" s="148"/>
      <c r="LB295" s="148"/>
      <c r="LC295" s="148"/>
      <c r="LD295" s="148"/>
      <c r="LE295" s="148"/>
      <c r="LF295" s="148"/>
      <c r="LG295" s="148"/>
      <c r="LH295" s="148"/>
      <c r="LI295" s="148"/>
      <c r="LJ295" s="148"/>
      <c r="LK295" s="148"/>
      <c r="LL295" s="148"/>
      <c r="LM295" s="148"/>
      <c r="LN295" s="148"/>
      <c r="LO295" s="148"/>
      <c r="LP295" s="148"/>
      <c r="LQ295" s="148"/>
      <c r="LR295" s="148"/>
      <c r="LS295" s="148"/>
      <c r="LT295" s="148"/>
      <c r="LU295" s="148"/>
      <c r="LV295" s="148"/>
      <c r="LW295" s="148"/>
      <c r="LX295" s="148"/>
      <c r="LY295" s="148"/>
      <c r="LZ295" s="148"/>
      <c r="MA295" s="148"/>
      <c r="MB295" s="148"/>
      <c r="MC295" s="148"/>
      <c r="MD295" s="148"/>
      <c r="ME295" s="148"/>
      <c r="MF295" s="148"/>
      <c r="MG295" s="148"/>
      <c r="MH295" s="148"/>
      <c r="MI295" s="148"/>
      <c r="MJ295" s="148"/>
      <c r="MK295" s="148"/>
      <c r="ML295" s="148"/>
      <c r="MM295" s="148"/>
      <c r="MN295" s="148"/>
      <c r="MO295" s="148"/>
      <c r="MP295" s="148"/>
      <c r="MQ295" s="148"/>
      <c r="MR295" s="148"/>
      <c r="MS295" s="148"/>
      <c r="MT295" s="148"/>
      <c r="MU295" s="148"/>
      <c r="MV295" s="148"/>
      <c r="MW295" s="148"/>
      <c r="MX295" s="148"/>
      <c r="MY295" s="148"/>
      <c r="MZ295" s="148"/>
      <c r="NA295" s="148"/>
      <c r="NB295" s="148"/>
      <c r="NC295" s="148"/>
      <c r="ND295" s="148"/>
      <c r="NE295" s="148"/>
      <c r="NF295" s="148"/>
      <c r="NG295" s="148"/>
      <c r="NH295" s="148"/>
      <c r="NI295" s="148"/>
      <c r="NJ295" s="148"/>
      <c r="NK295" s="148"/>
      <c r="NL295" s="148"/>
      <c r="NM295" s="148"/>
      <c r="NN295" s="148"/>
      <c r="NO295" s="148"/>
      <c r="NP295" s="148"/>
      <c r="NQ295" s="148"/>
      <c r="NR295" s="148"/>
      <c r="NS295" s="148"/>
      <c r="NT295" s="148"/>
      <c r="NU295" s="148"/>
      <c r="NV295" s="148"/>
      <c r="NW295" s="148"/>
      <c r="NX295" s="148"/>
      <c r="NY295" s="148"/>
      <c r="NZ295" s="148"/>
      <c r="OA295" s="148"/>
      <c r="OB295" s="148"/>
      <c r="OC295" s="148"/>
      <c r="OD295" s="148"/>
      <c r="OE295" s="148"/>
      <c r="OF295" s="148"/>
      <c r="OG295" s="148"/>
      <c r="OH295" s="148"/>
      <c r="OI295" s="148"/>
      <c r="OJ295" s="148"/>
      <c r="OK295" s="148"/>
      <c r="OL295" s="148"/>
      <c r="OM295" s="148"/>
      <c r="ON295" s="148"/>
      <c r="OO295" s="148"/>
      <c r="OP295" s="148"/>
      <c r="OQ295" s="148"/>
      <c r="OR295" s="148"/>
      <c r="OS295" s="148"/>
      <c r="OT295" s="148"/>
      <c r="OU295" s="148"/>
      <c r="OV295" s="148"/>
      <c r="OW295" s="148"/>
      <c r="OX295" s="148"/>
      <c r="OY295" s="148"/>
      <c r="OZ295" s="148"/>
      <c r="PA295" s="148"/>
      <c r="PB295" s="148"/>
      <c r="PC295" s="148"/>
      <c r="PD295" s="148"/>
      <c r="PE295" s="148"/>
      <c r="PF295" s="148"/>
      <c r="PG295" s="148"/>
      <c r="PH295" s="148"/>
      <c r="PI295" s="148"/>
      <c r="PJ295" s="148"/>
      <c r="PK295" s="148"/>
      <c r="PL295" s="148"/>
      <c r="PM295" s="148"/>
      <c r="PN295" s="148"/>
      <c r="PO295" s="148"/>
      <c r="PP295" s="148"/>
      <c r="PQ295" s="148"/>
      <c r="PR295" s="148"/>
      <c r="PS295" s="148"/>
      <c r="PT295" s="148"/>
      <c r="PU295" s="148"/>
      <c r="PV295" s="148"/>
      <c r="PW295" s="148"/>
      <c r="PX295" s="148"/>
      <c r="PY295" s="148"/>
      <c r="PZ295" s="148"/>
      <c r="QA295" s="148"/>
      <c r="QB295" s="148"/>
      <c r="QC295" s="148"/>
      <c r="QD295" s="148"/>
      <c r="QE295" s="148"/>
      <c r="QF295" s="148"/>
      <c r="QG295" s="148"/>
      <c r="QH295" s="148"/>
      <c r="QI295" s="148"/>
      <c r="QJ295" s="148"/>
      <c r="QK295" s="148"/>
      <c r="QL295" s="148"/>
      <c r="QM295" s="148"/>
      <c r="QN295" s="148"/>
      <c r="QO295" s="148"/>
      <c r="QP295" s="148"/>
      <c r="QQ295" s="148"/>
      <c r="QR295" s="148"/>
      <c r="QS295" s="148"/>
      <c r="QT295" s="148"/>
      <c r="QU295" s="148"/>
      <c r="QV295" s="148"/>
      <c r="QW295" s="148"/>
      <c r="QX295" s="148"/>
      <c r="QY295" s="148"/>
      <c r="QZ295" s="148"/>
      <c r="RA295" s="148"/>
      <c r="RB295" s="148"/>
      <c r="RC295" s="148"/>
      <c r="RD295" s="148"/>
      <c r="RE295" s="148"/>
      <c r="RF295" s="148"/>
      <c r="RG295" s="148"/>
      <c r="RH295" s="148"/>
      <c r="RI295" s="148"/>
      <c r="RJ295" s="148"/>
      <c r="RK295" s="148"/>
      <c r="RL295" s="148"/>
      <c r="RM295" s="148"/>
      <c r="RN295" s="148"/>
      <c r="RO295" s="148"/>
      <c r="RP295" s="148"/>
      <c r="RQ295" s="148"/>
      <c r="RR295" s="148"/>
      <c r="RS295" s="148"/>
      <c r="RT295" s="148"/>
      <c r="RU295" s="148"/>
      <c r="RV295" s="148"/>
      <c r="RW295" s="148"/>
      <c r="RX295" s="148"/>
      <c r="RY295" s="148"/>
      <c r="RZ295" s="148"/>
      <c r="SA295" s="148"/>
      <c r="SB295" s="148"/>
      <c r="SC295" s="148"/>
      <c r="SD295" s="148"/>
      <c r="SE295" s="148"/>
      <c r="SF295" s="148"/>
      <c r="SG295" s="148"/>
      <c r="SH295" s="148"/>
      <c r="SI295" s="148"/>
      <c r="SJ295" s="148"/>
      <c r="SK295" s="148"/>
      <c r="SL295" s="148"/>
      <c r="SM295" s="148"/>
      <c r="SN295" s="148"/>
      <c r="SO295" s="148"/>
      <c r="SP295" s="148"/>
      <c r="SQ295" s="148"/>
      <c r="SR295" s="148"/>
      <c r="SS295" s="148"/>
      <c r="ST295" s="148"/>
      <c r="SU295" s="148"/>
      <c r="SV295" s="148"/>
      <c r="SW295" s="148"/>
      <c r="SX295" s="148"/>
      <c r="SY295" s="148"/>
      <c r="SZ295" s="148"/>
      <c r="TA295" s="148"/>
      <c r="TB295" s="148"/>
      <c r="TC295" s="148"/>
      <c r="TD295" s="148"/>
      <c r="TE295" s="148"/>
      <c r="TF295" s="148"/>
      <c r="TG295" s="148"/>
      <c r="TH295" s="148"/>
      <c r="TI295" s="148"/>
      <c r="TJ295" s="148"/>
      <c r="TK295" s="148"/>
      <c r="TL295" s="148"/>
      <c r="TM295" s="148"/>
      <c r="TN295" s="148"/>
      <c r="TO295" s="148"/>
      <c r="TP295" s="148"/>
      <c r="TQ295" s="148"/>
      <c r="TR295" s="148"/>
      <c r="TS295" s="148"/>
      <c r="TT295" s="148"/>
      <c r="TU295" s="148"/>
      <c r="TV295" s="148"/>
      <c r="TW295" s="148"/>
      <c r="TX295" s="148"/>
      <c r="TY295" s="148"/>
      <c r="TZ295" s="148"/>
      <c r="UA295" s="148"/>
      <c r="UB295" s="148"/>
      <c r="UC295" s="148"/>
      <c r="UD295" s="148"/>
      <c r="UE295" s="148"/>
      <c r="UF295" s="148"/>
      <c r="UG295" s="148"/>
      <c r="UH295" s="148"/>
      <c r="UI295" s="148"/>
      <c r="UJ295" s="148"/>
      <c r="UK295" s="148"/>
      <c r="UL295" s="148"/>
      <c r="UM295" s="148"/>
      <c r="UN295" s="148"/>
      <c r="UO295" s="148"/>
      <c r="UP295" s="148"/>
      <c r="UQ295" s="148"/>
      <c r="UR295" s="148"/>
      <c r="US295" s="148"/>
      <c r="UT295" s="148"/>
      <c r="UU295" s="148"/>
      <c r="UV295" s="148"/>
      <c r="UW295" s="148"/>
      <c r="UX295" s="148"/>
      <c r="UY295" s="148"/>
      <c r="UZ295" s="148"/>
      <c r="VA295" s="148"/>
      <c r="VB295" s="148"/>
      <c r="VC295" s="148"/>
      <c r="VD295" s="148"/>
      <c r="VE295" s="148"/>
      <c r="VF295" s="148"/>
      <c r="VG295" s="148"/>
      <c r="VH295" s="148"/>
      <c r="VI295" s="148"/>
      <c r="VJ295" s="148"/>
      <c r="VK295" s="148"/>
      <c r="VL295" s="148"/>
      <c r="VM295" s="148"/>
      <c r="VN295" s="148"/>
      <c r="VO295" s="148"/>
      <c r="VP295" s="148"/>
      <c r="VQ295" s="148"/>
      <c r="VR295" s="148"/>
      <c r="VS295" s="148"/>
      <c r="VT295" s="148"/>
      <c r="VU295" s="148"/>
      <c r="VV295" s="148"/>
      <c r="VW295" s="148"/>
      <c r="VX295" s="148"/>
      <c r="VY295" s="148"/>
      <c r="VZ295" s="148"/>
      <c r="WA295" s="148"/>
      <c r="WB295" s="148"/>
      <c r="WC295" s="148"/>
      <c r="WD295" s="148"/>
      <c r="WE295" s="148"/>
      <c r="WF295" s="148"/>
      <c r="WG295" s="148"/>
      <c r="WH295" s="148"/>
      <c r="WI295" s="148"/>
      <c r="WJ295" s="148"/>
      <c r="WK295" s="148"/>
      <c r="WL295" s="148"/>
      <c r="WM295" s="148"/>
      <c r="WN295" s="148"/>
      <c r="WO295" s="148"/>
      <c r="WP295" s="148"/>
      <c r="WQ295" s="148"/>
      <c r="WR295" s="148"/>
      <c r="WS295" s="148"/>
      <c r="WT295" s="148"/>
      <c r="WU295" s="148"/>
      <c r="WV295" s="148"/>
      <c r="WW295" s="148"/>
      <c r="WX295" s="148"/>
      <c r="WY295" s="148"/>
      <c r="WZ295" s="148"/>
      <c r="XA295" s="148"/>
      <c r="XB295" s="148"/>
      <c r="XC295" s="148"/>
      <c r="XD295" s="148"/>
      <c r="XE295" s="148"/>
      <c r="XF295" s="148"/>
      <c r="XG295" s="148"/>
      <c r="XH295" s="148"/>
      <c r="XI295" s="148"/>
      <c r="XJ295" s="148"/>
      <c r="XK295" s="148"/>
      <c r="XL295" s="148"/>
      <c r="XM295" s="148"/>
      <c r="XN295" s="148"/>
      <c r="XO295" s="148"/>
      <c r="XP295" s="148"/>
      <c r="XQ295" s="148"/>
      <c r="XR295" s="148"/>
      <c r="XS295" s="148"/>
      <c r="XT295" s="148"/>
      <c r="XU295" s="148"/>
      <c r="XV295" s="148"/>
      <c r="XW295" s="148"/>
      <c r="XX295" s="148"/>
      <c r="XY295" s="148"/>
      <c r="XZ295" s="148"/>
      <c r="YA295" s="148"/>
      <c r="YB295" s="148"/>
      <c r="YC295" s="148"/>
      <c r="YD295" s="148"/>
      <c r="YE295" s="148"/>
      <c r="YF295" s="148"/>
      <c r="YG295" s="148"/>
      <c r="YH295" s="148"/>
      <c r="YI295" s="148"/>
      <c r="YJ295" s="148"/>
      <c r="YK295" s="148"/>
      <c r="YL295" s="148"/>
      <c r="YM295" s="148"/>
      <c r="YN295" s="148"/>
      <c r="YO295" s="148"/>
      <c r="YP295" s="148"/>
      <c r="YQ295" s="148"/>
      <c r="YR295" s="148"/>
      <c r="YS295" s="148"/>
      <c r="YT295" s="148"/>
      <c r="YU295" s="148"/>
      <c r="YV295" s="148"/>
      <c r="YW295" s="148"/>
      <c r="YX295" s="148"/>
      <c r="YY295" s="148"/>
      <c r="YZ295" s="148"/>
      <c r="ZA295" s="148"/>
      <c r="ZB295" s="148"/>
      <c r="ZC295" s="148"/>
      <c r="ZD295" s="148"/>
      <c r="ZE295" s="148"/>
      <c r="ZF295" s="148"/>
      <c r="ZG295" s="148"/>
      <c r="ZH295" s="148"/>
      <c r="ZI295" s="148"/>
      <c r="ZJ295" s="148"/>
      <c r="ZK295" s="148"/>
      <c r="ZL295" s="148"/>
      <c r="ZM295" s="148"/>
      <c r="ZN295" s="148"/>
      <c r="ZO295" s="148"/>
      <c r="ZP295" s="148"/>
      <c r="ZQ295" s="148"/>
      <c r="ZR295" s="148"/>
      <c r="ZS295" s="148"/>
      <c r="ZT295" s="148"/>
      <c r="ZU295" s="148"/>
      <c r="ZV295" s="148"/>
      <c r="ZW295" s="148"/>
      <c r="ZX295" s="148"/>
      <c r="ZY295" s="148"/>
      <c r="ZZ295" s="148"/>
      <c r="AAA295" s="148"/>
      <c r="AAB295" s="148"/>
      <c r="AAC295" s="148"/>
      <c r="AAD295" s="148"/>
      <c r="AAE295" s="148"/>
      <c r="AAF295" s="148"/>
      <c r="AAG295" s="148"/>
      <c r="AAH295" s="148"/>
      <c r="AAI295" s="148"/>
      <c r="AAJ295" s="148"/>
      <c r="AAK295" s="148"/>
      <c r="AAL295" s="148"/>
      <c r="AAM295" s="148"/>
      <c r="AAN295" s="148"/>
      <c r="AAO295" s="148"/>
      <c r="AAP295" s="148"/>
      <c r="AAQ295" s="148"/>
      <c r="AAR295" s="148"/>
      <c r="AAS295" s="148"/>
      <c r="AAT295" s="148"/>
      <c r="AAU295" s="148"/>
      <c r="AAV295" s="148"/>
      <c r="AAW295" s="148"/>
      <c r="AAX295" s="148"/>
      <c r="AAY295" s="148"/>
      <c r="AAZ295" s="148"/>
      <c r="ABA295" s="148"/>
      <c r="ABB295" s="148"/>
      <c r="ABC295" s="148"/>
      <c r="ABD295" s="148"/>
      <c r="ABE295" s="148"/>
      <c r="ABF295" s="148"/>
      <c r="ABG295" s="148"/>
      <c r="ABH295" s="148"/>
      <c r="ABI295" s="148"/>
      <c r="ABJ295" s="148"/>
      <c r="ABK295" s="148"/>
      <c r="ABL295" s="148"/>
      <c r="ABM295" s="148"/>
      <c r="ABN295" s="148"/>
      <c r="ABO295" s="148"/>
      <c r="ABP295" s="148"/>
      <c r="ABQ295" s="148"/>
      <c r="ABR295" s="148"/>
      <c r="ABS295" s="148"/>
      <c r="ABT295" s="148"/>
      <c r="ABU295" s="148"/>
      <c r="ABV295" s="148"/>
      <c r="ABW295" s="148"/>
      <c r="ABX295" s="148"/>
      <c r="ABY295" s="148"/>
      <c r="ABZ295" s="148"/>
      <c r="ACA295" s="148"/>
      <c r="ACB295" s="148"/>
      <c r="ACC295" s="148"/>
      <c r="ACD295" s="148"/>
      <c r="ACE295" s="148"/>
      <c r="ACF295" s="148"/>
      <c r="ACG295" s="148"/>
      <c r="ACH295" s="148"/>
      <c r="ACI295" s="148"/>
      <c r="ACJ295" s="148"/>
      <c r="ACK295" s="148"/>
      <c r="ACL295" s="148"/>
      <c r="ACM295" s="148"/>
      <c r="ACN295" s="148"/>
      <c r="ACO295" s="148"/>
      <c r="ACP295" s="148"/>
      <c r="ACQ295" s="148"/>
      <c r="ACR295" s="148"/>
      <c r="ACS295" s="148"/>
      <c r="ACT295" s="148"/>
      <c r="ACU295" s="148"/>
      <c r="ACV295" s="148"/>
      <c r="ACW295" s="148"/>
      <c r="ACX295" s="148"/>
      <c r="ACY295" s="148"/>
      <c r="ACZ295" s="148"/>
      <c r="ADA295" s="148"/>
      <c r="ADB295" s="148"/>
      <c r="ADC295" s="148"/>
      <c r="ADD295" s="148"/>
      <c r="ADE295" s="148"/>
      <c r="ADF295" s="148"/>
      <c r="ADG295" s="148"/>
      <c r="ADH295" s="148"/>
      <c r="ADI295" s="148"/>
      <c r="ADJ295" s="148"/>
      <c r="ADK295" s="148"/>
      <c r="ADL295" s="148"/>
      <c r="ADM295" s="148"/>
      <c r="ADN295" s="148"/>
      <c r="ADO295" s="148"/>
      <c r="ADP295" s="148"/>
      <c r="ADQ295" s="148"/>
      <c r="ADR295" s="148"/>
      <c r="ADS295" s="148"/>
      <c r="ADT295" s="148"/>
      <c r="ADU295" s="148"/>
      <c r="ADV295" s="148"/>
      <c r="ADW295" s="148"/>
      <c r="ADX295" s="148"/>
      <c r="ADY295" s="148"/>
      <c r="ADZ295" s="148"/>
      <c r="AEA295" s="148"/>
      <c r="AEB295" s="148"/>
      <c r="AEC295" s="148"/>
      <c r="AED295" s="148"/>
      <c r="AEE295" s="148"/>
      <c r="AEF295" s="148"/>
      <c r="AEG295" s="148"/>
      <c r="AEH295" s="148"/>
      <c r="AEI295" s="148"/>
      <c r="AEJ295" s="148"/>
      <c r="AEK295" s="148"/>
      <c r="AEL295" s="148"/>
      <c r="AEM295" s="148"/>
      <c r="AEN295" s="148"/>
      <c r="AEO295" s="148"/>
      <c r="AEP295" s="148"/>
      <c r="AEQ295" s="148"/>
      <c r="AER295" s="148"/>
      <c r="AES295" s="148"/>
      <c r="AET295" s="148"/>
      <c r="AEU295" s="148"/>
      <c r="AEV295" s="148"/>
      <c r="AEW295" s="148"/>
      <c r="AEX295" s="148"/>
      <c r="AEY295" s="148"/>
      <c r="AEZ295" s="148"/>
      <c r="AFA295" s="148"/>
      <c r="AFB295" s="148"/>
      <c r="AFC295" s="148"/>
      <c r="AFD295" s="148"/>
      <c r="AFE295" s="148"/>
      <c r="AFF295" s="148"/>
      <c r="AFG295" s="148"/>
      <c r="AFH295" s="148"/>
      <c r="AFI295" s="148"/>
      <c r="AFJ295" s="148"/>
      <c r="AFK295" s="148"/>
      <c r="AFL295" s="148"/>
      <c r="AFM295" s="148"/>
      <c r="AFN295" s="148"/>
      <c r="AFO295" s="148"/>
      <c r="AFP295" s="148"/>
      <c r="AFQ295" s="148"/>
      <c r="AFR295" s="148"/>
      <c r="AFS295" s="148"/>
      <c r="AFT295" s="148"/>
      <c r="AFU295" s="148"/>
      <c r="AFV295" s="148"/>
      <c r="AFW295" s="148"/>
      <c r="AFX295" s="148"/>
      <c r="AFY295" s="148"/>
      <c r="AFZ295" s="148"/>
      <c r="AGA295" s="148"/>
      <c r="AGB295" s="148"/>
      <c r="AGC295" s="148"/>
      <c r="AGD295" s="148"/>
      <c r="AGE295" s="148"/>
      <c r="AGF295" s="148"/>
      <c r="AGG295" s="148"/>
      <c r="AGH295" s="148"/>
      <c r="AGI295" s="148"/>
      <c r="AGJ295" s="148"/>
      <c r="AGK295" s="148"/>
      <c r="AGL295" s="148"/>
      <c r="AGM295" s="148"/>
      <c r="AGN295" s="148"/>
      <c r="AGO295" s="148"/>
      <c r="AGP295" s="148"/>
      <c r="AGQ295" s="148"/>
      <c r="AGR295" s="148"/>
      <c r="AGS295" s="148"/>
      <c r="AGT295" s="148"/>
      <c r="AGU295" s="148"/>
      <c r="AGV295" s="148"/>
      <c r="AGW295" s="148"/>
      <c r="AGX295" s="148"/>
      <c r="AGY295" s="148"/>
      <c r="AGZ295" s="148"/>
      <c r="AHA295" s="148"/>
      <c r="AHB295" s="148"/>
      <c r="AHC295" s="148"/>
      <c r="AHD295" s="148"/>
      <c r="AHE295" s="148"/>
      <c r="AHF295" s="148"/>
      <c r="AHG295" s="148"/>
      <c r="AHH295" s="148"/>
      <c r="AHI295" s="148"/>
      <c r="AHJ295" s="148"/>
      <c r="AHK295" s="148"/>
      <c r="AHL295" s="148"/>
      <c r="AHM295" s="148"/>
      <c r="AHN295" s="148"/>
      <c r="AHO295" s="148"/>
      <c r="AHP295" s="148"/>
      <c r="AHQ295" s="148"/>
      <c r="AHR295" s="148"/>
      <c r="AHS295" s="148"/>
      <c r="AHT295" s="148"/>
      <c r="AHU295" s="148"/>
      <c r="AHV295" s="148"/>
      <c r="AHW295" s="148"/>
      <c r="AHX295" s="148"/>
      <c r="AHY295" s="148"/>
      <c r="AHZ295" s="148"/>
      <c r="AIA295" s="148"/>
      <c r="AIB295" s="148"/>
      <c r="AIC295" s="148"/>
      <c r="AID295" s="148"/>
      <c r="AIE295" s="148"/>
      <c r="AIF295" s="148"/>
      <c r="AIG295" s="148"/>
      <c r="AIH295" s="148"/>
      <c r="AII295" s="148"/>
      <c r="AIJ295" s="148"/>
      <c r="AIK295" s="148"/>
      <c r="AIL295" s="148"/>
      <c r="AIM295" s="148"/>
      <c r="AIN295" s="148"/>
      <c r="AIO295" s="148"/>
      <c r="AIP295" s="148"/>
      <c r="AIQ295" s="148"/>
      <c r="AIR295" s="148"/>
      <c r="AIS295" s="148"/>
      <c r="AIT295" s="148"/>
      <c r="AIU295" s="148"/>
      <c r="AIV295" s="148"/>
      <c r="AIW295" s="148"/>
      <c r="AIX295" s="148"/>
      <c r="AIY295" s="148"/>
      <c r="AIZ295" s="148"/>
      <c r="AJA295" s="148"/>
      <c r="AJB295" s="148"/>
      <c r="AJC295" s="148"/>
      <c r="AJD295" s="148"/>
      <c r="AJE295" s="148"/>
      <c r="AJF295" s="148"/>
      <c r="AJG295" s="148"/>
      <c r="AJH295" s="148"/>
      <c r="AJI295" s="148"/>
      <c r="AJJ295" s="148"/>
      <c r="AJK295" s="148"/>
      <c r="AJL295" s="148"/>
      <c r="AJM295" s="148"/>
      <c r="AJN295" s="148"/>
      <c r="AJO295" s="148"/>
      <c r="AJP295" s="148"/>
      <c r="AJQ295" s="148"/>
      <c r="AJR295" s="148"/>
      <c r="AJS295" s="148"/>
      <c r="AJT295" s="148"/>
      <c r="AJU295" s="148"/>
      <c r="AJV295" s="148"/>
      <c r="AJW295" s="148"/>
      <c r="AJX295" s="148"/>
      <c r="AJY295" s="148"/>
      <c r="AJZ295" s="148"/>
      <c r="AKA295" s="148"/>
      <c r="AKB295" s="148"/>
      <c r="AKC295" s="148"/>
      <c r="AKD295" s="148"/>
      <c r="AKE295" s="148"/>
      <c r="AKF295" s="148"/>
      <c r="AKG295" s="148"/>
      <c r="AKH295" s="148"/>
      <c r="AKI295" s="148"/>
      <c r="AKJ295" s="148"/>
      <c r="AKK295" s="148"/>
      <c r="AKL295" s="148"/>
      <c r="AKM295" s="148"/>
      <c r="AKN295" s="148"/>
      <c r="AKO295" s="148"/>
      <c r="AKP295" s="148"/>
      <c r="AKQ295" s="148"/>
      <c r="AKR295" s="148"/>
      <c r="AKS295" s="148"/>
      <c r="AKT295" s="148"/>
      <c r="AKU295" s="148"/>
      <c r="AKV295" s="148"/>
      <c r="AKW295" s="148"/>
      <c r="AKX295" s="148"/>
      <c r="AKY295" s="148"/>
      <c r="AKZ295" s="148"/>
      <c r="ALA295" s="148"/>
      <c r="ALB295" s="148"/>
      <c r="ALC295" s="148"/>
      <c r="ALD295" s="148"/>
      <c r="ALE295" s="148"/>
      <c r="ALF295" s="148"/>
      <c r="ALG295" s="148"/>
      <c r="ALH295" s="148"/>
      <c r="ALI295" s="148"/>
      <c r="ALJ295" s="148"/>
      <c r="ALK295" s="148"/>
      <c r="ALL295" s="148"/>
      <c r="ALM295" s="148"/>
      <c r="ALN295" s="148"/>
      <c r="ALO295" s="148"/>
      <c r="ALP295" s="148"/>
      <c r="ALQ295" s="148"/>
      <c r="ALR295" s="148"/>
      <c r="ALS295" s="148"/>
      <c r="ALT295" s="148"/>
      <c r="ALU295" s="148"/>
      <c r="ALV295" s="148"/>
      <c r="ALW295" s="148"/>
      <c r="ALX295" s="148"/>
      <c r="ALY295" s="148"/>
      <c r="ALZ295" s="148"/>
      <c r="AMA295" s="148"/>
      <c r="AMB295" s="148"/>
      <c r="AMC295" s="148"/>
      <c r="AMD295" s="148"/>
      <c r="AME295" s="148"/>
      <c r="AMF295" s="148"/>
      <c r="AMG295" s="148"/>
      <c r="AMH295" s="148"/>
      <c r="AMI295" s="148"/>
      <c r="AMJ295" s="148"/>
      <c r="AMK295" s="148"/>
      <c r="AML295" s="148"/>
      <c r="AMM295" s="148"/>
      <c r="AMN295" s="148"/>
      <c r="AMO295" s="148"/>
    </row>
    <row r="296" spans="1:1029" s="132" customFormat="1">
      <c r="A296" s="133"/>
      <c r="B296" s="136" t="str">
        <f t="shared" ca="1" si="743"/>
        <v>MLX</v>
      </c>
      <c r="C296" s="146" t="s">
        <v>666</v>
      </c>
      <c r="D296" s="137" t="s">
        <v>58</v>
      </c>
      <c r="E296" s="144" t="str">
        <f ca="1">"0x"&amp;DEC2HEX(HEX2DEC(RIGHT(INDIRECT(ADDRESS(ROW()-1,COLUMN())),4))+2,4)</f>
        <v>0x10BE</v>
      </c>
      <c r="F296" s="138">
        <v>16</v>
      </c>
      <c r="G296" s="138">
        <v>0</v>
      </c>
      <c r="H296" s="138">
        <v>0</v>
      </c>
      <c r="I296" s="138" t="s">
        <v>58</v>
      </c>
      <c r="J296" s="139" t="str">
        <f t="shared" si="1014"/>
        <v>-</v>
      </c>
      <c r="K296" s="139">
        <f t="shared" si="1015"/>
        <v>0</v>
      </c>
      <c r="L296" s="139">
        <f t="shared" si="1016"/>
        <v>65535</v>
      </c>
      <c r="M296" s="152" t="s">
        <v>663</v>
      </c>
      <c r="N296" s="28"/>
      <c r="O296" s="140"/>
      <c r="P296" s="140"/>
      <c r="Q296" s="140"/>
      <c r="R296" s="140"/>
      <c r="S296" s="140"/>
      <c r="T296" s="165"/>
      <c r="U296" s="165"/>
      <c r="V296" s="165"/>
      <c r="W296" s="28"/>
      <c r="X296" s="140">
        <f t="shared" ca="1" si="1017"/>
        <v>5800</v>
      </c>
      <c r="Y296" s="135"/>
      <c r="Z296" s="134"/>
      <c r="AA296" s="134"/>
      <c r="AB296" s="134"/>
      <c r="AC296" s="133">
        <f t="shared" si="1003"/>
        <v>1</v>
      </c>
      <c r="AD296" s="133" t="str">
        <f t="shared" ca="1" si="1018"/>
        <v>0x10BE</v>
      </c>
      <c r="AE296" s="133" t="str">
        <f t="shared" si="1019"/>
        <v>EE_RPOLY_THRD</v>
      </c>
      <c r="AF296" s="133" t="str">
        <f t="shared" si="1020"/>
        <v>-</v>
      </c>
      <c r="AG296" s="133" t="str">
        <f t="shared" si="1021"/>
        <v>-</v>
      </c>
      <c r="AH296" s="133" t="str">
        <f t="shared" si="1022"/>
        <v>-</v>
      </c>
      <c r="AI296" s="133" t="str">
        <f t="shared" si="1023"/>
        <v>-</v>
      </c>
      <c r="AJ296" s="133" t="str">
        <f t="shared" si="1024"/>
        <v>-</v>
      </c>
      <c r="AK296" s="133" t="str">
        <f t="shared" ca="1" si="1025"/>
        <v>0x10BE</v>
      </c>
      <c r="AL296" s="133" t="str">
        <f t="shared" ca="1" si="1026"/>
        <v>MLX</v>
      </c>
      <c r="AM296" s="134">
        <f t="shared" si="1004"/>
        <v>0</v>
      </c>
      <c r="AN296" s="133" t="str">
        <f t="shared" ca="1" si="1027"/>
        <v>0x10BE</v>
      </c>
      <c r="AO296" s="134" t="str">
        <f ca="1">IF(AF296="-",VLOOKUP(AD296,MemoryView!$A$3:$F$108,6,0),MID(VLOOKUP(AF296,MemoryView!$BD$3:$BE$108,2,0),15-AI296+1,AH296))</f>
        <v>16A8</v>
      </c>
      <c r="AP296" s="134">
        <f t="shared" ca="1" si="1028"/>
        <v>5800</v>
      </c>
      <c r="AQ296" s="141" t="str">
        <f t="shared" si="1029"/>
        <v>-</v>
      </c>
      <c r="AR296" s="142" t="str">
        <f t="shared" ca="1" si="1030"/>
        <v>EE_MEM #(`PARAM(16'h10BE, 0, 16, 0)) EE_RPOLY_THRD(); bit unsigned [16-1:0] EE_RPOLY_THRD_V; assign EE_RPOLY_THRD_V = EE_RPOLY_THRD.GET;</v>
      </c>
      <c r="AS296" s="133" t="str">
        <f t="shared" ca="1" si="1031"/>
        <v>EE_RPOLY_THRD</v>
      </c>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3"/>
      <c r="DR296" s="133"/>
      <c r="DS296" s="133"/>
      <c r="DT296" s="133"/>
      <c r="DU296" s="133"/>
      <c r="DV296" s="133"/>
      <c r="DW296" s="133"/>
      <c r="DX296" s="133"/>
      <c r="DY296" s="133"/>
      <c r="DZ296" s="133"/>
      <c r="EA296" s="133"/>
      <c r="EB296" s="133"/>
      <c r="EC296" s="133"/>
      <c r="ED296" s="133"/>
      <c r="EE296" s="133"/>
      <c r="EF296" s="133"/>
      <c r="EG296" s="133"/>
      <c r="EH296" s="133"/>
      <c r="EI296" s="133"/>
      <c r="EJ296" s="133"/>
      <c r="EK296" s="133"/>
      <c r="EL296" s="133"/>
      <c r="EM296" s="133"/>
      <c r="EN296" s="133"/>
      <c r="EO296" s="133"/>
      <c r="EP296" s="133"/>
      <c r="EQ296" s="133"/>
      <c r="ER296" s="133"/>
      <c r="ES296" s="133"/>
      <c r="ET296" s="133"/>
      <c r="EU296" s="133"/>
      <c r="EV296" s="133"/>
      <c r="EW296" s="133"/>
      <c r="EX296" s="133"/>
      <c r="EY296" s="133"/>
      <c r="EZ296" s="133"/>
      <c r="FA296" s="133"/>
      <c r="FB296" s="133"/>
      <c r="FC296" s="133"/>
      <c r="FD296" s="133"/>
      <c r="FE296" s="133"/>
      <c r="FF296" s="133"/>
      <c r="FG296" s="133"/>
      <c r="FH296" s="133"/>
      <c r="FI296" s="133"/>
      <c r="FJ296" s="133"/>
      <c r="FK296" s="133"/>
      <c r="FL296" s="133"/>
      <c r="FM296" s="133"/>
      <c r="FN296" s="133"/>
      <c r="FO296" s="133"/>
      <c r="FP296" s="133"/>
      <c r="FQ296" s="133"/>
      <c r="FR296" s="133"/>
      <c r="FS296" s="133"/>
      <c r="FT296" s="133"/>
      <c r="FU296" s="133"/>
      <c r="FV296" s="133"/>
      <c r="FW296" s="133"/>
      <c r="FX296" s="133"/>
      <c r="FY296" s="133"/>
      <c r="FZ296" s="133"/>
      <c r="GA296" s="133"/>
      <c r="GB296" s="133"/>
      <c r="GC296" s="133"/>
      <c r="GD296" s="133"/>
      <c r="GE296" s="133"/>
      <c r="GF296" s="133"/>
      <c r="GG296" s="133"/>
      <c r="GH296" s="133"/>
      <c r="GI296" s="133"/>
      <c r="GJ296" s="133"/>
      <c r="GK296" s="133"/>
      <c r="GL296" s="133"/>
      <c r="GM296" s="133"/>
      <c r="GN296" s="133"/>
      <c r="GO296" s="133"/>
      <c r="GP296" s="133"/>
      <c r="GQ296" s="133"/>
      <c r="GR296" s="133"/>
      <c r="GS296" s="133"/>
      <c r="GT296" s="133"/>
      <c r="GU296" s="133"/>
      <c r="GV296" s="133"/>
      <c r="GW296" s="133"/>
      <c r="GX296" s="133"/>
      <c r="GY296" s="133"/>
      <c r="GZ296" s="133"/>
      <c r="HA296" s="133"/>
      <c r="HB296" s="133"/>
      <c r="HC296" s="133"/>
      <c r="HD296" s="133"/>
      <c r="HE296" s="133"/>
      <c r="HF296" s="133"/>
      <c r="HG296" s="133"/>
      <c r="HH296" s="133"/>
      <c r="HI296" s="133"/>
      <c r="HJ296" s="133"/>
      <c r="HK296" s="133"/>
      <c r="HL296" s="133"/>
      <c r="HM296" s="133"/>
      <c r="HN296" s="133"/>
      <c r="HO296" s="133"/>
      <c r="HP296" s="133"/>
      <c r="HQ296" s="133"/>
      <c r="HR296" s="133"/>
      <c r="HS296" s="133"/>
      <c r="HT296" s="133"/>
      <c r="HU296" s="133"/>
      <c r="HV296" s="133"/>
      <c r="HW296" s="133"/>
      <c r="HX296" s="133"/>
      <c r="HY296" s="133"/>
      <c r="HZ296" s="133"/>
      <c r="IA296" s="133"/>
      <c r="IB296" s="133"/>
      <c r="IC296" s="133"/>
      <c r="ID296" s="133"/>
      <c r="IE296" s="133"/>
      <c r="IF296" s="133"/>
      <c r="IG296" s="133"/>
      <c r="IH296" s="133"/>
      <c r="II296" s="133"/>
      <c r="IJ296" s="133"/>
      <c r="IK296" s="133"/>
      <c r="IL296" s="133"/>
      <c r="IM296" s="133"/>
      <c r="IN296" s="133"/>
      <c r="IO296" s="133"/>
      <c r="IP296" s="133"/>
      <c r="IQ296" s="133"/>
      <c r="IR296" s="133"/>
      <c r="IS296" s="133"/>
      <c r="IT296" s="133"/>
      <c r="IU296" s="133"/>
      <c r="IV296" s="133"/>
      <c r="IW296" s="133"/>
      <c r="IX296" s="133"/>
      <c r="IY296" s="133"/>
      <c r="IZ296" s="133"/>
      <c r="JA296" s="133"/>
      <c r="JB296" s="133"/>
      <c r="JC296" s="133"/>
      <c r="JD296" s="133"/>
      <c r="JE296" s="133"/>
      <c r="JF296" s="133"/>
      <c r="JG296" s="133"/>
      <c r="JH296" s="133"/>
      <c r="JI296" s="133"/>
      <c r="JJ296" s="133"/>
      <c r="JK296" s="133"/>
      <c r="JL296" s="133"/>
      <c r="JM296" s="133"/>
      <c r="JN296" s="133"/>
      <c r="JO296" s="133"/>
      <c r="JP296" s="133"/>
      <c r="JQ296" s="133"/>
      <c r="JR296" s="133"/>
      <c r="JS296" s="133"/>
      <c r="JT296" s="133"/>
      <c r="JU296" s="133"/>
      <c r="JV296" s="133"/>
      <c r="JW296" s="133"/>
      <c r="JX296" s="133"/>
      <c r="JY296" s="133"/>
      <c r="JZ296" s="133"/>
      <c r="KA296" s="133"/>
      <c r="KB296" s="133"/>
      <c r="KC296" s="133"/>
      <c r="KD296" s="133"/>
      <c r="KE296" s="133"/>
      <c r="KF296" s="133"/>
      <c r="KG296" s="133"/>
      <c r="KH296" s="133"/>
      <c r="KI296" s="133"/>
      <c r="KJ296" s="133"/>
      <c r="KK296" s="133"/>
      <c r="KL296" s="133"/>
      <c r="KM296" s="133"/>
      <c r="KN296" s="133"/>
      <c r="KO296" s="133"/>
      <c r="KP296" s="133"/>
      <c r="KQ296" s="133"/>
      <c r="KR296" s="133"/>
      <c r="KS296" s="133"/>
      <c r="KT296" s="133"/>
      <c r="KU296" s="133"/>
      <c r="KV296" s="133"/>
      <c r="KW296" s="133"/>
      <c r="KX296" s="133"/>
      <c r="KY296" s="133"/>
      <c r="KZ296" s="133"/>
      <c r="LA296" s="133"/>
      <c r="LB296" s="133"/>
      <c r="LC296" s="133"/>
      <c r="LD296" s="133"/>
      <c r="LE296" s="133"/>
      <c r="LF296" s="133"/>
      <c r="LG296" s="133"/>
      <c r="LH296" s="133"/>
      <c r="LI296" s="133"/>
      <c r="LJ296" s="133"/>
      <c r="LK296" s="133"/>
      <c r="LL296" s="133"/>
      <c r="LM296" s="133"/>
      <c r="LN296" s="133"/>
      <c r="LO296" s="133"/>
      <c r="LP296" s="133"/>
      <c r="LQ296" s="133"/>
      <c r="LR296" s="133"/>
      <c r="LS296" s="133"/>
      <c r="LT296" s="133"/>
      <c r="LU296" s="133"/>
      <c r="LV296" s="133"/>
      <c r="LW296" s="133"/>
      <c r="LX296" s="133"/>
      <c r="LY296" s="133"/>
      <c r="LZ296" s="133"/>
      <c r="MA296" s="133"/>
      <c r="MB296" s="133"/>
      <c r="MC296" s="133"/>
      <c r="MD296" s="133"/>
      <c r="ME296" s="133"/>
      <c r="MF296" s="133"/>
      <c r="MG296" s="133"/>
      <c r="MH296" s="133"/>
      <c r="MI296" s="133"/>
      <c r="MJ296" s="133"/>
      <c r="MK296" s="133"/>
      <c r="ML296" s="133"/>
      <c r="MM296" s="133"/>
      <c r="MN296" s="133"/>
      <c r="MO296" s="133"/>
      <c r="MP296" s="133"/>
      <c r="MQ296" s="133"/>
      <c r="MR296" s="133"/>
      <c r="MS296" s="133"/>
      <c r="MT296" s="133"/>
      <c r="MU296" s="133"/>
      <c r="MV296" s="133"/>
      <c r="MW296" s="133"/>
      <c r="MX296" s="133"/>
      <c r="MY296" s="133"/>
      <c r="MZ296" s="133"/>
      <c r="NA296" s="133"/>
      <c r="NB296" s="133"/>
      <c r="NC296" s="133"/>
      <c r="ND296" s="133"/>
      <c r="NE296" s="133"/>
      <c r="NF296" s="133"/>
      <c r="NG296" s="133"/>
      <c r="NH296" s="133"/>
      <c r="NI296" s="133"/>
      <c r="NJ296" s="133"/>
      <c r="NK296" s="133"/>
      <c r="NL296" s="133"/>
      <c r="NM296" s="133"/>
      <c r="NN296" s="133"/>
      <c r="NO296" s="133"/>
      <c r="NP296" s="133"/>
      <c r="NQ296" s="133"/>
      <c r="NR296" s="133"/>
      <c r="NS296" s="133"/>
      <c r="NT296" s="133"/>
      <c r="NU296" s="133"/>
      <c r="NV296" s="133"/>
      <c r="NW296" s="133"/>
      <c r="NX296" s="133"/>
      <c r="NY296" s="133"/>
      <c r="NZ296" s="133"/>
      <c r="OA296" s="133"/>
      <c r="OB296" s="133"/>
      <c r="OC296" s="133"/>
      <c r="OD296" s="133"/>
      <c r="OE296" s="133"/>
      <c r="OF296" s="133"/>
      <c r="OG296" s="133"/>
      <c r="OH296" s="133"/>
      <c r="OI296" s="133"/>
      <c r="OJ296" s="133"/>
      <c r="OK296" s="133"/>
      <c r="OL296" s="133"/>
      <c r="OM296" s="133"/>
      <c r="ON296" s="133"/>
      <c r="OO296" s="133"/>
      <c r="OP296" s="133"/>
      <c r="OQ296" s="133"/>
      <c r="OR296" s="133"/>
      <c r="OS296" s="133"/>
      <c r="OT296" s="133"/>
      <c r="OU296" s="133"/>
      <c r="OV296" s="133"/>
      <c r="OW296" s="133"/>
      <c r="OX296" s="133"/>
      <c r="OY296" s="133"/>
      <c r="OZ296" s="133"/>
      <c r="PA296" s="133"/>
      <c r="PB296" s="133"/>
      <c r="PC296" s="133"/>
      <c r="PD296" s="133"/>
      <c r="PE296" s="133"/>
      <c r="PF296" s="133"/>
      <c r="PG296" s="133"/>
      <c r="PH296" s="133"/>
      <c r="PI296" s="133"/>
      <c r="PJ296" s="133"/>
      <c r="PK296" s="133"/>
      <c r="PL296" s="133"/>
      <c r="PM296" s="133"/>
      <c r="PN296" s="133"/>
      <c r="PO296" s="133"/>
      <c r="PP296" s="133"/>
      <c r="PQ296" s="133"/>
      <c r="PR296" s="133"/>
      <c r="PS296" s="133"/>
      <c r="PT296" s="133"/>
      <c r="PU296" s="133"/>
      <c r="PV296" s="133"/>
      <c r="PW296" s="133"/>
      <c r="PX296" s="133"/>
      <c r="PY296" s="133"/>
      <c r="PZ296" s="133"/>
      <c r="QA296" s="133"/>
      <c r="QB296" s="133"/>
      <c r="QC296" s="133"/>
      <c r="QD296" s="133"/>
      <c r="QE296" s="133"/>
      <c r="QF296" s="133"/>
      <c r="QG296" s="133"/>
      <c r="QH296" s="133"/>
      <c r="QI296" s="133"/>
      <c r="QJ296" s="133"/>
      <c r="QK296" s="133"/>
      <c r="QL296" s="133"/>
      <c r="QM296" s="133"/>
      <c r="QN296" s="133"/>
      <c r="QO296" s="133"/>
      <c r="QP296" s="133"/>
      <c r="QQ296" s="133"/>
      <c r="QR296" s="133"/>
      <c r="QS296" s="133"/>
      <c r="QT296" s="133"/>
      <c r="QU296" s="133"/>
      <c r="QV296" s="133"/>
      <c r="QW296" s="133"/>
      <c r="QX296" s="133"/>
      <c r="QY296" s="133"/>
      <c r="QZ296" s="133"/>
      <c r="RA296" s="133"/>
      <c r="RB296" s="133"/>
      <c r="RC296" s="133"/>
      <c r="RD296" s="133"/>
      <c r="RE296" s="133"/>
      <c r="RF296" s="133"/>
      <c r="RG296" s="133"/>
      <c r="RH296" s="133"/>
      <c r="RI296" s="133"/>
      <c r="RJ296" s="133"/>
      <c r="RK296" s="133"/>
      <c r="RL296" s="133"/>
      <c r="RM296" s="133"/>
      <c r="RN296" s="133"/>
      <c r="RO296" s="133"/>
      <c r="RP296" s="133"/>
      <c r="RQ296" s="133"/>
      <c r="RR296" s="133"/>
      <c r="RS296" s="133"/>
      <c r="RT296" s="133"/>
      <c r="RU296" s="133"/>
      <c r="RV296" s="133"/>
      <c r="RW296" s="133"/>
      <c r="RX296" s="133"/>
      <c r="RY296" s="133"/>
      <c r="RZ296" s="133"/>
      <c r="SA296" s="133"/>
      <c r="SB296" s="133"/>
      <c r="SC296" s="133"/>
      <c r="SD296" s="133"/>
      <c r="SE296" s="133"/>
      <c r="SF296" s="133"/>
      <c r="SG296" s="133"/>
      <c r="SH296" s="133"/>
      <c r="SI296" s="133"/>
      <c r="SJ296" s="133"/>
      <c r="SK296" s="133"/>
      <c r="SL296" s="133"/>
      <c r="SM296" s="133"/>
      <c r="SN296" s="133"/>
      <c r="SO296" s="133"/>
      <c r="SP296" s="133"/>
      <c r="SQ296" s="133"/>
      <c r="SR296" s="133"/>
      <c r="SS296" s="133"/>
      <c r="ST296" s="133"/>
      <c r="SU296" s="133"/>
      <c r="SV296" s="133"/>
      <c r="SW296" s="133"/>
      <c r="SX296" s="133"/>
      <c r="SY296" s="133"/>
      <c r="SZ296" s="133"/>
      <c r="TA296" s="133"/>
      <c r="TB296" s="133"/>
      <c r="TC296" s="133"/>
      <c r="TD296" s="133"/>
      <c r="TE296" s="133"/>
      <c r="TF296" s="133"/>
      <c r="TG296" s="133"/>
      <c r="TH296" s="133"/>
      <c r="TI296" s="133"/>
      <c r="TJ296" s="133"/>
      <c r="TK296" s="133"/>
      <c r="TL296" s="133"/>
      <c r="TM296" s="133"/>
      <c r="TN296" s="133"/>
      <c r="TO296" s="133"/>
      <c r="TP296" s="133"/>
      <c r="TQ296" s="133"/>
      <c r="TR296" s="133"/>
      <c r="TS296" s="133"/>
      <c r="TT296" s="133"/>
      <c r="TU296" s="133"/>
      <c r="TV296" s="133"/>
      <c r="TW296" s="133"/>
      <c r="TX296" s="133"/>
      <c r="TY296" s="133"/>
      <c r="TZ296" s="133"/>
      <c r="UA296" s="133"/>
      <c r="UB296" s="133"/>
      <c r="UC296" s="133"/>
      <c r="UD296" s="133"/>
      <c r="UE296" s="133"/>
      <c r="UF296" s="133"/>
      <c r="UG296" s="133"/>
      <c r="UH296" s="133"/>
      <c r="UI296" s="133"/>
      <c r="UJ296" s="133"/>
      <c r="UK296" s="133"/>
      <c r="UL296" s="133"/>
      <c r="UM296" s="133"/>
      <c r="UN296" s="133"/>
      <c r="UO296" s="133"/>
      <c r="UP296" s="133"/>
      <c r="UQ296" s="133"/>
      <c r="UR296" s="133"/>
      <c r="US296" s="133"/>
      <c r="UT296" s="133"/>
      <c r="UU296" s="133"/>
      <c r="UV296" s="133"/>
      <c r="UW296" s="133"/>
      <c r="UX296" s="133"/>
      <c r="UY296" s="133"/>
      <c r="UZ296" s="133"/>
      <c r="VA296" s="133"/>
      <c r="VB296" s="133"/>
      <c r="VC296" s="133"/>
      <c r="VD296" s="133"/>
      <c r="VE296" s="133"/>
      <c r="VF296" s="133"/>
      <c r="VG296" s="133"/>
      <c r="VH296" s="133"/>
      <c r="VI296" s="133"/>
      <c r="VJ296" s="133"/>
      <c r="VK296" s="133"/>
      <c r="VL296" s="133"/>
      <c r="VM296" s="133"/>
      <c r="VN296" s="133"/>
      <c r="VO296" s="133"/>
      <c r="VP296" s="133"/>
      <c r="VQ296" s="133"/>
      <c r="VR296" s="133"/>
      <c r="VS296" s="133"/>
      <c r="VT296" s="133"/>
      <c r="VU296" s="133"/>
      <c r="VV296" s="133"/>
      <c r="VW296" s="133"/>
      <c r="VX296" s="133"/>
      <c r="VY296" s="133"/>
      <c r="VZ296" s="133"/>
      <c r="WA296" s="133"/>
      <c r="WB296" s="133"/>
      <c r="WC296" s="133"/>
      <c r="WD296" s="133"/>
      <c r="WE296" s="133"/>
      <c r="WF296" s="133"/>
      <c r="WG296" s="133"/>
      <c r="WH296" s="133"/>
      <c r="WI296" s="133"/>
      <c r="WJ296" s="133"/>
      <c r="WK296" s="133"/>
      <c r="WL296" s="133"/>
      <c r="WM296" s="133"/>
      <c r="WN296" s="133"/>
      <c r="WO296" s="133"/>
      <c r="WP296" s="133"/>
      <c r="WQ296" s="133"/>
      <c r="WR296" s="133"/>
      <c r="WS296" s="133"/>
      <c r="WT296" s="133"/>
      <c r="WU296" s="133"/>
      <c r="WV296" s="133"/>
      <c r="WW296" s="133"/>
      <c r="WX296" s="133"/>
      <c r="WY296" s="133"/>
      <c r="WZ296" s="133"/>
      <c r="XA296" s="133"/>
      <c r="XB296" s="133"/>
      <c r="XC296" s="133"/>
      <c r="XD296" s="133"/>
      <c r="XE296" s="133"/>
      <c r="XF296" s="133"/>
      <c r="XG296" s="133"/>
      <c r="XH296" s="133"/>
      <c r="XI296" s="133"/>
      <c r="XJ296" s="133"/>
      <c r="XK296" s="133"/>
      <c r="XL296" s="133"/>
      <c r="XM296" s="133"/>
      <c r="XN296" s="133"/>
      <c r="XO296" s="133"/>
      <c r="XP296" s="133"/>
      <c r="XQ296" s="133"/>
      <c r="XR296" s="133"/>
      <c r="XS296" s="133"/>
      <c r="XT296" s="133"/>
      <c r="XU296" s="133"/>
      <c r="XV296" s="133"/>
      <c r="XW296" s="133"/>
      <c r="XX296" s="133"/>
      <c r="XY296" s="133"/>
      <c r="XZ296" s="133"/>
      <c r="YA296" s="133"/>
      <c r="YB296" s="133"/>
      <c r="YC296" s="133"/>
      <c r="YD296" s="133"/>
      <c r="YE296" s="133"/>
      <c r="YF296" s="133"/>
      <c r="YG296" s="133"/>
      <c r="YH296" s="133"/>
      <c r="YI296" s="133"/>
      <c r="YJ296" s="133"/>
      <c r="YK296" s="133"/>
      <c r="YL296" s="133"/>
      <c r="YM296" s="133"/>
      <c r="YN296" s="133"/>
      <c r="YO296" s="133"/>
      <c r="YP296" s="133"/>
      <c r="YQ296" s="133"/>
      <c r="YR296" s="133"/>
      <c r="YS296" s="133"/>
      <c r="YT296" s="133"/>
      <c r="YU296" s="133"/>
      <c r="YV296" s="133"/>
      <c r="YW296" s="133"/>
      <c r="YX296" s="133"/>
      <c r="YY296" s="133"/>
      <c r="YZ296" s="133"/>
      <c r="ZA296" s="133"/>
      <c r="ZB296" s="133"/>
      <c r="ZC296" s="133"/>
      <c r="ZD296" s="133"/>
      <c r="ZE296" s="133"/>
      <c r="ZF296" s="133"/>
      <c r="ZG296" s="133"/>
      <c r="ZH296" s="133"/>
      <c r="ZI296" s="133"/>
      <c r="ZJ296" s="133"/>
      <c r="ZK296" s="133"/>
      <c r="ZL296" s="133"/>
      <c r="ZM296" s="133"/>
      <c r="ZN296" s="133"/>
      <c r="ZO296" s="133"/>
      <c r="ZP296" s="133"/>
      <c r="ZQ296" s="133"/>
      <c r="ZR296" s="133"/>
      <c r="ZS296" s="133"/>
      <c r="ZT296" s="133"/>
      <c r="ZU296" s="133"/>
      <c r="ZV296" s="133"/>
      <c r="ZW296" s="133"/>
      <c r="ZX296" s="133"/>
      <c r="ZY296" s="133"/>
      <c r="ZZ296" s="133"/>
      <c r="AAA296" s="133"/>
      <c r="AAB296" s="133"/>
      <c r="AAC296" s="133"/>
      <c r="AAD296" s="133"/>
      <c r="AAE296" s="133"/>
      <c r="AAF296" s="133"/>
      <c r="AAG296" s="133"/>
      <c r="AAH296" s="133"/>
      <c r="AAI296" s="133"/>
      <c r="AAJ296" s="133"/>
      <c r="AAK296" s="133"/>
      <c r="AAL296" s="133"/>
      <c r="AAM296" s="133"/>
      <c r="AAN296" s="133"/>
      <c r="AAO296" s="133"/>
      <c r="AAP296" s="133"/>
      <c r="AAQ296" s="133"/>
      <c r="AAR296" s="133"/>
      <c r="AAS296" s="133"/>
      <c r="AAT296" s="133"/>
      <c r="AAU296" s="133"/>
      <c r="AAV296" s="133"/>
      <c r="AAW296" s="133"/>
      <c r="AAX296" s="133"/>
      <c r="AAY296" s="133"/>
      <c r="AAZ296" s="133"/>
      <c r="ABA296" s="133"/>
      <c r="ABB296" s="133"/>
      <c r="ABC296" s="133"/>
      <c r="ABD296" s="133"/>
      <c r="ABE296" s="133"/>
      <c r="ABF296" s="133"/>
      <c r="ABG296" s="133"/>
      <c r="ABH296" s="133"/>
      <c r="ABI296" s="133"/>
      <c r="ABJ296" s="133"/>
      <c r="ABK296" s="133"/>
      <c r="ABL296" s="133"/>
      <c r="ABM296" s="133"/>
      <c r="ABN296" s="133"/>
      <c r="ABO296" s="133"/>
      <c r="ABP296" s="133"/>
      <c r="ABQ296" s="133"/>
      <c r="ABR296" s="133"/>
      <c r="ABS296" s="133"/>
      <c r="ABT296" s="133"/>
      <c r="ABU296" s="133"/>
      <c r="ABV296" s="133"/>
      <c r="ABW296" s="133"/>
      <c r="ABX296" s="133"/>
      <c r="ABY296" s="133"/>
      <c r="ABZ296" s="133"/>
      <c r="ACA296" s="133"/>
      <c r="ACB296" s="133"/>
      <c r="ACC296" s="133"/>
      <c r="ACD296" s="133"/>
      <c r="ACE296" s="133"/>
      <c r="ACF296" s="133"/>
      <c r="ACG296" s="133"/>
      <c r="ACH296" s="133"/>
      <c r="ACI296" s="133"/>
      <c r="ACJ296" s="133"/>
      <c r="ACK296" s="133"/>
      <c r="ACL296" s="133"/>
      <c r="ACM296" s="133"/>
      <c r="ACN296" s="133"/>
      <c r="ACO296" s="133"/>
      <c r="ACP296" s="133"/>
      <c r="ACQ296" s="133"/>
      <c r="ACR296" s="133"/>
      <c r="ACS296" s="133"/>
      <c r="ACT296" s="133"/>
      <c r="ACU296" s="133"/>
      <c r="ACV296" s="133"/>
      <c r="ACW296" s="133"/>
      <c r="ACX296" s="133"/>
      <c r="ACY296" s="133"/>
      <c r="ACZ296" s="133"/>
      <c r="ADA296" s="133"/>
      <c r="ADB296" s="133"/>
      <c r="ADC296" s="133"/>
      <c r="ADD296" s="133"/>
      <c r="ADE296" s="133"/>
      <c r="ADF296" s="133"/>
      <c r="ADG296" s="133"/>
      <c r="ADH296" s="133"/>
      <c r="ADI296" s="133"/>
      <c r="ADJ296" s="133"/>
      <c r="ADK296" s="133"/>
      <c r="ADL296" s="133"/>
      <c r="ADM296" s="133"/>
      <c r="ADN296" s="133"/>
      <c r="ADO296" s="133"/>
      <c r="ADP296" s="133"/>
      <c r="ADQ296" s="133"/>
      <c r="ADR296" s="133"/>
      <c r="ADS296" s="133"/>
      <c r="ADT296" s="133"/>
      <c r="ADU296" s="133"/>
      <c r="ADV296" s="133"/>
      <c r="ADW296" s="133"/>
      <c r="ADX296" s="133"/>
      <c r="ADY296" s="133"/>
      <c r="ADZ296" s="133"/>
      <c r="AEA296" s="133"/>
      <c r="AEB296" s="133"/>
      <c r="AEC296" s="133"/>
      <c r="AED296" s="133"/>
      <c r="AEE296" s="133"/>
      <c r="AEF296" s="133"/>
      <c r="AEG296" s="133"/>
      <c r="AEH296" s="133"/>
      <c r="AEI296" s="133"/>
      <c r="AEJ296" s="133"/>
      <c r="AEK296" s="133"/>
      <c r="AEL296" s="133"/>
      <c r="AEM296" s="133"/>
      <c r="AEN296" s="133"/>
      <c r="AEO296" s="133"/>
      <c r="AEP296" s="133"/>
      <c r="AEQ296" s="133"/>
      <c r="AER296" s="133"/>
      <c r="AES296" s="133"/>
      <c r="AET296" s="133"/>
      <c r="AEU296" s="133"/>
      <c r="AEV296" s="133"/>
      <c r="AEW296" s="133"/>
      <c r="AEX296" s="133"/>
      <c r="AEY296" s="133"/>
      <c r="AEZ296" s="133"/>
      <c r="AFA296" s="133"/>
      <c r="AFB296" s="133"/>
      <c r="AFC296" s="133"/>
      <c r="AFD296" s="133"/>
      <c r="AFE296" s="133"/>
      <c r="AFF296" s="133"/>
      <c r="AFG296" s="133"/>
      <c r="AFH296" s="133"/>
      <c r="AFI296" s="133"/>
      <c r="AFJ296" s="133"/>
      <c r="AFK296" s="133"/>
      <c r="AFL296" s="133"/>
      <c r="AFM296" s="133"/>
      <c r="AFN296" s="133"/>
      <c r="AFO296" s="133"/>
      <c r="AFP296" s="133"/>
      <c r="AFQ296" s="133"/>
      <c r="AFR296" s="133"/>
      <c r="AFS296" s="133"/>
      <c r="AFT296" s="133"/>
      <c r="AFU296" s="133"/>
      <c r="AFV296" s="133"/>
      <c r="AFW296" s="133"/>
      <c r="AFX296" s="133"/>
      <c r="AFY296" s="133"/>
      <c r="AFZ296" s="133"/>
      <c r="AGA296" s="133"/>
      <c r="AGB296" s="133"/>
      <c r="AGC296" s="133"/>
      <c r="AGD296" s="133"/>
      <c r="AGE296" s="133"/>
      <c r="AGF296" s="133"/>
      <c r="AGG296" s="133"/>
      <c r="AGH296" s="133"/>
      <c r="AGI296" s="133"/>
      <c r="AGJ296" s="133"/>
      <c r="AGK296" s="133"/>
      <c r="AGL296" s="133"/>
      <c r="AGM296" s="133"/>
      <c r="AGN296" s="133"/>
      <c r="AGO296" s="133"/>
      <c r="AGP296" s="133"/>
      <c r="AGQ296" s="133"/>
      <c r="AGR296" s="133"/>
      <c r="AGS296" s="133"/>
      <c r="AGT296" s="133"/>
      <c r="AGU296" s="133"/>
      <c r="AGV296" s="133"/>
      <c r="AGW296" s="133"/>
      <c r="AGX296" s="133"/>
      <c r="AGY296" s="133"/>
      <c r="AGZ296" s="133"/>
      <c r="AHA296" s="133"/>
      <c r="AHB296" s="133"/>
      <c r="AHC296" s="133"/>
      <c r="AHD296" s="133"/>
      <c r="AHE296" s="133"/>
      <c r="AHF296" s="133"/>
      <c r="AHG296" s="133"/>
      <c r="AHH296" s="133"/>
      <c r="AHI296" s="133"/>
      <c r="AHJ296" s="133"/>
      <c r="AHK296" s="133"/>
      <c r="AHL296" s="133"/>
      <c r="AHM296" s="133"/>
      <c r="AHN296" s="133"/>
      <c r="AHO296" s="133"/>
      <c r="AHP296" s="133"/>
      <c r="AHQ296" s="133"/>
      <c r="AHR296" s="133"/>
      <c r="AHS296" s="133"/>
      <c r="AHT296" s="133"/>
      <c r="AHU296" s="133"/>
      <c r="AHV296" s="133"/>
      <c r="AHW296" s="133"/>
      <c r="AHX296" s="133"/>
      <c r="AHY296" s="133"/>
      <c r="AHZ296" s="133"/>
      <c r="AIA296" s="133"/>
      <c r="AIB296" s="133"/>
      <c r="AIC296" s="133"/>
      <c r="AID296" s="133"/>
      <c r="AIE296" s="133"/>
      <c r="AIF296" s="133"/>
      <c r="AIG296" s="133"/>
      <c r="AIH296" s="133"/>
      <c r="AII296" s="133"/>
      <c r="AIJ296" s="133"/>
      <c r="AIK296" s="133"/>
      <c r="AIL296" s="133"/>
      <c r="AIM296" s="133"/>
      <c r="AIN296" s="133"/>
      <c r="AIO296" s="133"/>
      <c r="AIP296" s="133"/>
      <c r="AIQ296" s="133"/>
      <c r="AIR296" s="133"/>
      <c r="AIS296" s="133"/>
      <c r="AIT296" s="133"/>
      <c r="AIU296" s="133"/>
      <c r="AIV296" s="133"/>
      <c r="AIW296" s="133"/>
      <c r="AIX296" s="133"/>
      <c r="AIY296" s="133"/>
      <c r="AIZ296" s="133"/>
      <c r="AJA296" s="133"/>
      <c r="AJB296" s="133"/>
      <c r="AJC296" s="133"/>
      <c r="AJD296" s="133"/>
      <c r="AJE296" s="133"/>
      <c r="AJF296" s="133"/>
      <c r="AJG296" s="133"/>
      <c r="AJH296" s="133"/>
      <c r="AJI296" s="133"/>
      <c r="AJJ296" s="133"/>
      <c r="AJK296" s="133"/>
      <c r="AJL296" s="133"/>
      <c r="AJM296" s="133"/>
      <c r="AJN296" s="133"/>
      <c r="AJO296" s="133"/>
      <c r="AJP296" s="133"/>
      <c r="AJQ296" s="133"/>
      <c r="AJR296" s="133"/>
      <c r="AJS296" s="133"/>
      <c r="AJT296" s="133"/>
      <c r="AJU296" s="133"/>
      <c r="AJV296" s="133"/>
      <c r="AJW296" s="133"/>
      <c r="AJX296" s="133"/>
      <c r="AJY296" s="133"/>
      <c r="AJZ296" s="133"/>
      <c r="AKA296" s="133"/>
      <c r="AKB296" s="133"/>
      <c r="AKC296" s="133"/>
      <c r="AKD296" s="133"/>
      <c r="AKE296" s="133"/>
      <c r="AKF296" s="133"/>
      <c r="AKG296" s="133"/>
      <c r="AKH296" s="133"/>
      <c r="AKI296" s="133"/>
      <c r="AKJ296" s="133"/>
      <c r="AKK296" s="133"/>
      <c r="AKL296" s="133"/>
      <c r="AKM296" s="133"/>
      <c r="AKN296" s="133"/>
      <c r="AKO296" s="133"/>
      <c r="AKP296" s="133"/>
      <c r="AKQ296" s="133"/>
      <c r="AKR296" s="133"/>
      <c r="AKS296" s="133"/>
      <c r="AKT296" s="133"/>
      <c r="AKU296" s="133"/>
      <c r="AKV296" s="133"/>
      <c r="AKW296" s="133"/>
      <c r="AKX296" s="133"/>
      <c r="AKY296" s="133"/>
      <c r="AKZ296" s="133"/>
      <c r="ALA296" s="133"/>
      <c r="ALB296" s="133"/>
      <c r="ALC296" s="133"/>
      <c r="ALD296" s="133"/>
      <c r="ALE296" s="133"/>
      <c r="ALF296" s="133"/>
      <c r="ALG296" s="133"/>
      <c r="ALH296" s="133"/>
      <c r="ALI296" s="133"/>
      <c r="ALJ296" s="133"/>
      <c r="ALK296" s="133"/>
      <c r="ALL296" s="133"/>
      <c r="ALM296" s="133"/>
      <c r="ALN296" s="133"/>
      <c r="ALO296" s="133"/>
      <c r="ALP296" s="133"/>
      <c r="ALQ296" s="133"/>
      <c r="ALR296" s="133"/>
      <c r="ALS296" s="133"/>
      <c r="ALT296" s="133"/>
      <c r="ALU296" s="133"/>
      <c r="ALV296" s="133"/>
      <c r="ALW296" s="133"/>
      <c r="ALX296" s="133"/>
      <c r="ALY296" s="133"/>
      <c r="ALZ296" s="133"/>
      <c r="AMA296" s="133"/>
      <c r="AMB296" s="133"/>
      <c r="AMC296" s="133"/>
      <c r="AMD296" s="133"/>
      <c r="AME296" s="133"/>
      <c r="AMF296" s="133"/>
      <c r="AMG296" s="133"/>
      <c r="AMH296" s="133"/>
      <c r="AMI296" s="133"/>
      <c r="AMJ296" s="133"/>
      <c r="AMK296" s="133"/>
      <c r="AML296" s="133"/>
      <c r="AMM296" s="133"/>
      <c r="AMN296" s="133"/>
      <c r="AMO296" s="133"/>
    </row>
    <row r="297" spans="1:1029" s="147" customFormat="1" ht="76.5">
      <c r="A297" s="148"/>
      <c r="B297" s="155" t="str">
        <f t="shared" ca="1" si="743"/>
        <v>MLX</v>
      </c>
      <c r="C297" s="155" t="s">
        <v>58</v>
      </c>
      <c r="D297" s="156" t="s">
        <v>667</v>
      </c>
      <c r="E297" s="157" t="str">
        <f ca="1">INDIRECT(ADDRESS(ROW()-1,COLUMN()))</f>
        <v>0x10BE</v>
      </c>
      <c r="F297" s="157">
        <v>9</v>
      </c>
      <c r="G297" s="157">
        <v>7</v>
      </c>
      <c r="H297" s="157">
        <v>1</v>
      </c>
      <c r="I297" s="157" t="s">
        <v>76</v>
      </c>
      <c r="J297" s="151" t="str">
        <f t="shared" si="1014"/>
        <v>[15:7]</v>
      </c>
      <c r="K297" s="151">
        <f t="shared" si="1015"/>
        <v>-256</v>
      </c>
      <c r="L297" s="151">
        <f t="shared" si="1016"/>
        <v>255</v>
      </c>
      <c r="M297" s="159" t="s">
        <v>669</v>
      </c>
      <c r="N297" s="28"/>
      <c r="O297" s="157">
        <v>45</v>
      </c>
      <c r="P297" s="157">
        <f t="shared" ref="P297:P298" si="1053">O297</f>
        <v>45</v>
      </c>
      <c r="Q297" s="157">
        <f t="shared" ref="Q297:Q298" si="1054">O297</f>
        <v>45</v>
      </c>
      <c r="R297" s="157">
        <f t="shared" ref="R297:S298" si="1055">O297</f>
        <v>45</v>
      </c>
      <c r="S297" s="163">
        <f t="shared" si="1055"/>
        <v>45</v>
      </c>
      <c r="T297" s="163">
        <v>45</v>
      </c>
      <c r="U297" s="163">
        <f>S297</f>
        <v>45</v>
      </c>
      <c r="V297" s="163">
        <f t="shared" si="995"/>
        <v>45</v>
      </c>
      <c r="W297" s="158"/>
      <c r="X297" s="157">
        <f t="shared" ca="1" si="1017"/>
        <v>45</v>
      </c>
      <c r="Y297" s="150"/>
      <c r="Z297" s="149"/>
      <c r="AA297" s="149"/>
      <c r="AB297" s="149"/>
      <c r="AC297" s="148" t="b">
        <f t="shared" si="1003"/>
        <v>1</v>
      </c>
      <c r="AD297" s="148" t="str">
        <f t="shared" si="1018"/>
        <v>-</v>
      </c>
      <c r="AE297" s="148" t="str">
        <f t="shared" si="1019"/>
        <v>-</v>
      </c>
      <c r="AF297" s="148" t="str">
        <f t="shared" ca="1" si="1020"/>
        <v>0x10BE</v>
      </c>
      <c r="AG297" s="148" t="str">
        <f t="shared" si="1021"/>
        <v>RPOLY_BASE</v>
      </c>
      <c r="AH297" s="148">
        <f t="shared" si="1022"/>
        <v>9</v>
      </c>
      <c r="AI297" s="148">
        <f t="shared" si="1023"/>
        <v>15</v>
      </c>
      <c r="AJ297" s="148">
        <f t="shared" si="1024"/>
        <v>7</v>
      </c>
      <c r="AK297" s="148">
        <f t="shared" si="1025"/>
        <v>65408</v>
      </c>
      <c r="AL297" s="148" t="str">
        <f t="shared" si="1026"/>
        <v>-</v>
      </c>
      <c r="AM297" s="149">
        <f t="shared" si="1004"/>
        <v>45</v>
      </c>
      <c r="AN297" s="148">
        <f t="shared" si="1027"/>
        <v>5760</v>
      </c>
      <c r="AO297" s="149" t="str">
        <f ca="1">IF(AF297="-",VLOOKUP(AD297,MemoryView!$A$3:$F$108,6,0),MID(VLOOKUP(AF297,MemoryView!$BD$3:$BE$108,2,0),15-AI297+1,AH297))</f>
        <v>000101101</v>
      </c>
      <c r="AP297" s="149">
        <f t="shared" ca="1" si="1028"/>
        <v>45</v>
      </c>
      <c r="AQ297" s="153" t="str">
        <f t="shared" si="1029"/>
        <v>`EE_MNG.RPOLY_BASE.SET(45);        // [-256..255]</v>
      </c>
      <c r="AR297" s="154" t="str">
        <f t="shared" ca="1" si="1030"/>
        <v>EE_MEM #(`PARAM(16'h10BE, 7, 9, 1)) RPOLY_BASE(); bit signed [9-1:0] RPOLY_BASE_V; assign RPOLY_BASE_V = RPOLY_BASE.GET;</v>
      </c>
      <c r="AS297" s="148" t="str">
        <f t="shared" ca="1" si="1031"/>
        <v>EE_RPOLY_THRD</v>
      </c>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48"/>
      <c r="EA297" s="148"/>
      <c r="EB297" s="148"/>
      <c r="EC297" s="148"/>
      <c r="ED297" s="148"/>
      <c r="EE297" s="148"/>
      <c r="EF297" s="148"/>
      <c r="EG297" s="148"/>
      <c r="EH297" s="148"/>
      <c r="EI297" s="148"/>
      <c r="EJ297" s="148"/>
      <c r="EK297" s="148"/>
      <c r="EL297" s="148"/>
      <c r="EM297" s="148"/>
      <c r="EN297" s="148"/>
      <c r="EO297" s="148"/>
      <c r="EP297" s="148"/>
      <c r="EQ297" s="148"/>
      <c r="ER297" s="148"/>
      <c r="ES297" s="148"/>
      <c r="ET297" s="148"/>
      <c r="EU297" s="148"/>
      <c r="EV297" s="148"/>
      <c r="EW297" s="148"/>
      <c r="EX297" s="148"/>
      <c r="EY297" s="148"/>
      <c r="EZ297" s="148"/>
      <c r="FA297" s="148"/>
      <c r="FB297" s="148"/>
      <c r="FC297" s="148"/>
      <c r="FD297" s="148"/>
      <c r="FE297" s="148"/>
      <c r="FF297" s="148"/>
      <c r="FG297" s="148"/>
      <c r="FH297" s="148"/>
      <c r="FI297" s="148"/>
      <c r="FJ297" s="148"/>
      <c r="FK297" s="148"/>
      <c r="FL297" s="148"/>
      <c r="FM297" s="148"/>
      <c r="FN297" s="148"/>
      <c r="FO297" s="148"/>
      <c r="FP297" s="148"/>
      <c r="FQ297" s="148"/>
      <c r="FR297" s="148"/>
      <c r="FS297" s="148"/>
      <c r="FT297" s="148"/>
      <c r="FU297" s="148"/>
      <c r="FV297" s="148"/>
      <c r="FW297" s="148"/>
      <c r="FX297" s="148"/>
      <c r="FY297" s="148"/>
      <c r="FZ297" s="148"/>
      <c r="GA297" s="148"/>
      <c r="GB297" s="148"/>
      <c r="GC297" s="148"/>
      <c r="GD297" s="148"/>
      <c r="GE297" s="148"/>
      <c r="GF297" s="148"/>
      <c r="GG297" s="148"/>
      <c r="GH297" s="148"/>
      <c r="GI297" s="148"/>
      <c r="GJ297" s="148"/>
      <c r="GK297" s="148"/>
      <c r="GL297" s="148"/>
      <c r="GM297" s="148"/>
      <c r="GN297" s="148"/>
      <c r="GO297" s="148"/>
      <c r="GP297" s="148"/>
      <c r="GQ297" s="148"/>
      <c r="GR297" s="148"/>
      <c r="GS297" s="148"/>
      <c r="GT297" s="148"/>
      <c r="GU297" s="148"/>
      <c r="GV297" s="148"/>
      <c r="GW297" s="148"/>
      <c r="GX297" s="148"/>
      <c r="GY297" s="148"/>
      <c r="GZ297" s="148"/>
      <c r="HA297" s="148"/>
      <c r="HB297" s="148"/>
      <c r="HC297" s="148"/>
      <c r="HD297" s="148"/>
      <c r="HE297" s="148"/>
      <c r="HF297" s="148"/>
      <c r="HG297" s="148"/>
      <c r="HH297" s="148"/>
      <c r="HI297" s="148"/>
      <c r="HJ297" s="148"/>
      <c r="HK297" s="148"/>
      <c r="HL297" s="148"/>
      <c r="HM297" s="148"/>
      <c r="HN297" s="148"/>
      <c r="HO297" s="148"/>
      <c r="HP297" s="148"/>
      <c r="HQ297" s="148"/>
      <c r="HR297" s="148"/>
      <c r="HS297" s="148"/>
      <c r="HT297" s="148"/>
      <c r="HU297" s="148"/>
      <c r="HV297" s="148"/>
      <c r="HW297" s="148"/>
      <c r="HX297" s="148"/>
      <c r="HY297" s="148"/>
      <c r="HZ297" s="148"/>
      <c r="IA297" s="148"/>
      <c r="IB297" s="148"/>
      <c r="IC297" s="148"/>
      <c r="ID297" s="148"/>
      <c r="IE297" s="148"/>
      <c r="IF297" s="148"/>
      <c r="IG297" s="148"/>
      <c r="IH297" s="148"/>
      <c r="II297" s="148"/>
      <c r="IJ297" s="148"/>
      <c r="IK297" s="148"/>
      <c r="IL297" s="148"/>
      <c r="IM297" s="148"/>
      <c r="IN297" s="148"/>
      <c r="IO297" s="148"/>
      <c r="IP297" s="148"/>
      <c r="IQ297" s="148"/>
      <c r="IR297" s="148"/>
      <c r="IS297" s="148"/>
      <c r="IT297" s="148"/>
      <c r="IU297" s="148"/>
      <c r="IV297" s="148"/>
      <c r="IW297" s="148"/>
      <c r="IX297" s="148"/>
      <c r="IY297" s="148"/>
      <c r="IZ297" s="148"/>
      <c r="JA297" s="148"/>
      <c r="JB297" s="148"/>
      <c r="JC297" s="148"/>
      <c r="JD297" s="148"/>
      <c r="JE297" s="148"/>
      <c r="JF297" s="148"/>
      <c r="JG297" s="148"/>
      <c r="JH297" s="148"/>
      <c r="JI297" s="148"/>
      <c r="JJ297" s="148"/>
      <c r="JK297" s="148"/>
      <c r="JL297" s="148"/>
      <c r="JM297" s="148"/>
      <c r="JN297" s="148"/>
      <c r="JO297" s="148"/>
      <c r="JP297" s="148"/>
      <c r="JQ297" s="148"/>
      <c r="JR297" s="148"/>
      <c r="JS297" s="148"/>
      <c r="JT297" s="148"/>
      <c r="JU297" s="148"/>
      <c r="JV297" s="148"/>
      <c r="JW297" s="148"/>
      <c r="JX297" s="148"/>
      <c r="JY297" s="148"/>
      <c r="JZ297" s="148"/>
      <c r="KA297" s="148"/>
      <c r="KB297" s="148"/>
      <c r="KC297" s="148"/>
      <c r="KD297" s="148"/>
      <c r="KE297" s="148"/>
      <c r="KF297" s="148"/>
      <c r="KG297" s="148"/>
      <c r="KH297" s="148"/>
      <c r="KI297" s="148"/>
      <c r="KJ297" s="148"/>
      <c r="KK297" s="148"/>
      <c r="KL297" s="148"/>
      <c r="KM297" s="148"/>
      <c r="KN297" s="148"/>
      <c r="KO297" s="148"/>
      <c r="KP297" s="148"/>
      <c r="KQ297" s="148"/>
      <c r="KR297" s="148"/>
      <c r="KS297" s="148"/>
      <c r="KT297" s="148"/>
      <c r="KU297" s="148"/>
      <c r="KV297" s="148"/>
      <c r="KW297" s="148"/>
      <c r="KX297" s="148"/>
      <c r="KY297" s="148"/>
      <c r="KZ297" s="148"/>
      <c r="LA297" s="148"/>
      <c r="LB297" s="148"/>
      <c r="LC297" s="148"/>
      <c r="LD297" s="148"/>
      <c r="LE297" s="148"/>
      <c r="LF297" s="148"/>
      <c r="LG297" s="148"/>
      <c r="LH297" s="148"/>
      <c r="LI297" s="148"/>
      <c r="LJ297" s="148"/>
      <c r="LK297" s="148"/>
      <c r="LL297" s="148"/>
      <c r="LM297" s="148"/>
      <c r="LN297" s="148"/>
      <c r="LO297" s="148"/>
      <c r="LP297" s="148"/>
      <c r="LQ297" s="148"/>
      <c r="LR297" s="148"/>
      <c r="LS297" s="148"/>
      <c r="LT297" s="148"/>
      <c r="LU297" s="148"/>
      <c r="LV297" s="148"/>
      <c r="LW297" s="148"/>
      <c r="LX297" s="148"/>
      <c r="LY297" s="148"/>
      <c r="LZ297" s="148"/>
      <c r="MA297" s="148"/>
      <c r="MB297" s="148"/>
      <c r="MC297" s="148"/>
      <c r="MD297" s="148"/>
      <c r="ME297" s="148"/>
      <c r="MF297" s="148"/>
      <c r="MG297" s="148"/>
      <c r="MH297" s="148"/>
      <c r="MI297" s="148"/>
      <c r="MJ297" s="148"/>
      <c r="MK297" s="148"/>
      <c r="ML297" s="148"/>
      <c r="MM297" s="148"/>
      <c r="MN297" s="148"/>
      <c r="MO297" s="148"/>
      <c r="MP297" s="148"/>
      <c r="MQ297" s="148"/>
      <c r="MR297" s="148"/>
      <c r="MS297" s="148"/>
      <c r="MT297" s="148"/>
      <c r="MU297" s="148"/>
      <c r="MV297" s="148"/>
      <c r="MW297" s="148"/>
      <c r="MX297" s="148"/>
      <c r="MY297" s="148"/>
      <c r="MZ297" s="148"/>
      <c r="NA297" s="148"/>
      <c r="NB297" s="148"/>
      <c r="NC297" s="148"/>
      <c r="ND297" s="148"/>
      <c r="NE297" s="148"/>
      <c r="NF297" s="148"/>
      <c r="NG297" s="148"/>
      <c r="NH297" s="148"/>
      <c r="NI297" s="148"/>
      <c r="NJ297" s="148"/>
      <c r="NK297" s="148"/>
      <c r="NL297" s="148"/>
      <c r="NM297" s="148"/>
      <c r="NN297" s="148"/>
      <c r="NO297" s="148"/>
      <c r="NP297" s="148"/>
      <c r="NQ297" s="148"/>
      <c r="NR297" s="148"/>
      <c r="NS297" s="148"/>
      <c r="NT297" s="148"/>
      <c r="NU297" s="148"/>
      <c r="NV297" s="148"/>
      <c r="NW297" s="148"/>
      <c r="NX297" s="148"/>
      <c r="NY297" s="148"/>
      <c r="NZ297" s="148"/>
      <c r="OA297" s="148"/>
      <c r="OB297" s="148"/>
      <c r="OC297" s="148"/>
      <c r="OD297" s="148"/>
      <c r="OE297" s="148"/>
      <c r="OF297" s="148"/>
      <c r="OG297" s="148"/>
      <c r="OH297" s="148"/>
      <c r="OI297" s="148"/>
      <c r="OJ297" s="148"/>
      <c r="OK297" s="148"/>
      <c r="OL297" s="148"/>
      <c r="OM297" s="148"/>
      <c r="ON297" s="148"/>
      <c r="OO297" s="148"/>
      <c r="OP297" s="148"/>
      <c r="OQ297" s="148"/>
      <c r="OR297" s="148"/>
      <c r="OS297" s="148"/>
      <c r="OT297" s="148"/>
      <c r="OU297" s="148"/>
      <c r="OV297" s="148"/>
      <c r="OW297" s="148"/>
      <c r="OX297" s="148"/>
      <c r="OY297" s="148"/>
      <c r="OZ297" s="148"/>
      <c r="PA297" s="148"/>
      <c r="PB297" s="148"/>
      <c r="PC297" s="148"/>
      <c r="PD297" s="148"/>
      <c r="PE297" s="148"/>
      <c r="PF297" s="148"/>
      <c r="PG297" s="148"/>
      <c r="PH297" s="148"/>
      <c r="PI297" s="148"/>
      <c r="PJ297" s="148"/>
      <c r="PK297" s="148"/>
      <c r="PL297" s="148"/>
      <c r="PM297" s="148"/>
      <c r="PN297" s="148"/>
      <c r="PO297" s="148"/>
      <c r="PP297" s="148"/>
      <c r="PQ297" s="148"/>
      <c r="PR297" s="148"/>
      <c r="PS297" s="148"/>
      <c r="PT297" s="148"/>
      <c r="PU297" s="148"/>
      <c r="PV297" s="148"/>
      <c r="PW297" s="148"/>
      <c r="PX297" s="148"/>
      <c r="PY297" s="148"/>
      <c r="PZ297" s="148"/>
      <c r="QA297" s="148"/>
      <c r="QB297" s="148"/>
      <c r="QC297" s="148"/>
      <c r="QD297" s="148"/>
      <c r="QE297" s="148"/>
      <c r="QF297" s="148"/>
      <c r="QG297" s="148"/>
      <c r="QH297" s="148"/>
      <c r="QI297" s="148"/>
      <c r="QJ297" s="148"/>
      <c r="QK297" s="148"/>
      <c r="QL297" s="148"/>
      <c r="QM297" s="148"/>
      <c r="QN297" s="148"/>
      <c r="QO297" s="148"/>
      <c r="QP297" s="148"/>
      <c r="QQ297" s="148"/>
      <c r="QR297" s="148"/>
      <c r="QS297" s="148"/>
      <c r="QT297" s="148"/>
      <c r="QU297" s="148"/>
      <c r="QV297" s="148"/>
      <c r="QW297" s="148"/>
      <c r="QX297" s="148"/>
      <c r="QY297" s="148"/>
      <c r="QZ297" s="148"/>
      <c r="RA297" s="148"/>
      <c r="RB297" s="148"/>
      <c r="RC297" s="148"/>
      <c r="RD297" s="148"/>
      <c r="RE297" s="148"/>
      <c r="RF297" s="148"/>
      <c r="RG297" s="148"/>
      <c r="RH297" s="148"/>
      <c r="RI297" s="148"/>
      <c r="RJ297" s="148"/>
      <c r="RK297" s="148"/>
      <c r="RL297" s="148"/>
      <c r="RM297" s="148"/>
      <c r="RN297" s="148"/>
      <c r="RO297" s="148"/>
      <c r="RP297" s="148"/>
      <c r="RQ297" s="148"/>
      <c r="RR297" s="148"/>
      <c r="RS297" s="148"/>
      <c r="RT297" s="148"/>
      <c r="RU297" s="148"/>
      <c r="RV297" s="148"/>
      <c r="RW297" s="148"/>
      <c r="RX297" s="148"/>
      <c r="RY297" s="148"/>
      <c r="RZ297" s="148"/>
      <c r="SA297" s="148"/>
      <c r="SB297" s="148"/>
      <c r="SC297" s="148"/>
      <c r="SD297" s="148"/>
      <c r="SE297" s="148"/>
      <c r="SF297" s="148"/>
      <c r="SG297" s="148"/>
      <c r="SH297" s="148"/>
      <c r="SI297" s="148"/>
      <c r="SJ297" s="148"/>
      <c r="SK297" s="148"/>
      <c r="SL297" s="148"/>
      <c r="SM297" s="148"/>
      <c r="SN297" s="148"/>
      <c r="SO297" s="148"/>
      <c r="SP297" s="148"/>
      <c r="SQ297" s="148"/>
      <c r="SR297" s="148"/>
      <c r="SS297" s="148"/>
      <c r="ST297" s="148"/>
      <c r="SU297" s="148"/>
      <c r="SV297" s="148"/>
      <c r="SW297" s="148"/>
      <c r="SX297" s="148"/>
      <c r="SY297" s="148"/>
      <c r="SZ297" s="148"/>
      <c r="TA297" s="148"/>
      <c r="TB297" s="148"/>
      <c r="TC297" s="148"/>
      <c r="TD297" s="148"/>
      <c r="TE297" s="148"/>
      <c r="TF297" s="148"/>
      <c r="TG297" s="148"/>
      <c r="TH297" s="148"/>
      <c r="TI297" s="148"/>
      <c r="TJ297" s="148"/>
      <c r="TK297" s="148"/>
      <c r="TL297" s="148"/>
      <c r="TM297" s="148"/>
      <c r="TN297" s="148"/>
      <c r="TO297" s="148"/>
      <c r="TP297" s="148"/>
      <c r="TQ297" s="148"/>
      <c r="TR297" s="148"/>
      <c r="TS297" s="148"/>
      <c r="TT297" s="148"/>
      <c r="TU297" s="148"/>
      <c r="TV297" s="148"/>
      <c r="TW297" s="148"/>
      <c r="TX297" s="148"/>
      <c r="TY297" s="148"/>
      <c r="TZ297" s="148"/>
      <c r="UA297" s="148"/>
      <c r="UB297" s="148"/>
      <c r="UC297" s="148"/>
      <c r="UD297" s="148"/>
      <c r="UE297" s="148"/>
      <c r="UF297" s="148"/>
      <c r="UG297" s="148"/>
      <c r="UH297" s="148"/>
      <c r="UI297" s="148"/>
      <c r="UJ297" s="148"/>
      <c r="UK297" s="148"/>
      <c r="UL297" s="148"/>
      <c r="UM297" s="148"/>
      <c r="UN297" s="148"/>
      <c r="UO297" s="148"/>
      <c r="UP297" s="148"/>
      <c r="UQ297" s="148"/>
      <c r="UR297" s="148"/>
      <c r="US297" s="148"/>
      <c r="UT297" s="148"/>
      <c r="UU297" s="148"/>
      <c r="UV297" s="148"/>
      <c r="UW297" s="148"/>
      <c r="UX297" s="148"/>
      <c r="UY297" s="148"/>
      <c r="UZ297" s="148"/>
      <c r="VA297" s="148"/>
      <c r="VB297" s="148"/>
      <c r="VC297" s="148"/>
      <c r="VD297" s="148"/>
      <c r="VE297" s="148"/>
      <c r="VF297" s="148"/>
      <c r="VG297" s="148"/>
      <c r="VH297" s="148"/>
      <c r="VI297" s="148"/>
      <c r="VJ297" s="148"/>
      <c r="VK297" s="148"/>
      <c r="VL297" s="148"/>
      <c r="VM297" s="148"/>
      <c r="VN297" s="148"/>
      <c r="VO297" s="148"/>
      <c r="VP297" s="148"/>
      <c r="VQ297" s="148"/>
      <c r="VR297" s="148"/>
      <c r="VS297" s="148"/>
      <c r="VT297" s="148"/>
      <c r="VU297" s="148"/>
      <c r="VV297" s="148"/>
      <c r="VW297" s="148"/>
      <c r="VX297" s="148"/>
      <c r="VY297" s="148"/>
      <c r="VZ297" s="148"/>
      <c r="WA297" s="148"/>
      <c r="WB297" s="148"/>
      <c r="WC297" s="148"/>
      <c r="WD297" s="148"/>
      <c r="WE297" s="148"/>
      <c r="WF297" s="148"/>
      <c r="WG297" s="148"/>
      <c r="WH297" s="148"/>
      <c r="WI297" s="148"/>
      <c r="WJ297" s="148"/>
      <c r="WK297" s="148"/>
      <c r="WL297" s="148"/>
      <c r="WM297" s="148"/>
      <c r="WN297" s="148"/>
      <c r="WO297" s="148"/>
      <c r="WP297" s="148"/>
      <c r="WQ297" s="148"/>
      <c r="WR297" s="148"/>
      <c r="WS297" s="148"/>
      <c r="WT297" s="148"/>
      <c r="WU297" s="148"/>
      <c r="WV297" s="148"/>
      <c r="WW297" s="148"/>
      <c r="WX297" s="148"/>
      <c r="WY297" s="148"/>
      <c r="WZ297" s="148"/>
      <c r="XA297" s="148"/>
      <c r="XB297" s="148"/>
      <c r="XC297" s="148"/>
      <c r="XD297" s="148"/>
      <c r="XE297" s="148"/>
      <c r="XF297" s="148"/>
      <c r="XG297" s="148"/>
      <c r="XH297" s="148"/>
      <c r="XI297" s="148"/>
      <c r="XJ297" s="148"/>
      <c r="XK297" s="148"/>
      <c r="XL297" s="148"/>
      <c r="XM297" s="148"/>
      <c r="XN297" s="148"/>
      <c r="XO297" s="148"/>
      <c r="XP297" s="148"/>
      <c r="XQ297" s="148"/>
      <c r="XR297" s="148"/>
      <c r="XS297" s="148"/>
      <c r="XT297" s="148"/>
      <c r="XU297" s="148"/>
      <c r="XV297" s="148"/>
      <c r="XW297" s="148"/>
      <c r="XX297" s="148"/>
      <c r="XY297" s="148"/>
      <c r="XZ297" s="148"/>
      <c r="YA297" s="148"/>
      <c r="YB297" s="148"/>
      <c r="YC297" s="148"/>
      <c r="YD297" s="148"/>
      <c r="YE297" s="148"/>
      <c r="YF297" s="148"/>
      <c r="YG297" s="148"/>
      <c r="YH297" s="148"/>
      <c r="YI297" s="148"/>
      <c r="YJ297" s="148"/>
      <c r="YK297" s="148"/>
      <c r="YL297" s="148"/>
      <c r="YM297" s="148"/>
      <c r="YN297" s="148"/>
      <c r="YO297" s="148"/>
      <c r="YP297" s="148"/>
      <c r="YQ297" s="148"/>
      <c r="YR297" s="148"/>
      <c r="YS297" s="148"/>
      <c r="YT297" s="148"/>
      <c r="YU297" s="148"/>
      <c r="YV297" s="148"/>
      <c r="YW297" s="148"/>
      <c r="YX297" s="148"/>
      <c r="YY297" s="148"/>
      <c r="YZ297" s="148"/>
      <c r="ZA297" s="148"/>
      <c r="ZB297" s="148"/>
      <c r="ZC297" s="148"/>
      <c r="ZD297" s="148"/>
      <c r="ZE297" s="148"/>
      <c r="ZF297" s="148"/>
      <c r="ZG297" s="148"/>
      <c r="ZH297" s="148"/>
      <c r="ZI297" s="148"/>
      <c r="ZJ297" s="148"/>
      <c r="ZK297" s="148"/>
      <c r="ZL297" s="148"/>
      <c r="ZM297" s="148"/>
      <c r="ZN297" s="148"/>
      <c r="ZO297" s="148"/>
      <c r="ZP297" s="148"/>
      <c r="ZQ297" s="148"/>
      <c r="ZR297" s="148"/>
      <c r="ZS297" s="148"/>
      <c r="ZT297" s="148"/>
      <c r="ZU297" s="148"/>
      <c r="ZV297" s="148"/>
      <c r="ZW297" s="148"/>
      <c r="ZX297" s="148"/>
      <c r="ZY297" s="148"/>
      <c r="ZZ297" s="148"/>
      <c r="AAA297" s="148"/>
      <c r="AAB297" s="148"/>
      <c r="AAC297" s="148"/>
      <c r="AAD297" s="148"/>
      <c r="AAE297" s="148"/>
      <c r="AAF297" s="148"/>
      <c r="AAG297" s="148"/>
      <c r="AAH297" s="148"/>
      <c r="AAI297" s="148"/>
      <c r="AAJ297" s="148"/>
      <c r="AAK297" s="148"/>
      <c r="AAL297" s="148"/>
      <c r="AAM297" s="148"/>
      <c r="AAN297" s="148"/>
      <c r="AAO297" s="148"/>
      <c r="AAP297" s="148"/>
      <c r="AAQ297" s="148"/>
      <c r="AAR297" s="148"/>
      <c r="AAS297" s="148"/>
      <c r="AAT297" s="148"/>
      <c r="AAU297" s="148"/>
      <c r="AAV297" s="148"/>
      <c r="AAW297" s="148"/>
      <c r="AAX297" s="148"/>
      <c r="AAY297" s="148"/>
      <c r="AAZ297" s="148"/>
      <c r="ABA297" s="148"/>
      <c r="ABB297" s="148"/>
      <c r="ABC297" s="148"/>
      <c r="ABD297" s="148"/>
      <c r="ABE297" s="148"/>
      <c r="ABF297" s="148"/>
      <c r="ABG297" s="148"/>
      <c r="ABH297" s="148"/>
      <c r="ABI297" s="148"/>
      <c r="ABJ297" s="148"/>
      <c r="ABK297" s="148"/>
      <c r="ABL297" s="148"/>
      <c r="ABM297" s="148"/>
      <c r="ABN297" s="148"/>
      <c r="ABO297" s="148"/>
      <c r="ABP297" s="148"/>
      <c r="ABQ297" s="148"/>
      <c r="ABR297" s="148"/>
      <c r="ABS297" s="148"/>
      <c r="ABT297" s="148"/>
      <c r="ABU297" s="148"/>
      <c r="ABV297" s="148"/>
      <c r="ABW297" s="148"/>
      <c r="ABX297" s="148"/>
      <c r="ABY297" s="148"/>
      <c r="ABZ297" s="148"/>
      <c r="ACA297" s="148"/>
      <c r="ACB297" s="148"/>
      <c r="ACC297" s="148"/>
      <c r="ACD297" s="148"/>
      <c r="ACE297" s="148"/>
      <c r="ACF297" s="148"/>
      <c r="ACG297" s="148"/>
      <c r="ACH297" s="148"/>
      <c r="ACI297" s="148"/>
      <c r="ACJ297" s="148"/>
      <c r="ACK297" s="148"/>
      <c r="ACL297" s="148"/>
      <c r="ACM297" s="148"/>
      <c r="ACN297" s="148"/>
      <c r="ACO297" s="148"/>
      <c r="ACP297" s="148"/>
      <c r="ACQ297" s="148"/>
      <c r="ACR297" s="148"/>
      <c r="ACS297" s="148"/>
      <c r="ACT297" s="148"/>
      <c r="ACU297" s="148"/>
      <c r="ACV297" s="148"/>
      <c r="ACW297" s="148"/>
      <c r="ACX297" s="148"/>
      <c r="ACY297" s="148"/>
      <c r="ACZ297" s="148"/>
      <c r="ADA297" s="148"/>
      <c r="ADB297" s="148"/>
      <c r="ADC297" s="148"/>
      <c r="ADD297" s="148"/>
      <c r="ADE297" s="148"/>
      <c r="ADF297" s="148"/>
      <c r="ADG297" s="148"/>
      <c r="ADH297" s="148"/>
      <c r="ADI297" s="148"/>
      <c r="ADJ297" s="148"/>
      <c r="ADK297" s="148"/>
      <c r="ADL297" s="148"/>
      <c r="ADM297" s="148"/>
      <c r="ADN297" s="148"/>
      <c r="ADO297" s="148"/>
      <c r="ADP297" s="148"/>
      <c r="ADQ297" s="148"/>
      <c r="ADR297" s="148"/>
      <c r="ADS297" s="148"/>
      <c r="ADT297" s="148"/>
      <c r="ADU297" s="148"/>
      <c r="ADV297" s="148"/>
      <c r="ADW297" s="148"/>
      <c r="ADX297" s="148"/>
      <c r="ADY297" s="148"/>
      <c r="ADZ297" s="148"/>
      <c r="AEA297" s="148"/>
      <c r="AEB297" s="148"/>
      <c r="AEC297" s="148"/>
      <c r="AED297" s="148"/>
      <c r="AEE297" s="148"/>
      <c r="AEF297" s="148"/>
      <c r="AEG297" s="148"/>
      <c r="AEH297" s="148"/>
      <c r="AEI297" s="148"/>
      <c r="AEJ297" s="148"/>
      <c r="AEK297" s="148"/>
      <c r="AEL297" s="148"/>
      <c r="AEM297" s="148"/>
      <c r="AEN297" s="148"/>
      <c r="AEO297" s="148"/>
      <c r="AEP297" s="148"/>
      <c r="AEQ297" s="148"/>
      <c r="AER297" s="148"/>
      <c r="AES297" s="148"/>
      <c r="AET297" s="148"/>
      <c r="AEU297" s="148"/>
      <c r="AEV297" s="148"/>
      <c r="AEW297" s="148"/>
      <c r="AEX297" s="148"/>
      <c r="AEY297" s="148"/>
      <c r="AEZ297" s="148"/>
      <c r="AFA297" s="148"/>
      <c r="AFB297" s="148"/>
      <c r="AFC297" s="148"/>
      <c r="AFD297" s="148"/>
      <c r="AFE297" s="148"/>
      <c r="AFF297" s="148"/>
      <c r="AFG297" s="148"/>
      <c r="AFH297" s="148"/>
      <c r="AFI297" s="148"/>
      <c r="AFJ297" s="148"/>
      <c r="AFK297" s="148"/>
      <c r="AFL297" s="148"/>
      <c r="AFM297" s="148"/>
      <c r="AFN297" s="148"/>
      <c r="AFO297" s="148"/>
      <c r="AFP297" s="148"/>
      <c r="AFQ297" s="148"/>
      <c r="AFR297" s="148"/>
      <c r="AFS297" s="148"/>
      <c r="AFT297" s="148"/>
      <c r="AFU297" s="148"/>
      <c r="AFV297" s="148"/>
      <c r="AFW297" s="148"/>
      <c r="AFX297" s="148"/>
      <c r="AFY297" s="148"/>
      <c r="AFZ297" s="148"/>
      <c r="AGA297" s="148"/>
      <c r="AGB297" s="148"/>
      <c r="AGC297" s="148"/>
      <c r="AGD297" s="148"/>
      <c r="AGE297" s="148"/>
      <c r="AGF297" s="148"/>
      <c r="AGG297" s="148"/>
      <c r="AGH297" s="148"/>
      <c r="AGI297" s="148"/>
      <c r="AGJ297" s="148"/>
      <c r="AGK297" s="148"/>
      <c r="AGL297" s="148"/>
      <c r="AGM297" s="148"/>
      <c r="AGN297" s="148"/>
      <c r="AGO297" s="148"/>
      <c r="AGP297" s="148"/>
      <c r="AGQ297" s="148"/>
      <c r="AGR297" s="148"/>
      <c r="AGS297" s="148"/>
      <c r="AGT297" s="148"/>
      <c r="AGU297" s="148"/>
      <c r="AGV297" s="148"/>
      <c r="AGW297" s="148"/>
      <c r="AGX297" s="148"/>
      <c r="AGY297" s="148"/>
      <c r="AGZ297" s="148"/>
      <c r="AHA297" s="148"/>
      <c r="AHB297" s="148"/>
      <c r="AHC297" s="148"/>
      <c r="AHD297" s="148"/>
      <c r="AHE297" s="148"/>
      <c r="AHF297" s="148"/>
      <c r="AHG297" s="148"/>
      <c r="AHH297" s="148"/>
      <c r="AHI297" s="148"/>
      <c r="AHJ297" s="148"/>
      <c r="AHK297" s="148"/>
      <c r="AHL297" s="148"/>
      <c r="AHM297" s="148"/>
      <c r="AHN297" s="148"/>
      <c r="AHO297" s="148"/>
      <c r="AHP297" s="148"/>
      <c r="AHQ297" s="148"/>
      <c r="AHR297" s="148"/>
      <c r="AHS297" s="148"/>
      <c r="AHT297" s="148"/>
      <c r="AHU297" s="148"/>
      <c r="AHV297" s="148"/>
      <c r="AHW297" s="148"/>
      <c r="AHX297" s="148"/>
      <c r="AHY297" s="148"/>
      <c r="AHZ297" s="148"/>
      <c r="AIA297" s="148"/>
      <c r="AIB297" s="148"/>
      <c r="AIC297" s="148"/>
      <c r="AID297" s="148"/>
      <c r="AIE297" s="148"/>
      <c r="AIF297" s="148"/>
      <c r="AIG297" s="148"/>
      <c r="AIH297" s="148"/>
      <c r="AII297" s="148"/>
      <c r="AIJ297" s="148"/>
      <c r="AIK297" s="148"/>
      <c r="AIL297" s="148"/>
      <c r="AIM297" s="148"/>
      <c r="AIN297" s="148"/>
      <c r="AIO297" s="148"/>
      <c r="AIP297" s="148"/>
      <c r="AIQ297" s="148"/>
      <c r="AIR297" s="148"/>
      <c r="AIS297" s="148"/>
      <c r="AIT297" s="148"/>
      <c r="AIU297" s="148"/>
      <c r="AIV297" s="148"/>
      <c r="AIW297" s="148"/>
      <c r="AIX297" s="148"/>
      <c r="AIY297" s="148"/>
      <c r="AIZ297" s="148"/>
      <c r="AJA297" s="148"/>
      <c r="AJB297" s="148"/>
      <c r="AJC297" s="148"/>
      <c r="AJD297" s="148"/>
      <c r="AJE297" s="148"/>
      <c r="AJF297" s="148"/>
      <c r="AJG297" s="148"/>
      <c r="AJH297" s="148"/>
      <c r="AJI297" s="148"/>
      <c r="AJJ297" s="148"/>
      <c r="AJK297" s="148"/>
      <c r="AJL297" s="148"/>
      <c r="AJM297" s="148"/>
      <c r="AJN297" s="148"/>
      <c r="AJO297" s="148"/>
      <c r="AJP297" s="148"/>
      <c r="AJQ297" s="148"/>
      <c r="AJR297" s="148"/>
      <c r="AJS297" s="148"/>
      <c r="AJT297" s="148"/>
      <c r="AJU297" s="148"/>
      <c r="AJV297" s="148"/>
      <c r="AJW297" s="148"/>
      <c r="AJX297" s="148"/>
      <c r="AJY297" s="148"/>
      <c r="AJZ297" s="148"/>
      <c r="AKA297" s="148"/>
      <c r="AKB297" s="148"/>
      <c r="AKC297" s="148"/>
      <c r="AKD297" s="148"/>
      <c r="AKE297" s="148"/>
      <c r="AKF297" s="148"/>
      <c r="AKG297" s="148"/>
      <c r="AKH297" s="148"/>
      <c r="AKI297" s="148"/>
      <c r="AKJ297" s="148"/>
      <c r="AKK297" s="148"/>
      <c r="AKL297" s="148"/>
      <c r="AKM297" s="148"/>
      <c r="AKN297" s="148"/>
      <c r="AKO297" s="148"/>
      <c r="AKP297" s="148"/>
      <c r="AKQ297" s="148"/>
      <c r="AKR297" s="148"/>
      <c r="AKS297" s="148"/>
      <c r="AKT297" s="148"/>
      <c r="AKU297" s="148"/>
      <c r="AKV297" s="148"/>
      <c r="AKW297" s="148"/>
      <c r="AKX297" s="148"/>
      <c r="AKY297" s="148"/>
      <c r="AKZ297" s="148"/>
      <c r="ALA297" s="148"/>
      <c r="ALB297" s="148"/>
      <c r="ALC297" s="148"/>
      <c r="ALD297" s="148"/>
      <c r="ALE297" s="148"/>
      <c r="ALF297" s="148"/>
      <c r="ALG297" s="148"/>
      <c r="ALH297" s="148"/>
      <c r="ALI297" s="148"/>
      <c r="ALJ297" s="148"/>
      <c r="ALK297" s="148"/>
      <c r="ALL297" s="148"/>
      <c r="ALM297" s="148"/>
      <c r="ALN297" s="148"/>
      <c r="ALO297" s="148"/>
      <c r="ALP297" s="148"/>
      <c r="ALQ297" s="148"/>
      <c r="ALR297" s="148"/>
      <c r="ALS297" s="148"/>
      <c r="ALT297" s="148"/>
      <c r="ALU297" s="148"/>
      <c r="ALV297" s="148"/>
      <c r="ALW297" s="148"/>
      <c r="ALX297" s="148"/>
      <c r="ALY297" s="148"/>
      <c r="ALZ297" s="148"/>
      <c r="AMA297" s="148"/>
      <c r="AMB297" s="148"/>
      <c r="AMC297" s="148"/>
      <c r="AMD297" s="148"/>
      <c r="AME297" s="148"/>
      <c r="AMF297" s="148"/>
      <c r="AMG297" s="148"/>
      <c r="AMH297" s="148"/>
      <c r="AMI297" s="148"/>
      <c r="AMJ297" s="148"/>
      <c r="AMK297" s="148"/>
      <c r="AML297" s="148"/>
      <c r="AMM297" s="148"/>
      <c r="AMN297" s="148"/>
      <c r="AMO297" s="148"/>
    </row>
    <row r="298" spans="1:1029" s="147" customFormat="1" ht="76.5">
      <c r="A298" s="148"/>
      <c r="B298" s="155" t="str">
        <f t="shared" ca="1" si="743"/>
        <v>MLX</v>
      </c>
      <c r="C298" s="155" t="s">
        <v>58</v>
      </c>
      <c r="D298" s="156" t="s">
        <v>668</v>
      </c>
      <c r="E298" s="157" t="str">
        <f ca="1">INDIRECT(ADDRESS(ROW()-1,COLUMN()))</f>
        <v>0x10BE</v>
      </c>
      <c r="F298" s="157">
        <v>7</v>
      </c>
      <c r="G298" s="157">
        <v>0</v>
      </c>
      <c r="H298" s="157">
        <v>0</v>
      </c>
      <c r="I298" s="157" t="s">
        <v>68</v>
      </c>
      <c r="J298" s="151" t="str">
        <f t="shared" si="1014"/>
        <v>[6:0]</v>
      </c>
      <c r="K298" s="151">
        <f t="shared" si="1015"/>
        <v>0</v>
      </c>
      <c r="L298" s="151">
        <f t="shared" si="1016"/>
        <v>127</v>
      </c>
      <c r="M298" s="159" t="s">
        <v>675</v>
      </c>
      <c r="N298" s="28"/>
      <c r="O298" s="157">
        <v>40</v>
      </c>
      <c r="P298" s="157">
        <f t="shared" si="1053"/>
        <v>40</v>
      </c>
      <c r="Q298" s="157">
        <f t="shared" si="1054"/>
        <v>40</v>
      </c>
      <c r="R298" s="157">
        <f t="shared" si="1055"/>
        <v>40</v>
      </c>
      <c r="S298" s="163">
        <f t="shared" si="1055"/>
        <v>40</v>
      </c>
      <c r="T298" s="163">
        <v>40</v>
      </c>
      <c r="U298" s="163">
        <f>S298</f>
        <v>40</v>
      </c>
      <c r="V298" s="163">
        <f t="shared" si="995"/>
        <v>40</v>
      </c>
      <c r="W298" s="158"/>
      <c r="X298" s="157">
        <f t="shared" ca="1" si="1017"/>
        <v>40</v>
      </c>
      <c r="Y298" s="150"/>
      <c r="Z298" s="149"/>
      <c r="AA298" s="149"/>
      <c r="AB298" s="149"/>
      <c r="AC298" s="148" t="b">
        <f t="shared" si="1003"/>
        <v>1</v>
      </c>
      <c r="AD298" s="148" t="str">
        <f t="shared" si="1018"/>
        <v>-</v>
      </c>
      <c r="AE298" s="148" t="str">
        <f t="shared" si="1019"/>
        <v>-</v>
      </c>
      <c r="AF298" s="148" t="str">
        <f t="shared" ca="1" si="1020"/>
        <v>0x10BE</v>
      </c>
      <c r="AG298" s="148" t="str">
        <f t="shared" si="1021"/>
        <v>RPOLY_THRD</v>
      </c>
      <c r="AH298" s="148">
        <f t="shared" si="1022"/>
        <v>7</v>
      </c>
      <c r="AI298" s="148">
        <f t="shared" si="1023"/>
        <v>6</v>
      </c>
      <c r="AJ298" s="148">
        <f t="shared" si="1024"/>
        <v>0</v>
      </c>
      <c r="AK298" s="148">
        <f t="shared" si="1025"/>
        <v>127</v>
      </c>
      <c r="AL298" s="148" t="str">
        <f t="shared" si="1026"/>
        <v>-</v>
      </c>
      <c r="AM298" s="149">
        <f t="shared" si="1004"/>
        <v>40</v>
      </c>
      <c r="AN298" s="148">
        <f t="shared" si="1027"/>
        <v>40</v>
      </c>
      <c r="AO298" s="149" t="str">
        <f ca="1">IF(AF298="-",VLOOKUP(AD298,MemoryView!$A$3:$F$108,6,0),MID(VLOOKUP(AF298,MemoryView!$BD$3:$BE$108,2,0),15-AI298+1,AH298))</f>
        <v>0101000</v>
      </c>
      <c r="AP298" s="149">
        <f t="shared" ca="1" si="1028"/>
        <v>40</v>
      </c>
      <c r="AQ298" s="153" t="str">
        <f t="shared" si="1029"/>
        <v>`EE_MNG.RPOLY_THRD.SET(40);        // [0..127]</v>
      </c>
      <c r="AR298" s="154" t="str">
        <f t="shared" ca="1" si="1030"/>
        <v>EE_MEM #(`PARAM(16'h10BE, 0, 7, 0)) RPOLY_THRD(); bit unsigned [7-1:0] RPOLY_THRD_V; assign RPOLY_THRD_V = RPOLY_THRD.GET;</v>
      </c>
      <c r="AS298" s="148" t="str">
        <f t="shared" ca="1" si="1031"/>
        <v>EE_RPOLY_THRD</v>
      </c>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48"/>
      <c r="EA298" s="148"/>
      <c r="EB298" s="148"/>
      <c r="EC298" s="148"/>
      <c r="ED298" s="148"/>
      <c r="EE298" s="148"/>
      <c r="EF298" s="148"/>
      <c r="EG298" s="148"/>
      <c r="EH298" s="148"/>
      <c r="EI298" s="148"/>
      <c r="EJ298" s="148"/>
      <c r="EK298" s="148"/>
      <c r="EL298" s="148"/>
      <c r="EM298" s="148"/>
      <c r="EN298" s="148"/>
      <c r="EO298" s="148"/>
      <c r="EP298" s="148"/>
      <c r="EQ298" s="148"/>
      <c r="ER298" s="148"/>
      <c r="ES298" s="148"/>
      <c r="ET298" s="148"/>
      <c r="EU298" s="148"/>
      <c r="EV298" s="148"/>
      <c r="EW298" s="148"/>
      <c r="EX298" s="148"/>
      <c r="EY298" s="148"/>
      <c r="EZ298" s="148"/>
      <c r="FA298" s="148"/>
      <c r="FB298" s="148"/>
      <c r="FC298" s="148"/>
      <c r="FD298" s="148"/>
      <c r="FE298" s="148"/>
      <c r="FF298" s="148"/>
      <c r="FG298" s="148"/>
      <c r="FH298" s="148"/>
      <c r="FI298" s="148"/>
      <c r="FJ298" s="148"/>
      <c r="FK298" s="148"/>
      <c r="FL298" s="148"/>
      <c r="FM298" s="148"/>
      <c r="FN298" s="148"/>
      <c r="FO298" s="148"/>
      <c r="FP298" s="148"/>
      <c r="FQ298" s="148"/>
      <c r="FR298" s="148"/>
      <c r="FS298" s="148"/>
      <c r="FT298" s="148"/>
      <c r="FU298" s="148"/>
      <c r="FV298" s="148"/>
      <c r="FW298" s="148"/>
      <c r="FX298" s="148"/>
      <c r="FY298" s="148"/>
      <c r="FZ298" s="148"/>
      <c r="GA298" s="148"/>
      <c r="GB298" s="148"/>
      <c r="GC298" s="148"/>
      <c r="GD298" s="148"/>
      <c r="GE298" s="148"/>
      <c r="GF298" s="148"/>
      <c r="GG298" s="148"/>
      <c r="GH298" s="148"/>
      <c r="GI298" s="148"/>
      <c r="GJ298" s="148"/>
      <c r="GK298" s="148"/>
      <c r="GL298" s="148"/>
      <c r="GM298" s="148"/>
      <c r="GN298" s="148"/>
      <c r="GO298" s="148"/>
      <c r="GP298" s="148"/>
      <c r="GQ298" s="148"/>
      <c r="GR298" s="148"/>
      <c r="GS298" s="148"/>
      <c r="GT298" s="148"/>
      <c r="GU298" s="148"/>
      <c r="GV298" s="148"/>
      <c r="GW298" s="148"/>
      <c r="GX298" s="148"/>
      <c r="GY298" s="148"/>
      <c r="GZ298" s="148"/>
      <c r="HA298" s="148"/>
      <c r="HB298" s="148"/>
      <c r="HC298" s="148"/>
      <c r="HD298" s="148"/>
      <c r="HE298" s="148"/>
      <c r="HF298" s="148"/>
      <c r="HG298" s="148"/>
      <c r="HH298" s="148"/>
      <c r="HI298" s="148"/>
      <c r="HJ298" s="148"/>
      <c r="HK298" s="148"/>
      <c r="HL298" s="148"/>
      <c r="HM298" s="148"/>
      <c r="HN298" s="148"/>
      <c r="HO298" s="148"/>
      <c r="HP298" s="148"/>
      <c r="HQ298" s="148"/>
      <c r="HR298" s="148"/>
      <c r="HS298" s="148"/>
      <c r="HT298" s="148"/>
      <c r="HU298" s="148"/>
      <c r="HV298" s="148"/>
      <c r="HW298" s="148"/>
      <c r="HX298" s="148"/>
      <c r="HY298" s="148"/>
      <c r="HZ298" s="148"/>
      <c r="IA298" s="148"/>
      <c r="IB298" s="148"/>
      <c r="IC298" s="148"/>
      <c r="ID298" s="148"/>
      <c r="IE298" s="148"/>
      <c r="IF298" s="148"/>
      <c r="IG298" s="148"/>
      <c r="IH298" s="148"/>
      <c r="II298" s="148"/>
      <c r="IJ298" s="148"/>
      <c r="IK298" s="148"/>
      <c r="IL298" s="148"/>
      <c r="IM298" s="148"/>
      <c r="IN298" s="148"/>
      <c r="IO298" s="148"/>
      <c r="IP298" s="148"/>
      <c r="IQ298" s="148"/>
      <c r="IR298" s="148"/>
      <c r="IS298" s="148"/>
      <c r="IT298" s="148"/>
      <c r="IU298" s="148"/>
      <c r="IV298" s="148"/>
      <c r="IW298" s="148"/>
      <c r="IX298" s="148"/>
      <c r="IY298" s="148"/>
      <c r="IZ298" s="148"/>
      <c r="JA298" s="148"/>
      <c r="JB298" s="148"/>
      <c r="JC298" s="148"/>
      <c r="JD298" s="148"/>
      <c r="JE298" s="148"/>
      <c r="JF298" s="148"/>
      <c r="JG298" s="148"/>
      <c r="JH298" s="148"/>
      <c r="JI298" s="148"/>
      <c r="JJ298" s="148"/>
      <c r="JK298" s="148"/>
      <c r="JL298" s="148"/>
      <c r="JM298" s="148"/>
      <c r="JN298" s="148"/>
      <c r="JO298" s="148"/>
      <c r="JP298" s="148"/>
      <c r="JQ298" s="148"/>
      <c r="JR298" s="148"/>
      <c r="JS298" s="148"/>
      <c r="JT298" s="148"/>
      <c r="JU298" s="148"/>
      <c r="JV298" s="148"/>
      <c r="JW298" s="148"/>
      <c r="JX298" s="148"/>
      <c r="JY298" s="148"/>
      <c r="JZ298" s="148"/>
      <c r="KA298" s="148"/>
      <c r="KB298" s="148"/>
      <c r="KC298" s="148"/>
      <c r="KD298" s="148"/>
      <c r="KE298" s="148"/>
      <c r="KF298" s="148"/>
      <c r="KG298" s="148"/>
      <c r="KH298" s="148"/>
      <c r="KI298" s="148"/>
      <c r="KJ298" s="148"/>
      <c r="KK298" s="148"/>
      <c r="KL298" s="148"/>
      <c r="KM298" s="148"/>
      <c r="KN298" s="148"/>
      <c r="KO298" s="148"/>
      <c r="KP298" s="148"/>
      <c r="KQ298" s="148"/>
      <c r="KR298" s="148"/>
      <c r="KS298" s="148"/>
      <c r="KT298" s="148"/>
      <c r="KU298" s="148"/>
      <c r="KV298" s="148"/>
      <c r="KW298" s="148"/>
      <c r="KX298" s="148"/>
      <c r="KY298" s="148"/>
      <c r="KZ298" s="148"/>
      <c r="LA298" s="148"/>
      <c r="LB298" s="148"/>
      <c r="LC298" s="148"/>
      <c r="LD298" s="148"/>
      <c r="LE298" s="148"/>
      <c r="LF298" s="148"/>
      <c r="LG298" s="148"/>
      <c r="LH298" s="148"/>
      <c r="LI298" s="148"/>
      <c r="LJ298" s="148"/>
      <c r="LK298" s="148"/>
      <c r="LL298" s="148"/>
      <c r="LM298" s="148"/>
      <c r="LN298" s="148"/>
      <c r="LO298" s="148"/>
      <c r="LP298" s="148"/>
      <c r="LQ298" s="148"/>
      <c r="LR298" s="148"/>
      <c r="LS298" s="148"/>
      <c r="LT298" s="148"/>
      <c r="LU298" s="148"/>
      <c r="LV298" s="148"/>
      <c r="LW298" s="148"/>
      <c r="LX298" s="148"/>
      <c r="LY298" s="148"/>
      <c r="LZ298" s="148"/>
      <c r="MA298" s="148"/>
      <c r="MB298" s="148"/>
      <c r="MC298" s="148"/>
      <c r="MD298" s="148"/>
      <c r="ME298" s="148"/>
      <c r="MF298" s="148"/>
      <c r="MG298" s="148"/>
      <c r="MH298" s="148"/>
      <c r="MI298" s="148"/>
      <c r="MJ298" s="148"/>
      <c r="MK298" s="148"/>
      <c r="ML298" s="148"/>
      <c r="MM298" s="148"/>
      <c r="MN298" s="148"/>
      <c r="MO298" s="148"/>
      <c r="MP298" s="148"/>
      <c r="MQ298" s="148"/>
      <c r="MR298" s="148"/>
      <c r="MS298" s="148"/>
      <c r="MT298" s="148"/>
      <c r="MU298" s="148"/>
      <c r="MV298" s="148"/>
      <c r="MW298" s="148"/>
      <c r="MX298" s="148"/>
      <c r="MY298" s="148"/>
      <c r="MZ298" s="148"/>
      <c r="NA298" s="148"/>
      <c r="NB298" s="148"/>
      <c r="NC298" s="148"/>
      <c r="ND298" s="148"/>
      <c r="NE298" s="148"/>
      <c r="NF298" s="148"/>
      <c r="NG298" s="148"/>
      <c r="NH298" s="148"/>
      <c r="NI298" s="148"/>
      <c r="NJ298" s="148"/>
      <c r="NK298" s="148"/>
      <c r="NL298" s="148"/>
      <c r="NM298" s="148"/>
      <c r="NN298" s="148"/>
      <c r="NO298" s="148"/>
      <c r="NP298" s="148"/>
      <c r="NQ298" s="148"/>
      <c r="NR298" s="148"/>
      <c r="NS298" s="148"/>
      <c r="NT298" s="148"/>
      <c r="NU298" s="148"/>
      <c r="NV298" s="148"/>
      <c r="NW298" s="148"/>
      <c r="NX298" s="148"/>
      <c r="NY298" s="148"/>
      <c r="NZ298" s="148"/>
      <c r="OA298" s="148"/>
      <c r="OB298" s="148"/>
      <c r="OC298" s="148"/>
      <c r="OD298" s="148"/>
      <c r="OE298" s="148"/>
      <c r="OF298" s="148"/>
      <c r="OG298" s="148"/>
      <c r="OH298" s="148"/>
      <c r="OI298" s="148"/>
      <c r="OJ298" s="148"/>
      <c r="OK298" s="148"/>
      <c r="OL298" s="148"/>
      <c r="OM298" s="148"/>
      <c r="ON298" s="148"/>
      <c r="OO298" s="148"/>
      <c r="OP298" s="148"/>
      <c r="OQ298" s="148"/>
      <c r="OR298" s="148"/>
      <c r="OS298" s="148"/>
      <c r="OT298" s="148"/>
      <c r="OU298" s="148"/>
      <c r="OV298" s="148"/>
      <c r="OW298" s="148"/>
      <c r="OX298" s="148"/>
      <c r="OY298" s="148"/>
      <c r="OZ298" s="148"/>
      <c r="PA298" s="148"/>
      <c r="PB298" s="148"/>
      <c r="PC298" s="148"/>
      <c r="PD298" s="148"/>
      <c r="PE298" s="148"/>
      <c r="PF298" s="148"/>
      <c r="PG298" s="148"/>
      <c r="PH298" s="148"/>
      <c r="PI298" s="148"/>
      <c r="PJ298" s="148"/>
      <c r="PK298" s="148"/>
      <c r="PL298" s="148"/>
      <c r="PM298" s="148"/>
      <c r="PN298" s="148"/>
      <c r="PO298" s="148"/>
      <c r="PP298" s="148"/>
      <c r="PQ298" s="148"/>
      <c r="PR298" s="148"/>
      <c r="PS298" s="148"/>
      <c r="PT298" s="148"/>
      <c r="PU298" s="148"/>
      <c r="PV298" s="148"/>
      <c r="PW298" s="148"/>
      <c r="PX298" s="148"/>
      <c r="PY298" s="148"/>
      <c r="PZ298" s="148"/>
      <c r="QA298" s="148"/>
      <c r="QB298" s="148"/>
      <c r="QC298" s="148"/>
      <c r="QD298" s="148"/>
      <c r="QE298" s="148"/>
      <c r="QF298" s="148"/>
      <c r="QG298" s="148"/>
      <c r="QH298" s="148"/>
      <c r="QI298" s="148"/>
      <c r="QJ298" s="148"/>
      <c r="QK298" s="148"/>
      <c r="QL298" s="148"/>
      <c r="QM298" s="148"/>
      <c r="QN298" s="148"/>
      <c r="QO298" s="148"/>
      <c r="QP298" s="148"/>
      <c r="QQ298" s="148"/>
      <c r="QR298" s="148"/>
      <c r="QS298" s="148"/>
      <c r="QT298" s="148"/>
      <c r="QU298" s="148"/>
      <c r="QV298" s="148"/>
      <c r="QW298" s="148"/>
      <c r="QX298" s="148"/>
      <c r="QY298" s="148"/>
      <c r="QZ298" s="148"/>
      <c r="RA298" s="148"/>
      <c r="RB298" s="148"/>
      <c r="RC298" s="148"/>
      <c r="RD298" s="148"/>
      <c r="RE298" s="148"/>
      <c r="RF298" s="148"/>
      <c r="RG298" s="148"/>
      <c r="RH298" s="148"/>
      <c r="RI298" s="148"/>
      <c r="RJ298" s="148"/>
      <c r="RK298" s="148"/>
      <c r="RL298" s="148"/>
      <c r="RM298" s="148"/>
      <c r="RN298" s="148"/>
      <c r="RO298" s="148"/>
      <c r="RP298" s="148"/>
      <c r="RQ298" s="148"/>
      <c r="RR298" s="148"/>
      <c r="RS298" s="148"/>
      <c r="RT298" s="148"/>
      <c r="RU298" s="148"/>
      <c r="RV298" s="148"/>
      <c r="RW298" s="148"/>
      <c r="RX298" s="148"/>
      <c r="RY298" s="148"/>
      <c r="RZ298" s="148"/>
      <c r="SA298" s="148"/>
      <c r="SB298" s="148"/>
      <c r="SC298" s="148"/>
      <c r="SD298" s="148"/>
      <c r="SE298" s="148"/>
      <c r="SF298" s="148"/>
      <c r="SG298" s="148"/>
      <c r="SH298" s="148"/>
      <c r="SI298" s="148"/>
      <c r="SJ298" s="148"/>
      <c r="SK298" s="148"/>
      <c r="SL298" s="148"/>
      <c r="SM298" s="148"/>
      <c r="SN298" s="148"/>
      <c r="SO298" s="148"/>
      <c r="SP298" s="148"/>
      <c r="SQ298" s="148"/>
      <c r="SR298" s="148"/>
      <c r="SS298" s="148"/>
      <c r="ST298" s="148"/>
      <c r="SU298" s="148"/>
      <c r="SV298" s="148"/>
      <c r="SW298" s="148"/>
      <c r="SX298" s="148"/>
      <c r="SY298" s="148"/>
      <c r="SZ298" s="148"/>
      <c r="TA298" s="148"/>
      <c r="TB298" s="148"/>
      <c r="TC298" s="148"/>
      <c r="TD298" s="148"/>
      <c r="TE298" s="148"/>
      <c r="TF298" s="148"/>
      <c r="TG298" s="148"/>
      <c r="TH298" s="148"/>
      <c r="TI298" s="148"/>
      <c r="TJ298" s="148"/>
      <c r="TK298" s="148"/>
      <c r="TL298" s="148"/>
      <c r="TM298" s="148"/>
      <c r="TN298" s="148"/>
      <c r="TO298" s="148"/>
      <c r="TP298" s="148"/>
      <c r="TQ298" s="148"/>
      <c r="TR298" s="148"/>
      <c r="TS298" s="148"/>
      <c r="TT298" s="148"/>
      <c r="TU298" s="148"/>
      <c r="TV298" s="148"/>
      <c r="TW298" s="148"/>
      <c r="TX298" s="148"/>
      <c r="TY298" s="148"/>
      <c r="TZ298" s="148"/>
      <c r="UA298" s="148"/>
      <c r="UB298" s="148"/>
      <c r="UC298" s="148"/>
      <c r="UD298" s="148"/>
      <c r="UE298" s="148"/>
      <c r="UF298" s="148"/>
      <c r="UG298" s="148"/>
      <c r="UH298" s="148"/>
      <c r="UI298" s="148"/>
      <c r="UJ298" s="148"/>
      <c r="UK298" s="148"/>
      <c r="UL298" s="148"/>
      <c r="UM298" s="148"/>
      <c r="UN298" s="148"/>
      <c r="UO298" s="148"/>
      <c r="UP298" s="148"/>
      <c r="UQ298" s="148"/>
      <c r="UR298" s="148"/>
      <c r="US298" s="148"/>
      <c r="UT298" s="148"/>
      <c r="UU298" s="148"/>
      <c r="UV298" s="148"/>
      <c r="UW298" s="148"/>
      <c r="UX298" s="148"/>
      <c r="UY298" s="148"/>
      <c r="UZ298" s="148"/>
      <c r="VA298" s="148"/>
      <c r="VB298" s="148"/>
      <c r="VC298" s="148"/>
      <c r="VD298" s="148"/>
      <c r="VE298" s="148"/>
      <c r="VF298" s="148"/>
      <c r="VG298" s="148"/>
      <c r="VH298" s="148"/>
      <c r="VI298" s="148"/>
      <c r="VJ298" s="148"/>
      <c r="VK298" s="148"/>
      <c r="VL298" s="148"/>
      <c r="VM298" s="148"/>
      <c r="VN298" s="148"/>
      <c r="VO298" s="148"/>
      <c r="VP298" s="148"/>
      <c r="VQ298" s="148"/>
      <c r="VR298" s="148"/>
      <c r="VS298" s="148"/>
      <c r="VT298" s="148"/>
      <c r="VU298" s="148"/>
      <c r="VV298" s="148"/>
      <c r="VW298" s="148"/>
      <c r="VX298" s="148"/>
      <c r="VY298" s="148"/>
      <c r="VZ298" s="148"/>
      <c r="WA298" s="148"/>
      <c r="WB298" s="148"/>
      <c r="WC298" s="148"/>
      <c r="WD298" s="148"/>
      <c r="WE298" s="148"/>
      <c r="WF298" s="148"/>
      <c r="WG298" s="148"/>
      <c r="WH298" s="148"/>
      <c r="WI298" s="148"/>
      <c r="WJ298" s="148"/>
      <c r="WK298" s="148"/>
      <c r="WL298" s="148"/>
      <c r="WM298" s="148"/>
      <c r="WN298" s="148"/>
      <c r="WO298" s="148"/>
      <c r="WP298" s="148"/>
      <c r="WQ298" s="148"/>
      <c r="WR298" s="148"/>
      <c r="WS298" s="148"/>
      <c r="WT298" s="148"/>
      <c r="WU298" s="148"/>
      <c r="WV298" s="148"/>
      <c r="WW298" s="148"/>
      <c r="WX298" s="148"/>
      <c r="WY298" s="148"/>
      <c r="WZ298" s="148"/>
      <c r="XA298" s="148"/>
      <c r="XB298" s="148"/>
      <c r="XC298" s="148"/>
      <c r="XD298" s="148"/>
      <c r="XE298" s="148"/>
      <c r="XF298" s="148"/>
      <c r="XG298" s="148"/>
      <c r="XH298" s="148"/>
      <c r="XI298" s="148"/>
      <c r="XJ298" s="148"/>
      <c r="XK298" s="148"/>
      <c r="XL298" s="148"/>
      <c r="XM298" s="148"/>
      <c r="XN298" s="148"/>
      <c r="XO298" s="148"/>
      <c r="XP298" s="148"/>
      <c r="XQ298" s="148"/>
      <c r="XR298" s="148"/>
      <c r="XS298" s="148"/>
      <c r="XT298" s="148"/>
      <c r="XU298" s="148"/>
      <c r="XV298" s="148"/>
      <c r="XW298" s="148"/>
      <c r="XX298" s="148"/>
      <c r="XY298" s="148"/>
      <c r="XZ298" s="148"/>
      <c r="YA298" s="148"/>
      <c r="YB298" s="148"/>
      <c r="YC298" s="148"/>
      <c r="YD298" s="148"/>
      <c r="YE298" s="148"/>
      <c r="YF298" s="148"/>
      <c r="YG298" s="148"/>
      <c r="YH298" s="148"/>
      <c r="YI298" s="148"/>
      <c r="YJ298" s="148"/>
      <c r="YK298" s="148"/>
      <c r="YL298" s="148"/>
      <c r="YM298" s="148"/>
      <c r="YN298" s="148"/>
      <c r="YO298" s="148"/>
      <c r="YP298" s="148"/>
      <c r="YQ298" s="148"/>
      <c r="YR298" s="148"/>
      <c r="YS298" s="148"/>
      <c r="YT298" s="148"/>
      <c r="YU298" s="148"/>
      <c r="YV298" s="148"/>
      <c r="YW298" s="148"/>
      <c r="YX298" s="148"/>
      <c r="YY298" s="148"/>
      <c r="YZ298" s="148"/>
      <c r="ZA298" s="148"/>
      <c r="ZB298" s="148"/>
      <c r="ZC298" s="148"/>
      <c r="ZD298" s="148"/>
      <c r="ZE298" s="148"/>
      <c r="ZF298" s="148"/>
      <c r="ZG298" s="148"/>
      <c r="ZH298" s="148"/>
      <c r="ZI298" s="148"/>
      <c r="ZJ298" s="148"/>
      <c r="ZK298" s="148"/>
      <c r="ZL298" s="148"/>
      <c r="ZM298" s="148"/>
      <c r="ZN298" s="148"/>
      <c r="ZO298" s="148"/>
      <c r="ZP298" s="148"/>
      <c r="ZQ298" s="148"/>
      <c r="ZR298" s="148"/>
      <c r="ZS298" s="148"/>
      <c r="ZT298" s="148"/>
      <c r="ZU298" s="148"/>
      <c r="ZV298" s="148"/>
      <c r="ZW298" s="148"/>
      <c r="ZX298" s="148"/>
      <c r="ZY298" s="148"/>
      <c r="ZZ298" s="148"/>
      <c r="AAA298" s="148"/>
      <c r="AAB298" s="148"/>
      <c r="AAC298" s="148"/>
      <c r="AAD298" s="148"/>
      <c r="AAE298" s="148"/>
      <c r="AAF298" s="148"/>
      <c r="AAG298" s="148"/>
      <c r="AAH298" s="148"/>
      <c r="AAI298" s="148"/>
      <c r="AAJ298" s="148"/>
      <c r="AAK298" s="148"/>
      <c r="AAL298" s="148"/>
      <c r="AAM298" s="148"/>
      <c r="AAN298" s="148"/>
      <c r="AAO298" s="148"/>
      <c r="AAP298" s="148"/>
      <c r="AAQ298" s="148"/>
      <c r="AAR298" s="148"/>
      <c r="AAS298" s="148"/>
      <c r="AAT298" s="148"/>
      <c r="AAU298" s="148"/>
      <c r="AAV298" s="148"/>
      <c r="AAW298" s="148"/>
      <c r="AAX298" s="148"/>
      <c r="AAY298" s="148"/>
      <c r="AAZ298" s="148"/>
      <c r="ABA298" s="148"/>
      <c r="ABB298" s="148"/>
      <c r="ABC298" s="148"/>
      <c r="ABD298" s="148"/>
      <c r="ABE298" s="148"/>
      <c r="ABF298" s="148"/>
      <c r="ABG298" s="148"/>
      <c r="ABH298" s="148"/>
      <c r="ABI298" s="148"/>
      <c r="ABJ298" s="148"/>
      <c r="ABK298" s="148"/>
      <c r="ABL298" s="148"/>
      <c r="ABM298" s="148"/>
      <c r="ABN298" s="148"/>
      <c r="ABO298" s="148"/>
      <c r="ABP298" s="148"/>
      <c r="ABQ298" s="148"/>
      <c r="ABR298" s="148"/>
      <c r="ABS298" s="148"/>
      <c r="ABT298" s="148"/>
      <c r="ABU298" s="148"/>
      <c r="ABV298" s="148"/>
      <c r="ABW298" s="148"/>
      <c r="ABX298" s="148"/>
      <c r="ABY298" s="148"/>
      <c r="ABZ298" s="148"/>
      <c r="ACA298" s="148"/>
      <c r="ACB298" s="148"/>
      <c r="ACC298" s="148"/>
      <c r="ACD298" s="148"/>
      <c r="ACE298" s="148"/>
      <c r="ACF298" s="148"/>
      <c r="ACG298" s="148"/>
      <c r="ACH298" s="148"/>
      <c r="ACI298" s="148"/>
      <c r="ACJ298" s="148"/>
      <c r="ACK298" s="148"/>
      <c r="ACL298" s="148"/>
      <c r="ACM298" s="148"/>
      <c r="ACN298" s="148"/>
      <c r="ACO298" s="148"/>
      <c r="ACP298" s="148"/>
      <c r="ACQ298" s="148"/>
      <c r="ACR298" s="148"/>
      <c r="ACS298" s="148"/>
      <c r="ACT298" s="148"/>
      <c r="ACU298" s="148"/>
      <c r="ACV298" s="148"/>
      <c r="ACW298" s="148"/>
      <c r="ACX298" s="148"/>
      <c r="ACY298" s="148"/>
      <c r="ACZ298" s="148"/>
      <c r="ADA298" s="148"/>
      <c r="ADB298" s="148"/>
      <c r="ADC298" s="148"/>
      <c r="ADD298" s="148"/>
      <c r="ADE298" s="148"/>
      <c r="ADF298" s="148"/>
      <c r="ADG298" s="148"/>
      <c r="ADH298" s="148"/>
      <c r="ADI298" s="148"/>
      <c r="ADJ298" s="148"/>
      <c r="ADK298" s="148"/>
      <c r="ADL298" s="148"/>
      <c r="ADM298" s="148"/>
      <c r="ADN298" s="148"/>
      <c r="ADO298" s="148"/>
      <c r="ADP298" s="148"/>
      <c r="ADQ298" s="148"/>
      <c r="ADR298" s="148"/>
      <c r="ADS298" s="148"/>
      <c r="ADT298" s="148"/>
      <c r="ADU298" s="148"/>
      <c r="ADV298" s="148"/>
      <c r="ADW298" s="148"/>
      <c r="ADX298" s="148"/>
      <c r="ADY298" s="148"/>
      <c r="ADZ298" s="148"/>
      <c r="AEA298" s="148"/>
      <c r="AEB298" s="148"/>
      <c r="AEC298" s="148"/>
      <c r="AED298" s="148"/>
      <c r="AEE298" s="148"/>
      <c r="AEF298" s="148"/>
      <c r="AEG298" s="148"/>
      <c r="AEH298" s="148"/>
      <c r="AEI298" s="148"/>
      <c r="AEJ298" s="148"/>
      <c r="AEK298" s="148"/>
      <c r="AEL298" s="148"/>
      <c r="AEM298" s="148"/>
      <c r="AEN298" s="148"/>
      <c r="AEO298" s="148"/>
      <c r="AEP298" s="148"/>
      <c r="AEQ298" s="148"/>
      <c r="AER298" s="148"/>
      <c r="AES298" s="148"/>
      <c r="AET298" s="148"/>
      <c r="AEU298" s="148"/>
      <c r="AEV298" s="148"/>
      <c r="AEW298" s="148"/>
      <c r="AEX298" s="148"/>
      <c r="AEY298" s="148"/>
      <c r="AEZ298" s="148"/>
      <c r="AFA298" s="148"/>
      <c r="AFB298" s="148"/>
      <c r="AFC298" s="148"/>
      <c r="AFD298" s="148"/>
      <c r="AFE298" s="148"/>
      <c r="AFF298" s="148"/>
      <c r="AFG298" s="148"/>
      <c r="AFH298" s="148"/>
      <c r="AFI298" s="148"/>
      <c r="AFJ298" s="148"/>
      <c r="AFK298" s="148"/>
      <c r="AFL298" s="148"/>
      <c r="AFM298" s="148"/>
      <c r="AFN298" s="148"/>
      <c r="AFO298" s="148"/>
      <c r="AFP298" s="148"/>
      <c r="AFQ298" s="148"/>
      <c r="AFR298" s="148"/>
      <c r="AFS298" s="148"/>
      <c r="AFT298" s="148"/>
      <c r="AFU298" s="148"/>
      <c r="AFV298" s="148"/>
      <c r="AFW298" s="148"/>
      <c r="AFX298" s="148"/>
      <c r="AFY298" s="148"/>
      <c r="AFZ298" s="148"/>
      <c r="AGA298" s="148"/>
      <c r="AGB298" s="148"/>
      <c r="AGC298" s="148"/>
      <c r="AGD298" s="148"/>
      <c r="AGE298" s="148"/>
      <c r="AGF298" s="148"/>
      <c r="AGG298" s="148"/>
      <c r="AGH298" s="148"/>
      <c r="AGI298" s="148"/>
      <c r="AGJ298" s="148"/>
      <c r="AGK298" s="148"/>
      <c r="AGL298" s="148"/>
      <c r="AGM298" s="148"/>
      <c r="AGN298" s="148"/>
      <c r="AGO298" s="148"/>
      <c r="AGP298" s="148"/>
      <c r="AGQ298" s="148"/>
      <c r="AGR298" s="148"/>
      <c r="AGS298" s="148"/>
      <c r="AGT298" s="148"/>
      <c r="AGU298" s="148"/>
      <c r="AGV298" s="148"/>
      <c r="AGW298" s="148"/>
      <c r="AGX298" s="148"/>
      <c r="AGY298" s="148"/>
      <c r="AGZ298" s="148"/>
      <c r="AHA298" s="148"/>
      <c r="AHB298" s="148"/>
      <c r="AHC298" s="148"/>
      <c r="AHD298" s="148"/>
      <c r="AHE298" s="148"/>
      <c r="AHF298" s="148"/>
      <c r="AHG298" s="148"/>
      <c r="AHH298" s="148"/>
      <c r="AHI298" s="148"/>
      <c r="AHJ298" s="148"/>
      <c r="AHK298" s="148"/>
      <c r="AHL298" s="148"/>
      <c r="AHM298" s="148"/>
      <c r="AHN298" s="148"/>
      <c r="AHO298" s="148"/>
      <c r="AHP298" s="148"/>
      <c r="AHQ298" s="148"/>
      <c r="AHR298" s="148"/>
      <c r="AHS298" s="148"/>
      <c r="AHT298" s="148"/>
      <c r="AHU298" s="148"/>
      <c r="AHV298" s="148"/>
      <c r="AHW298" s="148"/>
      <c r="AHX298" s="148"/>
      <c r="AHY298" s="148"/>
      <c r="AHZ298" s="148"/>
      <c r="AIA298" s="148"/>
      <c r="AIB298" s="148"/>
      <c r="AIC298" s="148"/>
      <c r="AID298" s="148"/>
      <c r="AIE298" s="148"/>
      <c r="AIF298" s="148"/>
      <c r="AIG298" s="148"/>
      <c r="AIH298" s="148"/>
      <c r="AII298" s="148"/>
      <c r="AIJ298" s="148"/>
      <c r="AIK298" s="148"/>
      <c r="AIL298" s="148"/>
      <c r="AIM298" s="148"/>
      <c r="AIN298" s="148"/>
      <c r="AIO298" s="148"/>
      <c r="AIP298" s="148"/>
      <c r="AIQ298" s="148"/>
      <c r="AIR298" s="148"/>
      <c r="AIS298" s="148"/>
      <c r="AIT298" s="148"/>
      <c r="AIU298" s="148"/>
      <c r="AIV298" s="148"/>
      <c r="AIW298" s="148"/>
      <c r="AIX298" s="148"/>
      <c r="AIY298" s="148"/>
      <c r="AIZ298" s="148"/>
      <c r="AJA298" s="148"/>
      <c r="AJB298" s="148"/>
      <c r="AJC298" s="148"/>
      <c r="AJD298" s="148"/>
      <c r="AJE298" s="148"/>
      <c r="AJF298" s="148"/>
      <c r="AJG298" s="148"/>
      <c r="AJH298" s="148"/>
      <c r="AJI298" s="148"/>
      <c r="AJJ298" s="148"/>
      <c r="AJK298" s="148"/>
      <c r="AJL298" s="148"/>
      <c r="AJM298" s="148"/>
      <c r="AJN298" s="148"/>
      <c r="AJO298" s="148"/>
      <c r="AJP298" s="148"/>
      <c r="AJQ298" s="148"/>
      <c r="AJR298" s="148"/>
      <c r="AJS298" s="148"/>
      <c r="AJT298" s="148"/>
      <c r="AJU298" s="148"/>
      <c r="AJV298" s="148"/>
      <c r="AJW298" s="148"/>
      <c r="AJX298" s="148"/>
      <c r="AJY298" s="148"/>
      <c r="AJZ298" s="148"/>
      <c r="AKA298" s="148"/>
      <c r="AKB298" s="148"/>
      <c r="AKC298" s="148"/>
      <c r="AKD298" s="148"/>
      <c r="AKE298" s="148"/>
      <c r="AKF298" s="148"/>
      <c r="AKG298" s="148"/>
      <c r="AKH298" s="148"/>
      <c r="AKI298" s="148"/>
      <c r="AKJ298" s="148"/>
      <c r="AKK298" s="148"/>
      <c r="AKL298" s="148"/>
      <c r="AKM298" s="148"/>
      <c r="AKN298" s="148"/>
      <c r="AKO298" s="148"/>
      <c r="AKP298" s="148"/>
      <c r="AKQ298" s="148"/>
      <c r="AKR298" s="148"/>
      <c r="AKS298" s="148"/>
      <c r="AKT298" s="148"/>
      <c r="AKU298" s="148"/>
      <c r="AKV298" s="148"/>
      <c r="AKW298" s="148"/>
      <c r="AKX298" s="148"/>
      <c r="AKY298" s="148"/>
      <c r="AKZ298" s="148"/>
      <c r="ALA298" s="148"/>
      <c r="ALB298" s="148"/>
      <c r="ALC298" s="148"/>
      <c r="ALD298" s="148"/>
      <c r="ALE298" s="148"/>
      <c r="ALF298" s="148"/>
      <c r="ALG298" s="148"/>
      <c r="ALH298" s="148"/>
      <c r="ALI298" s="148"/>
      <c r="ALJ298" s="148"/>
      <c r="ALK298" s="148"/>
      <c r="ALL298" s="148"/>
      <c r="ALM298" s="148"/>
      <c r="ALN298" s="148"/>
      <c r="ALO298" s="148"/>
      <c r="ALP298" s="148"/>
      <c r="ALQ298" s="148"/>
      <c r="ALR298" s="148"/>
      <c r="ALS298" s="148"/>
      <c r="ALT298" s="148"/>
      <c r="ALU298" s="148"/>
      <c r="ALV298" s="148"/>
      <c r="ALW298" s="148"/>
      <c r="ALX298" s="148"/>
      <c r="ALY298" s="148"/>
      <c r="ALZ298" s="148"/>
      <c r="AMA298" s="148"/>
      <c r="AMB298" s="148"/>
      <c r="AMC298" s="148"/>
      <c r="AMD298" s="148"/>
      <c r="AME298" s="148"/>
      <c r="AMF298" s="148"/>
      <c r="AMG298" s="148"/>
      <c r="AMH298" s="148"/>
      <c r="AMI298" s="148"/>
      <c r="AMJ298" s="148"/>
      <c r="AMK298" s="148"/>
      <c r="AML298" s="148"/>
      <c r="AMM298" s="148"/>
      <c r="AMN298" s="148"/>
      <c r="AMO298" s="148"/>
    </row>
    <row r="299" spans="1:1029">
      <c r="B299" s="47" t="str">
        <f t="shared" ca="1" si="743"/>
        <v>MLX</v>
      </c>
      <c r="C299" s="47" t="s">
        <v>623</v>
      </c>
      <c r="D299" s="48" t="s">
        <v>58</v>
      </c>
      <c r="E299" s="60" t="str">
        <f ca="1">"0x"&amp;DEC2HEX(HEX2DEC(RIGHT(INDIRECT(ADDRESS(ROW()-1,COLUMN())),4))+2,4)</f>
        <v>0x10C0</v>
      </c>
      <c r="F299" s="49">
        <v>16</v>
      </c>
      <c r="G299" s="49">
        <v>0</v>
      </c>
      <c r="H299" s="49">
        <v>0</v>
      </c>
      <c r="I299" s="49" t="s">
        <v>58</v>
      </c>
      <c r="J299" s="50" t="str">
        <f t="shared" ref="J299:J300" si="1056">IF(D299&lt;&gt;"-","["&amp;AI299&amp;":"&amp;AJ299&amp;"]","-")</f>
        <v>-</v>
      </c>
      <c r="K299" s="50">
        <f t="shared" ref="K299:K300" si="1057">IF(H299,-L299-1,0)</f>
        <v>0</v>
      </c>
      <c r="L299" s="50">
        <f t="shared" ref="L299:L300" si="1058">IF(H299,FLOOR((2^F299-1)/2,1),2^F299-1)</f>
        <v>65535</v>
      </c>
      <c r="M299" s="51" t="s">
        <v>627</v>
      </c>
      <c r="N299" s="28"/>
      <c r="O299" s="52"/>
      <c r="P299" s="52"/>
      <c r="Q299" s="52"/>
      <c r="R299" s="52"/>
      <c r="S299" s="140"/>
      <c r="T299" s="165"/>
      <c r="U299" s="165"/>
      <c r="V299" s="165"/>
      <c r="W299" s="28"/>
      <c r="X299" s="52">
        <f t="shared" ref="X299:X300" ca="1" si="1059">IF(H299=0,AP299,    IF(AP299&lt;=2^(F299-1)-1,AP299,AP299-2^F299)  )</f>
        <v>0</v>
      </c>
      <c r="Y299" s="32"/>
      <c r="AC299" s="12">
        <f t="shared" si="1003"/>
        <v>1</v>
      </c>
      <c r="AD299" s="12" t="str">
        <f t="shared" ref="AD299:AD300" ca="1" si="1060">IF(AND(D299="-",C299&lt;&gt;"-"),E299,"-")</f>
        <v>0x10C0</v>
      </c>
      <c r="AE299" s="12" t="str">
        <f t="shared" ref="AE299:AE300" si="1061">IF(D299="-",C299,"-")</f>
        <v>EE_TRACEABILITY_CP</v>
      </c>
      <c r="AF299" s="12" t="str">
        <f t="shared" ref="AF299:AF300" si="1062">IF(AND(D299&lt;&gt;"-",ISTEXT(D299)),E299,"-")</f>
        <v>-</v>
      </c>
      <c r="AG299" s="12" t="str">
        <f t="shared" ref="AG299:AG300" si="1063">IF(AND(D299&lt;&gt;"-",ISTEXT(D299)),D299,"-")</f>
        <v>-</v>
      </c>
      <c r="AH299" s="12" t="str">
        <f t="shared" ref="AH299:AH300" si="1064">IF(D299&lt;&gt;"-",F299,"-")</f>
        <v>-</v>
      </c>
      <c r="AI299" s="12" t="str">
        <f t="shared" ref="AI299:AI300" si="1065">IF(D299&lt;&gt;"-",G299+F299-1,"-")</f>
        <v>-</v>
      </c>
      <c r="AJ299" s="12" t="str">
        <f t="shared" ref="AJ299:AJ300" si="1066">IF(D299&lt;&gt;"-",G299,"-")</f>
        <v>-</v>
      </c>
      <c r="AK299" s="12" t="str">
        <f t="shared" ref="AK299:AK300" ca="1" si="1067">IF(OR(AH299="-",AJ299="-"),AD299,(2^AH299-1)*2^AJ299)</f>
        <v>0x10C0</v>
      </c>
      <c r="AL299" s="12" t="str">
        <f t="shared" ref="AL299:AL300" ca="1" si="1068">IF(D299="-",B299,"-")</f>
        <v>MLX</v>
      </c>
      <c r="AM299" s="22">
        <f t="shared" si="1004"/>
        <v>0</v>
      </c>
      <c r="AN299" s="12" t="str">
        <f t="shared" ref="AN299:AN300" ca="1" si="1069">IF(OR(AH299="-",AJ299="-"),AD299,IF(AM299&lt;0,AM299+2^AH299,AM299)*2^AJ299)</f>
        <v>0x10C0</v>
      </c>
      <c r="AO299" s="22" t="str">
        <f ca="1">IF(AF299="-",VLOOKUP(AD299,MemoryView!$A$3:$F$108,6,0),MID(VLOOKUP(AF299,MemoryView!$BD$3:$BE$108,2,0),15-AI299+1,AH299))</f>
        <v>0000</v>
      </c>
      <c r="AP299" s="22">
        <f t="shared" ref="AP299:AP300" ca="1" si="1070">IF(AF299="-",HEX2DEC(AO299),IF(LEN(AO299)&gt;8,BIN2DEC(LEFT(AO299,LEN(AO299)-8))*2^8+BIN2DEC(RIGHT(AO299,8)),BIN2DEC(AO299)))</f>
        <v>0</v>
      </c>
      <c r="AQ299" s="53" t="str">
        <f t="shared" ref="AQ299:AQ300" si="1071">IF(AG299&lt;&gt;"-",CONCATENATE("`EE_MNG.",AG299,".SET(",AM299,");        // [",K299,"..",L299,"]"),"-")</f>
        <v>-</v>
      </c>
      <c r="AR299" s="54" t="str">
        <f t="shared" ref="AR299:AR300" ca="1" si="1072">IF(AND(AD299="-",AE299="-",AF299="-",AG299="-"),"-",IF(AG299&lt;&gt;"-",CONCATENATE("EE_MEM #(`PARAM(16'h",RIGHT(AF299,4),", ",G299,", ",F299,", ",H299,")) ",AG299,"(); bit ",IF(H299=0,"unsigned [","signed ["),F299,"-1:0] ", AG299,"_V; assign ",AG299,"_V = ",AG299,".GET;"), CONCATENATE("EE_MEM #(`PARAM(16'h",RIGHT(AD299,4),", ",G299,", ",F299,", ",H299,")) ",AE299,"(); bit ",IF(H299=0,"unsigned [","signed ["),F299,"-1:0] ", AE299,"_V; assign ",AE299,"_V = ",AE299,".GET;")))</f>
        <v>EE_MEM #(`PARAM(16'h10C0, 0, 16, 0)) EE_TRACEABILITY_CP(); bit unsigned [16-1:0] EE_TRACEABILITY_CP_V; assign EE_TRACEABILITY_CP_V = EE_TRACEABILITY_CP.GET;</v>
      </c>
      <c r="AS299" s="12" t="str">
        <f t="shared" ref="AS299:AS300" ca="1" si="1073">IF(AG299="-",AE299,INDIRECT(ADDRESS(ROW()-1,COLUMN())))</f>
        <v>EE_TRACEABILITY_CP</v>
      </c>
    </row>
    <row r="300" spans="1:1029" ht="25.5">
      <c r="B300" s="55" t="str">
        <f t="shared" ca="1" si="743"/>
        <v>MLX</v>
      </c>
      <c r="C300" s="55" t="s">
        <v>58</v>
      </c>
      <c r="D300" s="56" t="str">
        <f>RIGHT(C299,LEN(C299)-3)</f>
        <v>TRACEABILITY_CP</v>
      </c>
      <c r="E300" s="57" t="str">
        <f ca="1">INDIRECT(ADDRESS(ROW()-1,COLUMN()))</f>
        <v>0x10C0</v>
      </c>
      <c r="F300" s="57">
        <v>16</v>
      </c>
      <c r="G300" s="57">
        <v>0</v>
      </c>
      <c r="H300" s="57">
        <v>0</v>
      </c>
      <c r="I300" s="57" t="s">
        <v>63</v>
      </c>
      <c r="J300" s="50" t="str">
        <f t="shared" si="1056"/>
        <v>[15:0]</v>
      </c>
      <c r="K300" s="50">
        <f t="shared" si="1057"/>
        <v>0</v>
      </c>
      <c r="L300" s="50">
        <f t="shared" si="1058"/>
        <v>65535</v>
      </c>
      <c r="M300" s="159" t="s">
        <v>671</v>
      </c>
      <c r="N300" s="28"/>
      <c r="O300" s="57">
        <v>0</v>
      </c>
      <c r="P300" s="57">
        <f>O300</f>
        <v>0</v>
      </c>
      <c r="Q300" s="57">
        <f>O300</f>
        <v>0</v>
      </c>
      <c r="R300" s="57">
        <f>O300</f>
        <v>0</v>
      </c>
      <c r="S300" s="163">
        <f>P300</f>
        <v>0</v>
      </c>
      <c r="T300" s="163">
        <v>0</v>
      </c>
      <c r="U300" s="163">
        <f>S300</f>
        <v>0</v>
      </c>
      <c r="V300" s="163">
        <f t="shared" si="995"/>
        <v>0</v>
      </c>
      <c r="W300" s="59"/>
      <c r="X300" s="57">
        <f t="shared" ca="1" si="1059"/>
        <v>0</v>
      </c>
      <c r="Y300" s="32"/>
      <c r="AC300" s="12" t="b">
        <f t="shared" si="1003"/>
        <v>1</v>
      </c>
      <c r="AD300" s="12" t="str">
        <f t="shared" si="1060"/>
        <v>-</v>
      </c>
      <c r="AE300" s="12" t="str">
        <f t="shared" si="1061"/>
        <v>-</v>
      </c>
      <c r="AF300" s="12" t="str">
        <f t="shared" ca="1" si="1062"/>
        <v>0x10C0</v>
      </c>
      <c r="AG300" s="12" t="str">
        <f t="shared" si="1063"/>
        <v>TRACEABILITY_CP</v>
      </c>
      <c r="AH300" s="12">
        <f t="shared" si="1064"/>
        <v>16</v>
      </c>
      <c r="AI300" s="12">
        <f t="shared" si="1065"/>
        <v>15</v>
      </c>
      <c r="AJ300" s="12">
        <f t="shared" si="1066"/>
        <v>0</v>
      </c>
      <c r="AK300" s="12">
        <f t="shared" si="1067"/>
        <v>65535</v>
      </c>
      <c r="AL300" s="12" t="str">
        <f t="shared" si="1068"/>
        <v>-</v>
      </c>
      <c r="AM300" s="22">
        <f t="shared" si="1004"/>
        <v>0</v>
      </c>
      <c r="AN300" s="12">
        <f t="shared" si="1069"/>
        <v>0</v>
      </c>
      <c r="AO300" s="22" t="str">
        <f ca="1">IF(AF300="-",VLOOKUP(AD300,MemoryView!$A$3:$F$108,6,0),MID(VLOOKUP(AF300,MemoryView!$BD$3:$BE$108,2,0),15-AI300+1,AH300))</f>
        <v>0000000000000000</v>
      </c>
      <c r="AP300" s="22">
        <f t="shared" ca="1" si="1070"/>
        <v>0</v>
      </c>
      <c r="AQ300" s="53" t="str">
        <f t="shared" si="1071"/>
        <v>`EE_MNG.TRACEABILITY_CP.SET(0);        // [0..65535]</v>
      </c>
      <c r="AR300" s="54" t="str">
        <f t="shared" ca="1" si="1072"/>
        <v>EE_MEM #(`PARAM(16'h10C0, 0, 16, 0)) TRACEABILITY_CP(); bit unsigned [16-1:0] TRACEABILITY_CP_V; assign TRACEABILITY_CP_V = TRACEABILITY_CP.GET;</v>
      </c>
      <c r="AS300" s="12" t="str">
        <f t="shared" ca="1" si="1073"/>
        <v>EE_TRACEABILITY_CP</v>
      </c>
    </row>
    <row r="301" spans="1:1029">
      <c r="B301" s="47" t="str">
        <f t="shared" ca="1" si="743"/>
        <v>MLX</v>
      </c>
      <c r="C301" s="47" t="s">
        <v>624</v>
      </c>
      <c r="D301" s="48" t="s">
        <v>58</v>
      </c>
      <c r="E301" s="60" t="str">
        <f ca="1">"0x"&amp;DEC2HEX(HEX2DEC(RIGHT(INDIRECT(ADDRESS(ROW()-1,COLUMN())),4))+2,4)</f>
        <v>0x10C2</v>
      </c>
      <c r="F301" s="49">
        <v>16</v>
      </c>
      <c r="G301" s="49">
        <v>0</v>
      </c>
      <c r="H301" s="49">
        <v>0</v>
      </c>
      <c r="I301" s="49" t="s">
        <v>58</v>
      </c>
      <c r="J301" s="50" t="str">
        <f t="shared" ref="J301:J304" si="1074">IF(D301&lt;&gt;"-","["&amp;AI301&amp;":"&amp;AJ301&amp;"]","-")</f>
        <v>-</v>
      </c>
      <c r="K301" s="50">
        <f t="shared" ref="K301:K304" si="1075">IF(H301,-L301-1,0)</f>
        <v>0</v>
      </c>
      <c r="L301" s="50">
        <f t="shared" ref="L301:L304" si="1076">IF(H301,FLOOR((2^F301-1)/2,1),2^F301-1)</f>
        <v>65535</v>
      </c>
      <c r="M301" s="51" t="s">
        <v>628</v>
      </c>
      <c r="N301" s="28"/>
      <c r="O301" s="52"/>
      <c r="P301" s="52"/>
      <c r="Q301" s="52"/>
      <c r="R301" s="52"/>
      <c r="S301" s="140"/>
      <c r="T301" s="165"/>
      <c r="U301" s="165"/>
      <c r="V301" s="165"/>
      <c r="W301" s="28"/>
      <c r="X301" s="52">
        <f ca="1">IF(H301=0,AP301,    IF(AP301&lt;=2^(F301-1)-1,AP301,AP301-2^F301)  )</f>
        <v>0</v>
      </c>
      <c r="Y301" s="32"/>
      <c r="AC301" s="12">
        <f t="shared" si="1003"/>
        <v>1</v>
      </c>
      <c r="AD301" s="12" t="str">
        <f t="shared" ref="AD301:AD304" ca="1" si="1077">IF(AND(D301="-",C301&lt;&gt;"-"),E301,"-")</f>
        <v>0x10C2</v>
      </c>
      <c r="AE301" s="12" t="str">
        <f t="shared" ref="AE301:AE304" si="1078">IF(D301="-",C301,"-")</f>
        <v>EE_MLX_ID0_CP</v>
      </c>
      <c r="AF301" s="12" t="str">
        <f t="shared" ref="AF301:AF304" si="1079">IF(AND(D301&lt;&gt;"-",ISTEXT(D301)),E301,"-")</f>
        <v>-</v>
      </c>
      <c r="AG301" s="12" t="str">
        <f t="shared" ref="AG301:AG304" si="1080">IF(AND(D301&lt;&gt;"-",ISTEXT(D301)),D301,"-")</f>
        <v>-</v>
      </c>
      <c r="AH301" s="12" t="str">
        <f t="shared" ref="AH301:AH304" si="1081">IF(D301&lt;&gt;"-",F301,"-")</f>
        <v>-</v>
      </c>
      <c r="AI301" s="12" t="str">
        <f t="shared" ref="AI301:AI304" si="1082">IF(D301&lt;&gt;"-",G301+F301-1,"-")</f>
        <v>-</v>
      </c>
      <c r="AJ301" s="12" t="str">
        <f t="shared" ref="AJ301:AJ304" si="1083">IF(D301&lt;&gt;"-",G301,"-")</f>
        <v>-</v>
      </c>
      <c r="AK301" s="12" t="str">
        <f t="shared" ref="AK301:AK304" ca="1" si="1084">IF(OR(AH301="-",AJ301="-"),AD301,(2^AH301-1)*2^AJ301)</f>
        <v>0x10C2</v>
      </c>
      <c r="AL301" s="12" t="str">
        <f t="shared" ref="AL301:AL304" ca="1" si="1085">IF(D301="-",B301,"-")</f>
        <v>MLX</v>
      </c>
      <c r="AM301" s="22">
        <f t="shared" si="1004"/>
        <v>0</v>
      </c>
      <c r="AN301" s="12" t="str">
        <f t="shared" ref="AN301:AN304" ca="1" si="1086">IF(OR(AH301="-",AJ301="-"),AD301,IF(AM301&lt;0,AM301+2^AH301,AM301)*2^AJ301)</f>
        <v>0x10C2</v>
      </c>
      <c r="AO301" s="22" t="str">
        <f ca="1">IF(AF301="-",VLOOKUP(AD301,MemoryView!$A$3:$F$108,6,0),MID(VLOOKUP(AF301,MemoryView!$BD$3:$BE$108,2,0),15-AI301+1,AH301))</f>
        <v>0000</v>
      </c>
      <c r="AP301" s="22">
        <f ca="1">IF(AF301="-",HEX2DEC(AO301),IF(LEN(AO301)&gt;8,BIN2DEC(LEFT(AO301,LEN(AO301)-8))*2^8+BIN2DEC(RIGHT(AO301,8)),BIN2DEC(AO301)))</f>
        <v>0</v>
      </c>
      <c r="AQ301" s="53" t="str">
        <f t="shared" ref="AQ301:AQ304" si="1087">IF(AG301&lt;&gt;"-",CONCATENATE("`EE_MNG.",AG301,".SET(",AM301,");        // [",K301,"..",L301,"]"),"-")</f>
        <v>-</v>
      </c>
      <c r="AR301" s="54" t="str">
        <f t="shared" ref="AR301:AR304" ca="1" si="1088">IF(AND(AD301="-",AE301="-",AF301="-",AG301="-"),"-",IF(AG301&lt;&gt;"-",CONCATENATE("EE_MEM #(`PARAM(16'h",RIGHT(AF301,4),", ",G301,", ",F301,", ",H301,")) ",AG301,"(); bit ",IF(H301=0,"unsigned [","signed ["),F301,"-1:0] ", AG301,"_V; assign ",AG301,"_V = ",AG301,".GET;"), CONCATENATE("EE_MEM #(`PARAM(16'h",RIGHT(AD301,4),", ",G301,", ",F301,", ",H301,")) ",AE301,"(); bit ",IF(H301=0,"unsigned [","signed ["),F301,"-1:0] ", AE301,"_V; assign ",AE301,"_V = ",AE301,".GET;")))</f>
        <v>EE_MEM #(`PARAM(16'h10C2, 0, 16, 0)) EE_MLX_ID0_CP(); bit unsigned [16-1:0] EE_MLX_ID0_CP_V; assign EE_MLX_ID0_CP_V = EE_MLX_ID0_CP.GET;</v>
      </c>
      <c r="AS301" s="12" t="str">
        <f t="shared" ref="AS301:AS304" ca="1" si="1089">IF(AG301="-",AE301,INDIRECT(ADDRESS(ROW()-1,COLUMN())))</f>
        <v>EE_MLX_ID0_CP</v>
      </c>
    </row>
    <row r="302" spans="1:1029" ht="25.5">
      <c r="B302" s="55" t="str">
        <f t="shared" ca="1" si="743"/>
        <v>MLX</v>
      </c>
      <c r="C302" s="55" t="s">
        <v>58</v>
      </c>
      <c r="D302" s="56" t="str">
        <f>RIGHT(C301,LEN(C301)-3)</f>
        <v>MLX_ID0_CP</v>
      </c>
      <c r="E302" s="57" t="str">
        <f ca="1">INDIRECT(ADDRESS(ROW()-1,COLUMN()))</f>
        <v>0x10C2</v>
      </c>
      <c r="F302" s="57">
        <v>16</v>
      </c>
      <c r="G302" s="57">
        <v>0</v>
      </c>
      <c r="H302" s="57">
        <v>0</v>
      </c>
      <c r="I302" s="57" t="s">
        <v>63</v>
      </c>
      <c r="J302" s="50" t="str">
        <f t="shared" si="1074"/>
        <v>[15:0]</v>
      </c>
      <c r="K302" s="50">
        <f t="shared" si="1075"/>
        <v>0</v>
      </c>
      <c r="L302" s="50">
        <f t="shared" si="1076"/>
        <v>65535</v>
      </c>
      <c r="M302" s="159" t="s">
        <v>672</v>
      </c>
      <c r="N302" s="28"/>
      <c r="O302" s="57">
        <v>0</v>
      </c>
      <c r="P302" s="57">
        <f>O302</f>
        <v>0</v>
      </c>
      <c r="Q302" s="57">
        <f>O302</f>
        <v>0</v>
      </c>
      <c r="R302" s="57">
        <f>O302</f>
        <v>0</v>
      </c>
      <c r="S302" s="163">
        <f>P302</f>
        <v>0</v>
      </c>
      <c r="T302" s="163">
        <v>0</v>
      </c>
      <c r="U302" s="163">
        <f>S302</f>
        <v>0</v>
      </c>
      <c r="V302" s="163">
        <f t="shared" si="995"/>
        <v>0</v>
      </c>
      <c r="W302" s="59"/>
      <c r="X302" s="57">
        <v>0</v>
      </c>
      <c r="Y302" s="32"/>
      <c r="AC302" s="12" t="b">
        <f t="shared" si="1003"/>
        <v>1</v>
      </c>
      <c r="AD302" s="12" t="str">
        <f t="shared" si="1077"/>
        <v>-</v>
      </c>
      <c r="AE302" s="12" t="str">
        <f t="shared" si="1078"/>
        <v>-</v>
      </c>
      <c r="AF302" s="12" t="str">
        <f t="shared" ca="1" si="1079"/>
        <v>0x10C2</v>
      </c>
      <c r="AG302" s="12" t="str">
        <f t="shared" si="1080"/>
        <v>MLX_ID0_CP</v>
      </c>
      <c r="AH302" s="12">
        <f t="shared" si="1081"/>
        <v>16</v>
      </c>
      <c r="AI302" s="12">
        <f t="shared" si="1082"/>
        <v>15</v>
      </c>
      <c r="AJ302" s="12">
        <f t="shared" si="1083"/>
        <v>0</v>
      </c>
      <c r="AK302" s="12">
        <f t="shared" si="1084"/>
        <v>65535</v>
      </c>
      <c r="AL302" s="12" t="str">
        <f t="shared" si="1085"/>
        <v>-</v>
      </c>
      <c r="AM302" s="22">
        <f t="shared" si="1004"/>
        <v>0</v>
      </c>
      <c r="AN302" s="12">
        <f t="shared" si="1086"/>
        <v>0</v>
      </c>
      <c r="AO302" s="22" t="str">
        <f ca="1">IF(AF302="-",VLOOKUP(AD302,MemoryView!$A$3:$F$108,6,0),MID(VLOOKUP(AF302,MemoryView!$BD$3:$BE$108,2,0),15-AI302+1,AH302))</f>
        <v>0000000000000000</v>
      </c>
      <c r="AP302" s="22">
        <f t="shared" ref="AP302:AP304" ca="1" si="1090">IF(AF302="-",HEX2DEC(AO302),IF(LEN(AO302)&gt;8,BIN2DEC(LEFT(AO302,LEN(AO302)-8))*2^8+BIN2DEC(RIGHT(AO302,8)),BIN2DEC(AO302)))</f>
        <v>0</v>
      </c>
      <c r="AQ302" s="53" t="str">
        <f t="shared" si="1087"/>
        <v>`EE_MNG.MLX_ID0_CP.SET(0);        // [0..65535]</v>
      </c>
      <c r="AR302" s="54" t="str">
        <f t="shared" ca="1" si="1088"/>
        <v>EE_MEM #(`PARAM(16'h10C2, 0, 16, 0)) MLX_ID0_CP(); bit unsigned [16-1:0] MLX_ID0_CP_V; assign MLX_ID0_CP_V = MLX_ID0_CP.GET;</v>
      </c>
      <c r="AS302" s="12" t="str">
        <f t="shared" ca="1" si="1089"/>
        <v>EE_MLX_ID0_CP</v>
      </c>
    </row>
    <row r="303" spans="1:1029">
      <c r="B303" s="47" t="str">
        <f t="shared" ca="1" si="743"/>
        <v>MLX</v>
      </c>
      <c r="C303" s="47" t="s">
        <v>625</v>
      </c>
      <c r="D303" s="48" t="s">
        <v>58</v>
      </c>
      <c r="E303" s="60" t="str">
        <f ca="1">"0x"&amp;DEC2HEX(HEX2DEC(RIGHT(INDIRECT(ADDRESS(ROW()-1,COLUMN())),4))+2,4)</f>
        <v>0x10C4</v>
      </c>
      <c r="F303" s="49">
        <v>16</v>
      </c>
      <c r="G303" s="49">
        <v>0</v>
      </c>
      <c r="H303" s="49">
        <v>0</v>
      </c>
      <c r="I303" s="49" t="s">
        <v>58</v>
      </c>
      <c r="J303" s="50" t="str">
        <f t="shared" si="1074"/>
        <v>-</v>
      </c>
      <c r="K303" s="50">
        <f t="shared" si="1075"/>
        <v>0</v>
      </c>
      <c r="L303" s="50">
        <f t="shared" si="1076"/>
        <v>65535</v>
      </c>
      <c r="M303" s="51" t="s">
        <v>629</v>
      </c>
      <c r="N303" s="28"/>
      <c r="O303" s="52"/>
      <c r="P303" s="52"/>
      <c r="Q303" s="52"/>
      <c r="R303" s="52"/>
      <c r="S303" s="140"/>
      <c r="T303" s="165"/>
      <c r="U303" s="165"/>
      <c r="V303" s="165"/>
      <c r="W303" s="28"/>
      <c r="X303" s="52">
        <f t="shared" ref="X303:X304" ca="1" si="1091">IF(H303=0,AP303,    IF(AP303&lt;=2^(F303-1)-1,AP303,AP303-2^F303)  )</f>
        <v>0</v>
      </c>
      <c r="Y303" s="32"/>
      <c r="AC303" s="12">
        <f t="shared" si="1003"/>
        <v>1</v>
      </c>
      <c r="AD303" s="12" t="str">
        <f t="shared" ca="1" si="1077"/>
        <v>0x10C4</v>
      </c>
      <c r="AE303" s="12" t="str">
        <f t="shared" si="1078"/>
        <v>EE_MLX_ID1_CP</v>
      </c>
      <c r="AF303" s="12" t="str">
        <f t="shared" si="1079"/>
        <v>-</v>
      </c>
      <c r="AG303" s="12" t="str">
        <f t="shared" si="1080"/>
        <v>-</v>
      </c>
      <c r="AH303" s="12" t="str">
        <f t="shared" si="1081"/>
        <v>-</v>
      </c>
      <c r="AI303" s="12" t="str">
        <f t="shared" si="1082"/>
        <v>-</v>
      </c>
      <c r="AJ303" s="12" t="str">
        <f t="shared" si="1083"/>
        <v>-</v>
      </c>
      <c r="AK303" s="12" t="str">
        <f t="shared" ca="1" si="1084"/>
        <v>0x10C4</v>
      </c>
      <c r="AL303" s="12" t="str">
        <f t="shared" ca="1" si="1085"/>
        <v>MLX</v>
      </c>
      <c r="AM303" s="22">
        <f t="shared" si="1004"/>
        <v>0</v>
      </c>
      <c r="AN303" s="12" t="str">
        <f t="shared" ca="1" si="1086"/>
        <v>0x10C4</v>
      </c>
      <c r="AO303" s="22" t="str">
        <f ca="1">IF(AF303="-",VLOOKUP(AD303,MemoryView!$A$3:$F$108,6,0),MID(VLOOKUP(AF303,MemoryView!$BD$3:$BE$108,2,0),15-AI303+1,AH303))</f>
        <v>0000</v>
      </c>
      <c r="AP303" s="22">
        <f t="shared" ca="1" si="1090"/>
        <v>0</v>
      </c>
      <c r="AQ303" s="53" t="str">
        <f t="shared" si="1087"/>
        <v>-</v>
      </c>
      <c r="AR303" s="54" t="str">
        <f t="shared" ca="1" si="1088"/>
        <v>EE_MEM #(`PARAM(16'h10C4, 0, 16, 0)) EE_MLX_ID1_CP(); bit unsigned [16-1:0] EE_MLX_ID1_CP_V; assign EE_MLX_ID1_CP_V = EE_MLX_ID1_CP.GET;</v>
      </c>
      <c r="AS303" s="12" t="str">
        <f t="shared" ca="1" si="1089"/>
        <v>EE_MLX_ID1_CP</v>
      </c>
    </row>
    <row r="304" spans="1:1029" ht="25.5">
      <c r="B304" s="55" t="str">
        <f t="shared" ca="1" si="743"/>
        <v>MLX</v>
      </c>
      <c r="C304" s="55" t="s">
        <v>58</v>
      </c>
      <c r="D304" s="56" t="str">
        <f>RIGHT(C303,LEN(C303)-3)</f>
        <v>MLX_ID1_CP</v>
      </c>
      <c r="E304" s="57" t="str">
        <f ca="1">INDIRECT(ADDRESS(ROW()-1,COLUMN()))</f>
        <v>0x10C4</v>
      </c>
      <c r="F304" s="57">
        <v>16</v>
      </c>
      <c r="G304" s="57">
        <v>0</v>
      </c>
      <c r="H304" s="57">
        <v>0</v>
      </c>
      <c r="I304" s="57" t="s">
        <v>63</v>
      </c>
      <c r="J304" s="50" t="str">
        <f t="shared" si="1074"/>
        <v>[15:0]</v>
      </c>
      <c r="K304" s="50">
        <f t="shared" si="1075"/>
        <v>0</v>
      </c>
      <c r="L304" s="50">
        <f t="shared" si="1076"/>
        <v>65535</v>
      </c>
      <c r="M304" s="159" t="s">
        <v>673</v>
      </c>
      <c r="N304" s="28"/>
      <c r="O304" s="57">
        <v>0</v>
      </c>
      <c r="P304" s="57">
        <f>O304</f>
        <v>0</v>
      </c>
      <c r="Q304" s="57">
        <f>O304</f>
        <v>0</v>
      </c>
      <c r="R304" s="57">
        <f>O304</f>
        <v>0</v>
      </c>
      <c r="S304" s="163">
        <f>P304</f>
        <v>0</v>
      </c>
      <c r="T304" s="163">
        <v>0</v>
      </c>
      <c r="U304" s="163">
        <f>S304</f>
        <v>0</v>
      </c>
      <c r="V304" s="163">
        <f t="shared" si="995"/>
        <v>0</v>
      </c>
      <c r="W304" s="59"/>
      <c r="X304" s="57">
        <f t="shared" ca="1" si="1091"/>
        <v>0</v>
      </c>
      <c r="Y304" s="32"/>
      <c r="AC304" s="12" t="b">
        <f t="shared" si="1003"/>
        <v>1</v>
      </c>
      <c r="AD304" s="12" t="str">
        <f t="shared" si="1077"/>
        <v>-</v>
      </c>
      <c r="AE304" s="12" t="str">
        <f t="shared" si="1078"/>
        <v>-</v>
      </c>
      <c r="AF304" s="12" t="str">
        <f t="shared" ca="1" si="1079"/>
        <v>0x10C4</v>
      </c>
      <c r="AG304" s="12" t="str">
        <f t="shared" si="1080"/>
        <v>MLX_ID1_CP</v>
      </c>
      <c r="AH304" s="12">
        <f t="shared" si="1081"/>
        <v>16</v>
      </c>
      <c r="AI304" s="12">
        <f t="shared" si="1082"/>
        <v>15</v>
      </c>
      <c r="AJ304" s="12">
        <f t="shared" si="1083"/>
        <v>0</v>
      </c>
      <c r="AK304" s="12">
        <f t="shared" si="1084"/>
        <v>65535</v>
      </c>
      <c r="AL304" s="12" t="str">
        <f t="shared" si="1085"/>
        <v>-</v>
      </c>
      <c r="AM304" s="22">
        <f t="shared" si="1004"/>
        <v>0</v>
      </c>
      <c r="AN304" s="12">
        <f t="shared" si="1086"/>
        <v>0</v>
      </c>
      <c r="AO304" s="22" t="str">
        <f ca="1">IF(AF304="-",VLOOKUP(AD304,MemoryView!$A$3:$F$108,6,0),MID(VLOOKUP(AF304,MemoryView!$BD$3:$BE$108,2,0),15-AI304+1,AH304))</f>
        <v>0000000000000000</v>
      </c>
      <c r="AP304" s="22">
        <f t="shared" ca="1" si="1090"/>
        <v>0</v>
      </c>
      <c r="AQ304" s="53" t="str">
        <f t="shared" si="1087"/>
        <v>`EE_MNG.MLX_ID1_CP.SET(0);        // [0..65535]</v>
      </c>
      <c r="AR304" s="54" t="str">
        <f t="shared" ca="1" si="1088"/>
        <v>EE_MEM #(`PARAM(16'h10C4, 0, 16, 0)) MLX_ID1_CP(); bit unsigned [16-1:0] MLX_ID1_CP_V; assign MLX_ID1_CP_V = MLX_ID1_CP.GET;</v>
      </c>
      <c r="AS304" s="12" t="str">
        <f t="shared" ca="1" si="1089"/>
        <v>EE_MLX_ID1_CP</v>
      </c>
    </row>
    <row r="305" spans="1:45">
      <c r="B305" s="47" t="str">
        <f t="shared" ca="1" si="743"/>
        <v>MLX</v>
      </c>
      <c r="C305" s="47" t="s">
        <v>626</v>
      </c>
      <c r="D305" s="48" t="s">
        <v>58</v>
      </c>
      <c r="E305" s="60" t="str">
        <f ca="1">"0x"&amp;DEC2HEX(HEX2DEC(RIGHT(INDIRECT(ADDRESS(ROW()-1,COLUMN())),4))+2,4)</f>
        <v>0x10C6</v>
      </c>
      <c r="F305" s="49">
        <v>16</v>
      </c>
      <c r="G305" s="49">
        <v>0</v>
      </c>
      <c r="H305" s="49">
        <v>0</v>
      </c>
      <c r="I305" s="49" t="s">
        <v>58</v>
      </c>
      <c r="J305" s="50" t="str">
        <f t="shared" ref="J305:J306" si="1092">IF(D305&lt;&gt;"-","["&amp;AI305&amp;":"&amp;AJ305&amp;"]","-")</f>
        <v>-</v>
      </c>
      <c r="K305" s="50">
        <f t="shared" ref="K305:K306" si="1093">IF(H305,-L305-1,0)</f>
        <v>0</v>
      </c>
      <c r="L305" s="50">
        <f t="shared" ref="L305:L306" si="1094">IF(H305,FLOOR((2^F305-1)/2,1),2^F305-1)</f>
        <v>65535</v>
      </c>
      <c r="M305" s="51" t="s">
        <v>630</v>
      </c>
      <c r="N305" s="28"/>
      <c r="O305" s="52"/>
      <c r="P305" s="52"/>
      <c r="Q305" s="52"/>
      <c r="R305" s="52"/>
      <c r="S305" s="140"/>
      <c r="T305" s="165"/>
      <c r="U305" s="165"/>
      <c r="V305" s="165"/>
      <c r="W305" s="28"/>
      <c r="X305" s="52">
        <f t="shared" ref="X305:X306" ca="1" si="1095">IF(H305=0,AP305,    IF(AP305&lt;=2^(F305-1)-1,AP305,AP305-2^F305)  )</f>
        <v>0</v>
      </c>
      <c r="Y305" s="32"/>
      <c r="AC305" s="12">
        <f t="shared" si="1003"/>
        <v>1</v>
      </c>
      <c r="AD305" s="12" t="str">
        <f t="shared" ref="AD305:AD306" ca="1" si="1096">IF(AND(D305="-",C305&lt;&gt;"-"),E305,"-")</f>
        <v>0x10C6</v>
      </c>
      <c r="AE305" s="12" t="str">
        <f t="shared" ref="AE305:AE306" si="1097">IF(D305="-",C305,"-")</f>
        <v>EE_MLX_ID2_CP</v>
      </c>
      <c r="AF305" s="12" t="str">
        <f t="shared" ref="AF305:AF306" si="1098">IF(AND(D305&lt;&gt;"-",ISTEXT(D305)),E305,"-")</f>
        <v>-</v>
      </c>
      <c r="AG305" s="12" t="str">
        <f t="shared" ref="AG305:AG306" si="1099">IF(AND(D305&lt;&gt;"-",ISTEXT(D305)),D305,"-")</f>
        <v>-</v>
      </c>
      <c r="AH305" s="12" t="str">
        <f t="shared" ref="AH305:AH306" si="1100">IF(D305&lt;&gt;"-",F305,"-")</f>
        <v>-</v>
      </c>
      <c r="AI305" s="12" t="str">
        <f t="shared" ref="AI305:AI306" si="1101">IF(D305&lt;&gt;"-",G305+F305-1,"-")</f>
        <v>-</v>
      </c>
      <c r="AJ305" s="12" t="str">
        <f t="shared" ref="AJ305:AJ306" si="1102">IF(D305&lt;&gt;"-",G305,"-")</f>
        <v>-</v>
      </c>
      <c r="AK305" s="12" t="str">
        <f t="shared" ref="AK305:AK306" ca="1" si="1103">IF(OR(AH305="-",AJ305="-"),AD305,(2^AH305-1)*2^AJ305)</f>
        <v>0x10C6</v>
      </c>
      <c r="AL305" s="12" t="str">
        <f t="shared" ref="AL305:AL306" ca="1" si="1104">IF(D305="-",B305,"-")</f>
        <v>MLX</v>
      </c>
      <c r="AM305" s="22">
        <f t="shared" si="1004"/>
        <v>0</v>
      </c>
      <c r="AN305" s="12" t="str">
        <f t="shared" ref="AN305:AN306" ca="1" si="1105">IF(OR(AH305="-",AJ305="-"),AD305,IF(AM305&lt;0,AM305+2^AH305,AM305)*2^AJ305)</f>
        <v>0x10C6</v>
      </c>
      <c r="AO305" s="22" t="str">
        <f ca="1">IF(AF305="-",VLOOKUP(AD305,MemoryView!$A$3:$F$108,6,0),MID(VLOOKUP(AF305,MemoryView!$BD$3:$BE$108,2,0),15-AI305+1,AH305))</f>
        <v>0000</v>
      </c>
      <c r="AP305" s="22">
        <f t="shared" ref="AP305:AP306" ca="1" si="1106">IF(AF305="-",HEX2DEC(AO305),IF(LEN(AO305)&gt;8,BIN2DEC(LEFT(AO305,LEN(AO305)-8))*2^8+BIN2DEC(RIGHT(AO305,8)),BIN2DEC(AO305)))</f>
        <v>0</v>
      </c>
      <c r="AQ305" s="53" t="str">
        <f t="shared" ref="AQ305:AQ306" si="1107">IF(AG305&lt;&gt;"-",CONCATENATE("`EE_MNG.",AG305,".SET(",AM305,");        // [",K305,"..",L305,"]"),"-")</f>
        <v>-</v>
      </c>
      <c r="AR305" s="54" t="str">
        <f t="shared" ref="AR305:AR306" ca="1" si="1108">IF(AND(AD305="-",AE305="-",AF305="-",AG305="-"),"-",IF(AG305&lt;&gt;"-",CONCATENATE("EE_MEM #(`PARAM(16'h",RIGHT(AF305,4),", ",G305,", ",F305,", ",H305,")) ",AG305,"(); bit ",IF(H305=0,"unsigned [","signed ["),F305,"-1:0] ", AG305,"_V; assign ",AG305,"_V = ",AG305,".GET;"), CONCATENATE("EE_MEM #(`PARAM(16'h",RIGHT(AD305,4),", ",G305,", ",F305,", ",H305,")) ",AE305,"(); bit ",IF(H305=0,"unsigned [","signed ["),F305,"-1:0] ", AE305,"_V; assign ",AE305,"_V = ",AE305,".GET;")))</f>
        <v>EE_MEM #(`PARAM(16'h10C6, 0, 16, 0)) EE_MLX_ID2_CP(); bit unsigned [16-1:0] EE_MLX_ID2_CP_V; assign EE_MLX_ID2_CP_V = EE_MLX_ID2_CP.GET;</v>
      </c>
      <c r="AS305" s="12" t="str">
        <f t="shared" ref="AS305:AS306" ca="1" si="1109">IF(AG305="-",AE305,INDIRECT(ADDRESS(ROW()-1,COLUMN())))</f>
        <v>EE_MLX_ID2_CP</v>
      </c>
    </row>
    <row r="306" spans="1:45" ht="25.5">
      <c r="B306" s="55" t="str">
        <f t="shared" ca="1" si="743"/>
        <v>MLX</v>
      </c>
      <c r="C306" s="55" t="s">
        <v>58</v>
      </c>
      <c r="D306" s="56" t="str">
        <f>RIGHT(C305,LEN(C305)-3)</f>
        <v>MLX_ID2_CP</v>
      </c>
      <c r="E306" s="57" t="str">
        <f ca="1">INDIRECT(ADDRESS(ROW()-1,COLUMN()))</f>
        <v>0x10C6</v>
      </c>
      <c r="F306" s="57">
        <v>16</v>
      </c>
      <c r="G306" s="57">
        <v>0</v>
      </c>
      <c r="H306" s="57">
        <v>0</v>
      </c>
      <c r="I306" s="57" t="s">
        <v>63</v>
      </c>
      <c r="J306" s="50" t="str">
        <f t="shared" si="1092"/>
        <v>[15:0]</v>
      </c>
      <c r="K306" s="50">
        <f t="shared" si="1093"/>
        <v>0</v>
      </c>
      <c r="L306" s="50">
        <f t="shared" si="1094"/>
        <v>65535</v>
      </c>
      <c r="M306" s="159" t="s">
        <v>674</v>
      </c>
      <c r="N306" s="28"/>
      <c r="O306" s="57">
        <v>0</v>
      </c>
      <c r="P306" s="57">
        <f>O306</f>
        <v>0</v>
      </c>
      <c r="Q306" s="57">
        <f>O306</f>
        <v>0</v>
      </c>
      <c r="R306" s="57">
        <f>O306</f>
        <v>0</v>
      </c>
      <c r="S306" s="163">
        <f>P306</f>
        <v>0</v>
      </c>
      <c r="T306" s="163">
        <v>0</v>
      </c>
      <c r="U306" s="163">
        <f>S306</f>
        <v>0</v>
      </c>
      <c r="V306" s="163">
        <f t="shared" si="995"/>
        <v>0</v>
      </c>
      <c r="W306" s="59"/>
      <c r="X306" s="57">
        <f t="shared" ca="1" si="1095"/>
        <v>0</v>
      </c>
      <c r="Y306" s="32"/>
      <c r="AC306" s="12" t="b">
        <f t="shared" si="1003"/>
        <v>1</v>
      </c>
      <c r="AD306" s="12" t="str">
        <f t="shared" si="1096"/>
        <v>-</v>
      </c>
      <c r="AE306" s="12" t="str">
        <f t="shared" si="1097"/>
        <v>-</v>
      </c>
      <c r="AF306" s="12" t="str">
        <f t="shared" ca="1" si="1098"/>
        <v>0x10C6</v>
      </c>
      <c r="AG306" s="12" t="str">
        <f t="shared" si="1099"/>
        <v>MLX_ID2_CP</v>
      </c>
      <c r="AH306" s="12">
        <f t="shared" si="1100"/>
        <v>16</v>
      </c>
      <c r="AI306" s="12">
        <f t="shared" si="1101"/>
        <v>15</v>
      </c>
      <c r="AJ306" s="12">
        <f t="shared" si="1102"/>
        <v>0</v>
      </c>
      <c r="AK306" s="12">
        <f t="shared" si="1103"/>
        <v>65535</v>
      </c>
      <c r="AL306" s="12" t="str">
        <f t="shared" si="1104"/>
        <v>-</v>
      </c>
      <c r="AM306" s="22">
        <f t="shared" si="1004"/>
        <v>0</v>
      </c>
      <c r="AN306" s="12">
        <f t="shared" si="1105"/>
        <v>0</v>
      </c>
      <c r="AO306" s="22" t="str">
        <f ca="1">IF(AF306="-",VLOOKUP(AD306,MemoryView!$A$3:$F$108,6,0),MID(VLOOKUP(AF306,MemoryView!$BD$3:$BE$108,2,0),15-AI306+1,AH306))</f>
        <v>0000000000000000</v>
      </c>
      <c r="AP306" s="22">
        <f t="shared" ca="1" si="1106"/>
        <v>0</v>
      </c>
      <c r="AQ306" s="53" t="str">
        <f t="shared" si="1107"/>
        <v>`EE_MNG.MLX_ID2_CP.SET(0);        // [0..65535]</v>
      </c>
      <c r="AR306" s="54" t="str">
        <f t="shared" ca="1" si="1108"/>
        <v>EE_MEM #(`PARAM(16'h10C6, 0, 16, 0)) MLX_ID2_CP(); bit unsigned [16-1:0] MLX_ID2_CP_V; assign MLX_ID2_CP_V = MLX_ID2_CP.GET;</v>
      </c>
      <c r="AS306" s="12" t="str">
        <f t="shared" ca="1" si="1109"/>
        <v>EE_MLX_ID2_CP</v>
      </c>
    </row>
    <row r="307" spans="1:45">
      <c r="B307" s="47" t="s">
        <v>234</v>
      </c>
      <c r="C307" s="47" t="s">
        <v>235</v>
      </c>
      <c r="D307" s="48" t="s">
        <v>58</v>
      </c>
      <c r="E307" s="60" t="str">
        <f ca="1">"0x"&amp;DEC2HEX(HEX2DEC(RIGHT(INDIRECT(ADDRESS(ROW()-1,COLUMN())),4))+2,4)</f>
        <v>0x10C8</v>
      </c>
      <c r="F307" s="49">
        <v>16</v>
      </c>
      <c r="G307" s="49">
        <v>0</v>
      </c>
      <c r="H307" s="49">
        <v>0</v>
      </c>
      <c r="I307" s="49" t="s">
        <v>58</v>
      </c>
      <c r="J307" s="50" t="str">
        <f t="shared" ref="J307:J318" si="1110">IF(D307&lt;&gt;"-","["&amp;AI307&amp;":"&amp;AJ307&amp;"]","-")</f>
        <v>-</v>
      </c>
      <c r="K307" s="50">
        <f t="shared" ref="K307:K318" si="1111">IF(H307,-L307-1,0)</f>
        <v>0</v>
      </c>
      <c r="L307" s="50">
        <f t="shared" ref="L307:L318" si="1112">IF(H307,FLOOR((2^F307-1)/2,1),2^F307-1)</f>
        <v>65535</v>
      </c>
      <c r="M307" s="51" t="s">
        <v>236</v>
      </c>
      <c r="N307" s="28"/>
      <c r="O307" s="52"/>
      <c r="P307" s="52"/>
      <c r="Q307" s="52"/>
      <c r="R307" s="52"/>
      <c r="S307" s="140"/>
      <c r="T307" s="165"/>
      <c r="U307" s="165"/>
      <c r="V307" s="165"/>
      <c r="W307" s="28"/>
      <c r="X307" s="52">
        <f t="shared" ref="X307:X318" ca="1" si="1113">IF(H307=0,AP307,    IF(AP307&lt;=2^(F307-1)-1,AP307,AP307-2^F307)  )</f>
        <v>0</v>
      </c>
      <c r="Y307" s="32"/>
      <c r="AC307" s="12">
        <f t="shared" si="1003"/>
        <v>1</v>
      </c>
      <c r="AD307" s="12" t="str">
        <f t="shared" ref="AD307:AD318" ca="1" si="1114">IF(AND(D307="-",C307&lt;&gt;"-"),E307,"-")</f>
        <v>0x10C8</v>
      </c>
      <c r="AE307" s="12" t="str">
        <f t="shared" ref="AE307:AE318" si="1115">IF(D307="-",C307,"-")</f>
        <v>EE_TRACEABILITY</v>
      </c>
      <c r="AF307" s="12" t="str">
        <f t="shared" ref="AF307:AF318" si="1116">IF(AND(D307&lt;&gt;"-",ISTEXT(D307)),E307,"-")</f>
        <v>-</v>
      </c>
      <c r="AG307" s="12" t="str">
        <f t="shared" ref="AG307:AG318" si="1117">IF(AND(D307&lt;&gt;"-",ISTEXT(D307)),D307,"-")</f>
        <v>-</v>
      </c>
      <c r="AH307" s="12" t="str">
        <f t="shared" ref="AH307:AH318" si="1118">IF(D307&lt;&gt;"-",F307,"-")</f>
        <v>-</v>
      </c>
      <c r="AI307" s="12" t="str">
        <f t="shared" ref="AI307:AI318" si="1119">IF(D307&lt;&gt;"-",G307+F307-1,"-")</f>
        <v>-</v>
      </c>
      <c r="AJ307" s="12" t="str">
        <f t="shared" ref="AJ307:AJ318" si="1120">IF(D307&lt;&gt;"-",G307,"-")</f>
        <v>-</v>
      </c>
      <c r="AK307" s="12" t="str">
        <f t="shared" ref="AK307:AK318" ca="1" si="1121">IF(OR(AH307="-",AJ307="-"),AD307,(2^AH307-1)*2^AJ307)</f>
        <v>0x10C8</v>
      </c>
      <c r="AL307" s="12" t="str">
        <f t="shared" ref="AL307:AL318" si="1122">IF(D307="-",B307,"-")</f>
        <v>MLX_PROD</v>
      </c>
      <c r="AM307" s="22">
        <f t="shared" si="1004"/>
        <v>0</v>
      </c>
      <c r="AN307" s="12" t="str">
        <f t="shared" ref="AN307:AN318" ca="1" si="1123">IF(OR(AH307="-",AJ307="-"),AD307,IF(AM307&lt;0,AM307+2^AH307,AM307)*2^AJ307)</f>
        <v>0x10C8</v>
      </c>
      <c r="AO307" s="22" t="str">
        <f ca="1">IF(AF307="-",VLOOKUP(AD307,MemoryView!$A$3:$F$108,6,0),MID(VLOOKUP(AF307,MemoryView!$BD$3:$BE$108,2,0),15-AI307+1,AH307))</f>
        <v>0000</v>
      </c>
      <c r="AP307" s="22">
        <f t="shared" ref="AP307:AP318" ca="1" si="1124">IF(AF307="-",HEX2DEC(AO307),IF(LEN(AO307)&gt;8,BIN2DEC(LEFT(AO307,LEN(AO307)-8))*2^8+BIN2DEC(RIGHT(AO307,8)),BIN2DEC(AO307)))</f>
        <v>0</v>
      </c>
      <c r="AQ307" s="53" t="str">
        <f t="shared" ref="AQ307:AQ318" si="1125">IF(AG307&lt;&gt;"-",CONCATENATE("`EE_MNG.",AG307,".SET(",AM307,");        // [",K307,"..",L307,"]"),"-")</f>
        <v>-</v>
      </c>
      <c r="AR307" s="54" t="str">
        <f t="shared" ref="AR307:AR318" ca="1" si="1126">IF(AND(AD307="-",AE307="-",AF307="-",AG307="-"),"-",IF(AG307&lt;&gt;"-",CONCATENATE("EE_MEM #(`PARAM(16'h",RIGHT(AF307,4),", ",G307,", ",F307,", ",H307,")) ",AG307,"(); bit ",IF(H307=0,"unsigned [","signed ["),F307,"-1:0] ", AG307,"_V; assign ",AG307,"_V = ",AG307,".GET;"), CONCATENATE("EE_MEM #(`PARAM(16'h",RIGHT(AD307,4),", ",G307,", ",F307,", ",H307,")) ",AE307,"(); bit ",IF(H307=0,"unsigned [","signed ["),F307,"-1:0] ", AE307,"_V; assign ",AE307,"_V = ",AE307,".GET;")))</f>
        <v>EE_MEM #(`PARAM(16'h10C8, 0, 16, 0)) EE_TRACEABILITY(); bit unsigned [16-1:0] EE_TRACEABILITY_V; assign EE_TRACEABILITY_V = EE_TRACEABILITY.GET;</v>
      </c>
      <c r="AS307" s="12" t="str">
        <f t="shared" ref="AS307:AS318" ca="1" si="1127">IF(AG307="-",AE307,INDIRECT(ADDRESS(ROW()-1,COLUMN())))</f>
        <v>EE_TRACEABILITY</v>
      </c>
    </row>
    <row r="308" spans="1:45">
      <c r="B308" s="55" t="str">
        <f t="shared" ref="B308:B318" ca="1" si="1128">INDIRECT(ADDRESS(ROW()-1,COLUMN()))</f>
        <v>MLX_PROD</v>
      </c>
      <c r="C308" s="55" t="s">
        <v>58</v>
      </c>
      <c r="D308" s="56" t="str">
        <f>RIGHT(C307,LEN(C307)-3)</f>
        <v>TRACEABILITY</v>
      </c>
      <c r="E308" s="57" t="str">
        <f ca="1">INDIRECT(ADDRESS(ROW()-1,COLUMN()))</f>
        <v>0x10C8</v>
      </c>
      <c r="F308" s="57">
        <v>16</v>
      </c>
      <c r="G308" s="57">
        <v>0</v>
      </c>
      <c r="H308" s="57">
        <v>0</v>
      </c>
      <c r="I308" s="57" t="s">
        <v>63</v>
      </c>
      <c r="J308" s="50" t="str">
        <f t="shared" si="1110"/>
        <v>[15:0]</v>
      </c>
      <c r="K308" s="50">
        <f t="shared" si="1111"/>
        <v>0</v>
      </c>
      <c r="L308" s="50">
        <f t="shared" si="1112"/>
        <v>65535</v>
      </c>
      <c r="M308" s="58" t="s">
        <v>237</v>
      </c>
      <c r="N308" s="28"/>
      <c r="O308" s="57">
        <v>0</v>
      </c>
      <c r="P308" s="57">
        <f>O308</f>
        <v>0</v>
      </c>
      <c r="Q308" s="57">
        <f>O308</f>
        <v>0</v>
      </c>
      <c r="R308" s="57">
        <f>O308</f>
        <v>0</v>
      </c>
      <c r="S308" s="163">
        <f>P308</f>
        <v>0</v>
      </c>
      <c r="T308" s="163">
        <v>0</v>
      </c>
      <c r="U308" s="163">
        <f>S308</f>
        <v>0</v>
      </c>
      <c r="V308" s="163">
        <f t="shared" si="995"/>
        <v>0</v>
      </c>
      <c r="W308" s="59"/>
      <c r="X308" s="57">
        <f t="shared" ca="1" si="1113"/>
        <v>0</v>
      </c>
      <c r="Y308" s="32"/>
      <c r="AC308" s="12" t="b">
        <f t="shared" si="1003"/>
        <v>1</v>
      </c>
      <c r="AD308" s="12" t="str">
        <f t="shared" si="1114"/>
        <v>-</v>
      </c>
      <c r="AE308" s="12" t="str">
        <f t="shared" si="1115"/>
        <v>-</v>
      </c>
      <c r="AF308" s="12" t="str">
        <f t="shared" ca="1" si="1116"/>
        <v>0x10C8</v>
      </c>
      <c r="AG308" s="12" t="str">
        <f t="shared" si="1117"/>
        <v>TRACEABILITY</v>
      </c>
      <c r="AH308" s="12">
        <f t="shared" si="1118"/>
        <v>16</v>
      </c>
      <c r="AI308" s="12">
        <f t="shared" si="1119"/>
        <v>15</v>
      </c>
      <c r="AJ308" s="12">
        <f t="shared" si="1120"/>
        <v>0</v>
      </c>
      <c r="AK308" s="12">
        <f t="shared" si="1121"/>
        <v>65535</v>
      </c>
      <c r="AL308" s="12" t="str">
        <f t="shared" si="1122"/>
        <v>-</v>
      </c>
      <c r="AM308" s="22">
        <f t="shared" si="1004"/>
        <v>0</v>
      </c>
      <c r="AN308" s="12">
        <f t="shared" si="1123"/>
        <v>0</v>
      </c>
      <c r="AO308" s="22" t="str">
        <f ca="1">IF(AF308="-",VLOOKUP(AD308,MemoryView!$A$3:$F$108,6,0),MID(VLOOKUP(AF308,MemoryView!$BD$3:$BE$108,2,0),15-AI308+1,AH308))</f>
        <v>0000000000000000</v>
      </c>
      <c r="AP308" s="22">
        <f t="shared" ca="1" si="1124"/>
        <v>0</v>
      </c>
      <c r="AQ308" s="53" t="str">
        <f t="shared" si="1125"/>
        <v>`EE_MNG.TRACEABILITY.SET(0);        // [0..65535]</v>
      </c>
      <c r="AR308" s="54" t="str">
        <f t="shared" ca="1" si="1126"/>
        <v>EE_MEM #(`PARAM(16'h10C8, 0, 16, 0)) TRACEABILITY(); bit unsigned [16-1:0] TRACEABILITY_V; assign TRACEABILITY_V = TRACEABILITY.GET;</v>
      </c>
      <c r="AS308" s="12" t="str">
        <f t="shared" ca="1" si="1127"/>
        <v>EE_TRACEABILITY</v>
      </c>
    </row>
    <row r="309" spans="1:45">
      <c r="B309" s="47" t="str">
        <f t="shared" ca="1" si="1128"/>
        <v>MLX_PROD</v>
      </c>
      <c r="C309" s="47" t="s">
        <v>238</v>
      </c>
      <c r="D309" s="48" t="s">
        <v>58</v>
      </c>
      <c r="E309" s="60" t="str">
        <f ca="1">"0x"&amp;DEC2HEX(HEX2DEC(RIGHT(INDIRECT(ADDRESS(ROW()-1,COLUMN())),4))+2,4)</f>
        <v>0x10CA</v>
      </c>
      <c r="F309" s="49">
        <v>16</v>
      </c>
      <c r="G309" s="49">
        <v>0</v>
      </c>
      <c r="H309" s="49">
        <v>0</v>
      </c>
      <c r="I309" s="49" t="s">
        <v>58</v>
      </c>
      <c r="J309" s="50" t="str">
        <f t="shared" si="1110"/>
        <v>-</v>
      </c>
      <c r="K309" s="50">
        <f t="shared" si="1111"/>
        <v>0</v>
      </c>
      <c r="L309" s="50">
        <f t="shared" si="1112"/>
        <v>65535</v>
      </c>
      <c r="M309" s="51" t="s">
        <v>239</v>
      </c>
      <c r="N309" s="28"/>
      <c r="O309" s="52"/>
      <c r="P309" s="52"/>
      <c r="Q309" s="52"/>
      <c r="R309" s="52"/>
      <c r="S309" s="140"/>
      <c r="T309" s="165"/>
      <c r="U309" s="165"/>
      <c r="V309" s="165"/>
      <c r="W309" s="28"/>
      <c r="X309" s="52">
        <f t="shared" ca="1" si="1113"/>
        <v>0</v>
      </c>
      <c r="Y309" s="32"/>
      <c r="AC309" s="12">
        <f t="shared" ref="AC309:AC318" si="1129">IF($AG309="-",1,COUNTIF($AG$3:$AG$319,$AG309)&lt;2)</f>
        <v>1</v>
      </c>
      <c r="AD309" s="12" t="str">
        <f t="shared" ca="1" si="1114"/>
        <v>0x10CA</v>
      </c>
      <c r="AE309" s="12" t="str">
        <f t="shared" si="1115"/>
        <v>EE_MLX_ID0</v>
      </c>
      <c r="AF309" s="12" t="str">
        <f t="shared" si="1116"/>
        <v>-</v>
      </c>
      <c r="AG309" s="12" t="str">
        <f t="shared" si="1117"/>
        <v>-</v>
      </c>
      <c r="AH309" s="12" t="str">
        <f t="shared" si="1118"/>
        <v>-</v>
      </c>
      <c r="AI309" s="12" t="str">
        <f t="shared" si="1119"/>
        <v>-</v>
      </c>
      <c r="AJ309" s="12" t="str">
        <f t="shared" si="1120"/>
        <v>-</v>
      </c>
      <c r="AK309" s="12" t="str">
        <f t="shared" ca="1" si="1121"/>
        <v>0x10CA</v>
      </c>
      <c r="AL309" s="12" t="str">
        <f t="shared" ca="1" si="1122"/>
        <v>MLX_PROD</v>
      </c>
      <c r="AM309" s="22">
        <f t="shared" ref="AM309:AM318" si="1130">HLOOKUP($AM$2,$N$2:$W$319,ROW()-ROW($AM$2)+1,0)</f>
        <v>0</v>
      </c>
      <c r="AN309" s="12" t="str">
        <f t="shared" ca="1" si="1123"/>
        <v>0x10CA</v>
      </c>
      <c r="AO309" s="22" t="str">
        <f ca="1">IF(AF309="-",VLOOKUP(AD309,MemoryView!$A$3:$F$108,6,0),MID(VLOOKUP(AF309,MemoryView!$BD$3:$BE$108,2,0),15-AI309+1,AH309))</f>
        <v>0000</v>
      </c>
      <c r="AP309" s="22">
        <f t="shared" ca="1" si="1124"/>
        <v>0</v>
      </c>
      <c r="AQ309" s="53" t="str">
        <f t="shared" si="1125"/>
        <v>-</v>
      </c>
      <c r="AR309" s="54" t="str">
        <f t="shared" ca="1" si="1126"/>
        <v>EE_MEM #(`PARAM(16'h10CA, 0, 16, 0)) EE_MLX_ID0(); bit unsigned [16-1:0] EE_MLX_ID0_V; assign EE_MLX_ID0_V = EE_MLX_ID0.GET;</v>
      </c>
      <c r="AS309" s="12" t="str">
        <f t="shared" ca="1" si="1127"/>
        <v>EE_MLX_ID0</v>
      </c>
    </row>
    <row r="310" spans="1:45">
      <c r="B310" s="55" t="str">
        <f t="shared" ca="1" si="1128"/>
        <v>MLX_PROD</v>
      </c>
      <c r="C310" s="55" t="s">
        <v>58</v>
      </c>
      <c r="D310" s="56" t="s">
        <v>240</v>
      </c>
      <c r="E310" s="57" t="str">
        <f ca="1">INDIRECT(ADDRESS(ROW()-1,COLUMN()))</f>
        <v>0x10CA</v>
      </c>
      <c r="F310" s="57">
        <v>8</v>
      </c>
      <c r="G310" s="57">
        <v>8</v>
      </c>
      <c r="H310" s="57">
        <v>0</v>
      </c>
      <c r="I310" s="57" t="s">
        <v>63</v>
      </c>
      <c r="J310" s="50" t="str">
        <f t="shared" si="1110"/>
        <v>[15:8]</v>
      </c>
      <c r="K310" s="50">
        <f t="shared" si="1111"/>
        <v>0</v>
      </c>
      <c r="L310" s="50">
        <f t="shared" si="1112"/>
        <v>255</v>
      </c>
      <c r="M310" s="58" t="s">
        <v>239</v>
      </c>
      <c r="N310" s="28"/>
      <c r="O310" s="57">
        <v>0</v>
      </c>
      <c r="P310" s="57">
        <f t="shared" ref="P310:P311" si="1131">O310</f>
        <v>0</v>
      </c>
      <c r="Q310" s="57">
        <f t="shared" ref="Q310:Q311" si="1132">O310</f>
        <v>0</v>
      </c>
      <c r="R310" s="57">
        <f t="shared" ref="R310:S311" si="1133">O310</f>
        <v>0</v>
      </c>
      <c r="S310" s="163">
        <f t="shared" si="1133"/>
        <v>0</v>
      </c>
      <c r="T310" s="163">
        <v>0</v>
      </c>
      <c r="U310" s="163">
        <f>S310</f>
        <v>0</v>
      </c>
      <c r="V310" s="163">
        <f t="shared" si="995"/>
        <v>0</v>
      </c>
      <c r="W310" s="59"/>
      <c r="X310" s="57">
        <f t="shared" ca="1" si="1113"/>
        <v>0</v>
      </c>
      <c r="Y310" s="32"/>
      <c r="AC310" s="12" t="b">
        <f t="shared" si="1129"/>
        <v>1</v>
      </c>
      <c r="AD310" s="12" t="str">
        <f t="shared" si="1114"/>
        <v>-</v>
      </c>
      <c r="AE310" s="12" t="str">
        <f t="shared" si="1115"/>
        <v>-</v>
      </c>
      <c r="AF310" s="12" t="str">
        <f t="shared" ca="1" si="1116"/>
        <v>0x10CA</v>
      </c>
      <c r="AG310" s="12" t="str">
        <f t="shared" si="1117"/>
        <v>YPOS</v>
      </c>
      <c r="AH310" s="12">
        <f t="shared" si="1118"/>
        <v>8</v>
      </c>
      <c r="AI310" s="12">
        <f t="shared" si="1119"/>
        <v>15</v>
      </c>
      <c r="AJ310" s="12">
        <f t="shared" si="1120"/>
        <v>8</v>
      </c>
      <c r="AK310" s="12">
        <f t="shared" si="1121"/>
        <v>65280</v>
      </c>
      <c r="AL310" s="12" t="str">
        <f t="shared" si="1122"/>
        <v>-</v>
      </c>
      <c r="AM310" s="22">
        <f t="shared" si="1130"/>
        <v>0</v>
      </c>
      <c r="AN310" s="12">
        <f t="shared" si="1123"/>
        <v>0</v>
      </c>
      <c r="AO310" s="22" t="str">
        <f ca="1">IF(AF310="-",VLOOKUP(AD310,MemoryView!$A$3:$F$108,6,0),MID(VLOOKUP(AF310,MemoryView!$BD$3:$BE$108,2,0),15-AI310+1,AH310))</f>
        <v>00000000</v>
      </c>
      <c r="AP310" s="22">
        <f t="shared" ca="1" si="1124"/>
        <v>0</v>
      </c>
      <c r="AQ310" s="53" t="str">
        <f t="shared" si="1125"/>
        <v>`EE_MNG.YPOS.SET(0);        // [0..255]</v>
      </c>
      <c r="AR310" s="54" t="str">
        <f t="shared" ca="1" si="1126"/>
        <v>EE_MEM #(`PARAM(16'h10CA, 8, 8, 0)) YPOS(); bit unsigned [8-1:0] YPOS_V; assign YPOS_V = YPOS.GET;</v>
      </c>
      <c r="AS310" s="12" t="str">
        <f t="shared" ca="1" si="1127"/>
        <v>EE_MLX_ID0</v>
      </c>
    </row>
    <row r="311" spans="1:45">
      <c r="B311" s="55" t="str">
        <f t="shared" ca="1" si="1128"/>
        <v>MLX_PROD</v>
      </c>
      <c r="C311" s="55" t="s">
        <v>58</v>
      </c>
      <c r="D311" s="56" t="s">
        <v>241</v>
      </c>
      <c r="E311" s="57" t="str">
        <f ca="1">INDIRECT(ADDRESS(ROW()-1,COLUMN()))</f>
        <v>0x10CA</v>
      </c>
      <c r="F311" s="57">
        <v>8</v>
      </c>
      <c r="G311" s="57">
        <v>0</v>
      </c>
      <c r="H311" s="57">
        <v>0</v>
      </c>
      <c r="I311" s="57" t="s">
        <v>63</v>
      </c>
      <c r="J311" s="50" t="str">
        <f t="shared" si="1110"/>
        <v>[7:0]</v>
      </c>
      <c r="K311" s="50">
        <f t="shared" si="1111"/>
        <v>0</v>
      </c>
      <c r="L311" s="50">
        <f t="shared" si="1112"/>
        <v>255</v>
      </c>
      <c r="M311" s="58" t="s">
        <v>239</v>
      </c>
      <c r="N311" s="28"/>
      <c r="O311" s="57">
        <v>0</v>
      </c>
      <c r="P311" s="57">
        <f t="shared" si="1131"/>
        <v>0</v>
      </c>
      <c r="Q311" s="57">
        <f t="shared" si="1132"/>
        <v>0</v>
      </c>
      <c r="R311" s="57">
        <f t="shared" si="1133"/>
        <v>0</v>
      </c>
      <c r="S311" s="163">
        <f t="shared" si="1133"/>
        <v>0</v>
      </c>
      <c r="T311" s="163">
        <v>0</v>
      </c>
      <c r="U311" s="163">
        <f>S311</f>
        <v>0</v>
      </c>
      <c r="V311" s="163">
        <f t="shared" si="995"/>
        <v>0</v>
      </c>
      <c r="W311" s="59"/>
      <c r="X311" s="57">
        <f t="shared" ca="1" si="1113"/>
        <v>0</v>
      </c>
      <c r="Y311" s="32"/>
      <c r="AC311" s="12" t="b">
        <f t="shared" si="1129"/>
        <v>1</v>
      </c>
      <c r="AD311" s="12" t="str">
        <f t="shared" si="1114"/>
        <v>-</v>
      </c>
      <c r="AE311" s="12" t="str">
        <f t="shared" si="1115"/>
        <v>-</v>
      </c>
      <c r="AF311" s="12" t="str">
        <f t="shared" ca="1" si="1116"/>
        <v>0x10CA</v>
      </c>
      <c r="AG311" s="12" t="str">
        <f t="shared" si="1117"/>
        <v>XPOS</v>
      </c>
      <c r="AH311" s="12">
        <f t="shared" si="1118"/>
        <v>8</v>
      </c>
      <c r="AI311" s="12">
        <f t="shared" si="1119"/>
        <v>7</v>
      </c>
      <c r="AJ311" s="12">
        <f t="shared" si="1120"/>
        <v>0</v>
      </c>
      <c r="AK311" s="12">
        <f t="shared" si="1121"/>
        <v>255</v>
      </c>
      <c r="AL311" s="12" t="str">
        <f t="shared" si="1122"/>
        <v>-</v>
      </c>
      <c r="AM311" s="22">
        <f t="shared" si="1130"/>
        <v>0</v>
      </c>
      <c r="AN311" s="12">
        <f t="shared" si="1123"/>
        <v>0</v>
      </c>
      <c r="AO311" s="22" t="str">
        <f ca="1">IF(AF311="-",VLOOKUP(AD311,MemoryView!$A$3:$F$108,6,0),MID(VLOOKUP(AF311,MemoryView!$BD$3:$BE$108,2,0),15-AI311+1,AH311))</f>
        <v>00000000</v>
      </c>
      <c r="AP311" s="22">
        <f t="shared" ca="1" si="1124"/>
        <v>0</v>
      </c>
      <c r="AQ311" s="53" t="str">
        <f t="shared" si="1125"/>
        <v>`EE_MNG.XPOS.SET(0);        // [0..255]</v>
      </c>
      <c r="AR311" s="54" t="str">
        <f t="shared" ca="1" si="1126"/>
        <v>EE_MEM #(`PARAM(16'h10CA, 0, 8, 0)) XPOS(); bit unsigned [8-1:0] XPOS_V; assign XPOS_V = XPOS.GET;</v>
      </c>
      <c r="AS311" s="12" t="str">
        <f t="shared" ca="1" si="1127"/>
        <v>EE_MLX_ID0</v>
      </c>
    </row>
    <row r="312" spans="1:45">
      <c r="B312" s="47" t="str">
        <f t="shared" ca="1" si="1128"/>
        <v>MLX_PROD</v>
      </c>
      <c r="C312" s="47" t="s">
        <v>242</v>
      </c>
      <c r="D312" s="48" t="s">
        <v>58</v>
      </c>
      <c r="E312" s="60" t="str">
        <f ca="1">"0x"&amp;DEC2HEX(HEX2DEC(RIGHT(INDIRECT(ADDRESS(ROW()-1,COLUMN())),4))+2,4)</f>
        <v>0x10CC</v>
      </c>
      <c r="F312" s="49">
        <v>16</v>
      </c>
      <c r="G312" s="49">
        <v>0</v>
      </c>
      <c r="H312" s="49">
        <v>0</v>
      </c>
      <c r="I312" s="49" t="s">
        <v>58</v>
      </c>
      <c r="J312" s="50" t="str">
        <f t="shared" si="1110"/>
        <v>-</v>
      </c>
      <c r="K312" s="50">
        <f t="shared" si="1111"/>
        <v>0</v>
      </c>
      <c r="L312" s="50">
        <f t="shared" si="1112"/>
        <v>65535</v>
      </c>
      <c r="M312" s="51" t="s">
        <v>239</v>
      </c>
      <c r="N312" s="28"/>
      <c r="O312" s="52"/>
      <c r="P312" s="52"/>
      <c r="Q312" s="52"/>
      <c r="R312" s="52"/>
      <c r="S312" s="140"/>
      <c r="T312" s="165"/>
      <c r="U312" s="165"/>
      <c r="V312" s="165"/>
      <c r="W312" s="28"/>
      <c r="X312" s="52">
        <f t="shared" ca="1" si="1113"/>
        <v>0</v>
      </c>
      <c r="Y312" s="32"/>
      <c r="AC312" s="12">
        <f t="shared" si="1129"/>
        <v>1</v>
      </c>
      <c r="AD312" s="12" t="str">
        <f t="shared" ca="1" si="1114"/>
        <v>0x10CC</v>
      </c>
      <c r="AE312" s="12" t="str">
        <f t="shared" si="1115"/>
        <v>EE_MLX_ID1</v>
      </c>
      <c r="AF312" s="12" t="str">
        <f t="shared" si="1116"/>
        <v>-</v>
      </c>
      <c r="AG312" s="12" t="str">
        <f t="shared" si="1117"/>
        <v>-</v>
      </c>
      <c r="AH312" s="12" t="str">
        <f t="shared" si="1118"/>
        <v>-</v>
      </c>
      <c r="AI312" s="12" t="str">
        <f t="shared" si="1119"/>
        <v>-</v>
      </c>
      <c r="AJ312" s="12" t="str">
        <f t="shared" si="1120"/>
        <v>-</v>
      </c>
      <c r="AK312" s="12" t="str">
        <f t="shared" ca="1" si="1121"/>
        <v>0x10CC</v>
      </c>
      <c r="AL312" s="12" t="str">
        <f t="shared" ca="1" si="1122"/>
        <v>MLX_PROD</v>
      </c>
      <c r="AM312" s="22">
        <f t="shared" si="1130"/>
        <v>0</v>
      </c>
      <c r="AN312" s="12" t="str">
        <f t="shared" ca="1" si="1123"/>
        <v>0x10CC</v>
      </c>
      <c r="AO312" s="22" t="str">
        <f ca="1">IF(AF312="-",VLOOKUP(AD312,MemoryView!$A$3:$F$108,6,0),MID(VLOOKUP(AF312,MemoryView!$BD$3:$BE$108,2,0),15-AI312+1,AH312))</f>
        <v>0000</v>
      </c>
      <c r="AP312" s="22">
        <f t="shared" ca="1" si="1124"/>
        <v>0</v>
      </c>
      <c r="AQ312" s="53" t="str">
        <f t="shared" si="1125"/>
        <v>-</v>
      </c>
      <c r="AR312" s="54" t="str">
        <f t="shared" ca="1" si="1126"/>
        <v>EE_MEM #(`PARAM(16'h10CC, 0, 16, 0)) EE_MLX_ID1(); bit unsigned [16-1:0] EE_MLX_ID1_V; assign EE_MLX_ID1_V = EE_MLX_ID1.GET;</v>
      </c>
      <c r="AS312" s="12" t="str">
        <f t="shared" ca="1" si="1127"/>
        <v>EE_MLX_ID1</v>
      </c>
    </row>
    <row r="313" spans="1:45">
      <c r="B313" s="55" t="str">
        <f t="shared" ca="1" si="1128"/>
        <v>MLX_PROD</v>
      </c>
      <c r="C313" s="55" t="s">
        <v>58</v>
      </c>
      <c r="D313" s="56" t="s">
        <v>243</v>
      </c>
      <c r="E313" s="57" t="str">
        <f ca="1">INDIRECT(ADDRESS(ROW()-1,COLUMN()))</f>
        <v>0x10CC</v>
      </c>
      <c r="F313" s="57">
        <v>11</v>
      </c>
      <c r="G313" s="57">
        <v>5</v>
      </c>
      <c r="H313" s="57">
        <v>0</v>
      </c>
      <c r="I313" s="57" t="s">
        <v>63</v>
      </c>
      <c r="J313" s="50" t="str">
        <f t="shared" si="1110"/>
        <v>[15:5]</v>
      </c>
      <c r="K313" s="50">
        <f t="shared" si="1111"/>
        <v>0</v>
      </c>
      <c r="L313" s="50">
        <f t="shared" si="1112"/>
        <v>2047</v>
      </c>
      <c r="M313" s="58" t="s">
        <v>239</v>
      </c>
      <c r="N313" s="28"/>
      <c r="O313" s="57">
        <v>0</v>
      </c>
      <c r="P313" s="57">
        <f t="shared" ref="P313:P314" si="1134">O313</f>
        <v>0</v>
      </c>
      <c r="Q313" s="57">
        <f t="shared" ref="Q313:Q314" si="1135">O313</f>
        <v>0</v>
      </c>
      <c r="R313" s="57">
        <f t="shared" ref="R313:S314" si="1136">O313</f>
        <v>0</v>
      </c>
      <c r="S313" s="163">
        <f t="shared" si="1136"/>
        <v>0</v>
      </c>
      <c r="T313" s="163">
        <v>0</v>
      </c>
      <c r="U313" s="163">
        <f>S313</f>
        <v>0</v>
      </c>
      <c r="V313" s="163">
        <f t="shared" si="995"/>
        <v>0</v>
      </c>
      <c r="W313" s="59"/>
      <c r="X313" s="57">
        <f t="shared" ca="1" si="1113"/>
        <v>0</v>
      </c>
      <c r="Y313" s="32"/>
      <c r="AC313" s="12" t="b">
        <f t="shared" si="1129"/>
        <v>1</v>
      </c>
      <c r="AD313" s="12" t="str">
        <f t="shared" si="1114"/>
        <v>-</v>
      </c>
      <c r="AE313" s="12" t="str">
        <f t="shared" si="1115"/>
        <v>-</v>
      </c>
      <c r="AF313" s="12" t="str">
        <f t="shared" ca="1" si="1116"/>
        <v>0x10CC</v>
      </c>
      <c r="AG313" s="12" t="str">
        <f t="shared" si="1117"/>
        <v>LOT_LSB</v>
      </c>
      <c r="AH313" s="12">
        <f t="shared" si="1118"/>
        <v>11</v>
      </c>
      <c r="AI313" s="12">
        <f t="shared" si="1119"/>
        <v>15</v>
      </c>
      <c r="AJ313" s="12">
        <f t="shared" si="1120"/>
        <v>5</v>
      </c>
      <c r="AK313" s="12">
        <f t="shared" si="1121"/>
        <v>65504</v>
      </c>
      <c r="AL313" s="12" t="str">
        <f t="shared" si="1122"/>
        <v>-</v>
      </c>
      <c r="AM313" s="22">
        <f t="shared" si="1130"/>
        <v>0</v>
      </c>
      <c r="AN313" s="12">
        <f t="shared" si="1123"/>
        <v>0</v>
      </c>
      <c r="AO313" s="22" t="str">
        <f ca="1">IF(AF313="-",VLOOKUP(AD313,MemoryView!$A$3:$F$108,6,0),MID(VLOOKUP(AF313,MemoryView!$BD$3:$BE$108,2,0),15-AI313+1,AH313))</f>
        <v>00000000000</v>
      </c>
      <c r="AP313" s="22">
        <f t="shared" ca="1" si="1124"/>
        <v>0</v>
      </c>
      <c r="AQ313" s="53" t="str">
        <f t="shared" si="1125"/>
        <v>`EE_MNG.LOT_LSB.SET(0);        // [0..2047]</v>
      </c>
      <c r="AR313" s="54" t="str">
        <f t="shared" ca="1" si="1126"/>
        <v>EE_MEM #(`PARAM(16'h10CC, 5, 11, 0)) LOT_LSB(); bit unsigned [11-1:0] LOT_LSB_V; assign LOT_LSB_V = LOT_LSB.GET;</v>
      </c>
      <c r="AS313" s="12" t="str">
        <f t="shared" ca="1" si="1127"/>
        <v>EE_MLX_ID1</v>
      </c>
    </row>
    <row r="314" spans="1:45">
      <c r="B314" s="55" t="str">
        <f t="shared" ca="1" si="1128"/>
        <v>MLX_PROD</v>
      </c>
      <c r="C314" s="55" t="s">
        <v>58</v>
      </c>
      <c r="D314" s="56" t="s">
        <v>244</v>
      </c>
      <c r="E314" s="57" t="str">
        <f ca="1">INDIRECT(ADDRESS(ROW()-1,COLUMN()))</f>
        <v>0x10CC</v>
      </c>
      <c r="F314" s="57">
        <v>5</v>
      </c>
      <c r="G314" s="57">
        <v>0</v>
      </c>
      <c r="H314" s="57">
        <v>0</v>
      </c>
      <c r="I314" s="57" t="s">
        <v>63</v>
      </c>
      <c r="J314" s="50" t="str">
        <f t="shared" si="1110"/>
        <v>[4:0]</v>
      </c>
      <c r="K314" s="50">
        <f t="shared" si="1111"/>
        <v>0</v>
      </c>
      <c r="L314" s="50">
        <f t="shared" si="1112"/>
        <v>31</v>
      </c>
      <c r="M314" s="58" t="s">
        <v>239</v>
      </c>
      <c r="N314" s="28"/>
      <c r="O314" s="57">
        <v>0</v>
      </c>
      <c r="P314" s="57">
        <f t="shared" si="1134"/>
        <v>0</v>
      </c>
      <c r="Q314" s="57">
        <f t="shared" si="1135"/>
        <v>0</v>
      </c>
      <c r="R314" s="57">
        <f t="shared" si="1136"/>
        <v>0</v>
      </c>
      <c r="S314" s="163">
        <f t="shared" si="1136"/>
        <v>0</v>
      </c>
      <c r="T314" s="163">
        <v>0</v>
      </c>
      <c r="U314" s="163">
        <f>S314</f>
        <v>0</v>
      </c>
      <c r="V314" s="163">
        <f t="shared" si="995"/>
        <v>0</v>
      </c>
      <c r="W314" s="59"/>
      <c r="X314" s="57">
        <f t="shared" ca="1" si="1113"/>
        <v>0</v>
      </c>
      <c r="Y314" s="32"/>
      <c r="AC314" s="12" t="b">
        <f t="shared" si="1129"/>
        <v>1</v>
      </c>
      <c r="AD314" s="12" t="str">
        <f t="shared" si="1114"/>
        <v>-</v>
      </c>
      <c r="AE314" s="12" t="str">
        <f t="shared" si="1115"/>
        <v>-</v>
      </c>
      <c r="AF314" s="12" t="str">
        <f t="shared" ca="1" si="1116"/>
        <v>0x10CC</v>
      </c>
      <c r="AG314" s="12" t="str">
        <f t="shared" si="1117"/>
        <v>WAFER</v>
      </c>
      <c r="AH314" s="12">
        <f t="shared" si="1118"/>
        <v>5</v>
      </c>
      <c r="AI314" s="12">
        <f t="shared" si="1119"/>
        <v>4</v>
      </c>
      <c r="AJ314" s="12">
        <f t="shared" si="1120"/>
        <v>0</v>
      </c>
      <c r="AK314" s="12">
        <f t="shared" si="1121"/>
        <v>31</v>
      </c>
      <c r="AL314" s="12" t="str">
        <f t="shared" si="1122"/>
        <v>-</v>
      </c>
      <c r="AM314" s="22">
        <f t="shared" si="1130"/>
        <v>0</v>
      </c>
      <c r="AN314" s="12">
        <f t="shared" si="1123"/>
        <v>0</v>
      </c>
      <c r="AO314" s="22" t="str">
        <f ca="1">IF(AF314="-",VLOOKUP(AD314,MemoryView!$A$3:$F$108,6,0),MID(VLOOKUP(AF314,MemoryView!$BD$3:$BE$108,2,0),15-AI314+1,AH314))</f>
        <v>00000</v>
      </c>
      <c r="AP314" s="22">
        <f t="shared" ca="1" si="1124"/>
        <v>0</v>
      </c>
      <c r="AQ314" s="53" t="str">
        <f t="shared" si="1125"/>
        <v>`EE_MNG.WAFER.SET(0);        // [0..31]</v>
      </c>
      <c r="AR314" s="54" t="str">
        <f t="shared" ca="1" si="1126"/>
        <v>EE_MEM #(`PARAM(16'h10CC, 0, 5, 0)) WAFER(); bit unsigned [5-1:0] WAFER_V; assign WAFER_V = WAFER.GET;</v>
      </c>
      <c r="AS314" s="12" t="str">
        <f t="shared" ca="1" si="1127"/>
        <v>EE_MLX_ID1</v>
      </c>
    </row>
    <row r="315" spans="1:45" ht="12" customHeight="1">
      <c r="B315" s="47" t="str">
        <f t="shared" ca="1" si="1128"/>
        <v>MLX_PROD</v>
      </c>
      <c r="C315" s="47" t="s">
        <v>245</v>
      </c>
      <c r="D315" s="48" t="s">
        <v>58</v>
      </c>
      <c r="E315" s="60" t="str">
        <f ca="1">"0x"&amp;DEC2HEX(HEX2DEC(RIGHT(INDIRECT(ADDRESS(ROW()-1,COLUMN())),4))+2,4)</f>
        <v>0x10CE</v>
      </c>
      <c r="F315" s="49">
        <v>16</v>
      </c>
      <c r="G315" s="49">
        <v>0</v>
      </c>
      <c r="H315" s="49">
        <v>0</v>
      </c>
      <c r="I315" s="49" t="s">
        <v>58</v>
      </c>
      <c r="J315" s="50" t="str">
        <f t="shared" si="1110"/>
        <v>-</v>
      </c>
      <c r="K315" s="50">
        <f t="shared" si="1111"/>
        <v>0</v>
      </c>
      <c r="L315" s="50">
        <f t="shared" si="1112"/>
        <v>65535</v>
      </c>
      <c r="M315" s="51" t="s">
        <v>239</v>
      </c>
      <c r="N315" s="28"/>
      <c r="O315" s="52"/>
      <c r="P315" s="52"/>
      <c r="Q315" s="52"/>
      <c r="R315" s="52"/>
      <c r="S315" s="140"/>
      <c r="T315" s="165"/>
      <c r="U315" s="165"/>
      <c r="V315" s="165"/>
      <c r="W315" s="28"/>
      <c r="X315" s="52">
        <f t="shared" ca="1" si="1113"/>
        <v>0</v>
      </c>
      <c r="Y315" s="32"/>
      <c r="AC315" s="12">
        <f t="shared" si="1129"/>
        <v>1</v>
      </c>
      <c r="AD315" s="12" t="str">
        <f t="shared" ca="1" si="1114"/>
        <v>0x10CE</v>
      </c>
      <c r="AE315" s="12" t="str">
        <f t="shared" si="1115"/>
        <v>EE_MLX_ID2</v>
      </c>
      <c r="AF315" s="12" t="str">
        <f t="shared" si="1116"/>
        <v>-</v>
      </c>
      <c r="AG315" s="12" t="str">
        <f t="shared" si="1117"/>
        <v>-</v>
      </c>
      <c r="AH315" s="12" t="str">
        <f t="shared" si="1118"/>
        <v>-</v>
      </c>
      <c r="AI315" s="12" t="str">
        <f t="shared" si="1119"/>
        <v>-</v>
      </c>
      <c r="AJ315" s="12" t="str">
        <f t="shared" si="1120"/>
        <v>-</v>
      </c>
      <c r="AK315" s="12" t="str">
        <f t="shared" ca="1" si="1121"/>
        <v>0x10CE</v>
      </c>
      <c r="AL315" s="12" t="str">
        <f t="shared" ca="1" si="1122"/>
        <v>MLX_PROD</v>
      </c>
      <c r="AM315" s="22">
        <f t="shared" si="1130"/>
        <v>0</v>
      </c>
      <c r="AN315" s="12" t="str">
        <f t="shared" ca="1" si="1123"/>
        <v>0x10CE</v>
      </c>
      <c r="AO315" s="22" t="str">
        <f ca="1">IF(AF315="-",VLOOKUP(AD315,MemoryView!$A$3:$F$108,6,0),MID(VLOOKUP(AF315,MemoryView!$BD$3:$BE$108,2,0),15-AI315+1,AH315))</f>
        <v>0000</v>
      </c>
      <c r="AP315" s="22">
        <f t="shared" ca="1" si="1124"/>
        <v>0</v>
      </c>
      <c r="AQ315" s="53" t="str">
        <f t="shared" si="1125"/>
        <v>-</v>
      </c>
      <c r="AR315" s="54" t="str">
        <f t="shared" ca="1" si="1126"/>
        <v>EE_MEM #(`PARAM(16'h10CE, 0, 16, 0)) EE_MLX_ID2(); bit unsigned [16-1:0] EE_MLX_ID2_V; assign EE_MLX_ID2_V = EE_MLX_ID2.GET;</v>
      </c>
      <c r="AS315" s="12" t="str">
        <f t="shared" ca="1" si="1127"/>
        <v>EE_MLX_ID2</v>
      </c>
    </row>
    <row r="316" spans="1:45">
      <c r="B316" s="55" t="str">
        <f t="shared" ca="1" si="1128"/>
        <v>MLX_PROD</v>
      </c>
      <c r="C316" s="55" t="s">
        <v>58</v>
      </c>
      <c r="D316" s="56" t="s">
        <v>246</v>
      </c>
      <c r="E316" s="57" t="str">
        <f ca="1">INDIRECT(ADDRESS(ROW()-1,COLUMN()))</f>
        <v>0x10CE</v>
      </c>
      <c r="F316" s="57">
        <v>6</v>
      </c>
      <c r="G316" s="57">
        <v>10</v>
      </c>
      <c r="H316" s="57">
        <v>0</v>
      </c>
      <c r="I316" s="57" t="s">
        <v>63</v>
      </c>
      <c r="J316" s="50" t="str">
        <f t="shared" si="1110"/>
        <v>[15:10]</v>
      </c>
      <c r="K316" s="50">
        <f t="shared" si="1111"/>
        <v>0</v>
      </c>
      <c r="L316" s="50">
        <f t="shared" si="1112"/>
        <v>63</v>
      </c>
      <c r="M316" s="58" t="s">
        <v>239</v>
      </c>
      <c r="N316" s="28"/>
      <c r="O316" s="57">
        <v>0</v>
      </c>
      <c r="P316" s="57">
        <f t="shared" ref="P316:P318" si="1137">O316</f>
        <v>0</v>
      </c>
      <c r="Q316" s="57">
        <f t="shared" ref="Q316:Q318" si="1138">O316</f>
        <v>0</v>
      </c>
      <c r="R316" s="57">
        <f t="shared" ref="R316:S318" si="1139">O316</f>
        <v>0</v>
      </c>
      <c r="S316" s="163">
        <f t="shared" si="1139"/>
        <v>0</v>
      </c>
      <c r="T316" s="163">
        <v>0</v>
      </c>
      <c r="U316" s="163">
        <f>S316</f>
        <v>0</v>
      </c>
      <c r="V316" s="163">
        <f t="shared" si="995"/>
        <v>0</v>
      </c>
      <c r="W316" s="59"/>
      <c r="X316" s="57">
        <f t="shared" ca="1" si="1113"/>
        <v>0</v>
      </c>
      <c r="Y316" s="32"/>
      <c r="AC316" s="12" t="b">
        <f t="shared" si="1129"/>
        <v>1</v>
      </c>
      <c r="AD316" s="12" t="str">
        <f t="shared" si="1114"/>
        <v>-</v>
      </c>
      <c r="AE316" s="12" t="str">
        <f t="shared" si="1115"/>
        <v>-</v>
      </c>
      <c r="AF316" s="12" t="str">
        <f t="shared" ca="1" si="1116"/>
        <v>0x10CE</v>
      </c>
      <c r="AG316" s="12" t="str">
        <f t="shared" si="1117"/>
        <v>CORDAT</v>
      </c>
      <c r="AH316" s="12">
        <f t="shared" si="1118"/>
        <v>6</v>
      </c>
      <c r="AI316" s="12">
        <f t="shared" si="1119"/>
        <v>15</v>
      </c>
      <c r="AJ316" s="12">
        <f t="shared" si="1120"/>
        <v>10</v>
      </c>
      <c r="AK316" s="12">
        <f t="shared" si="1121"/>
        <v>64512</v>
      </c>
      <c r="AL316" s="12" t="str">
        <f t="shared" si="1122"/>
        <v>-</v>
      </c>
      <c r="AM316" s="22">
        <f t="shared" si="1130"/>
        <v>0</v>
      </c>
      <c r="AN316" s="12">
        <f t="shared" si="1123"/>
        <v>0</v>
      </c>
      <c r="AO316" s="22" t="str">
        <f ca="1">IF(AF316="-",VLOOKUP(AD316,MemoryView!$A$3:$F$108,6,0),MID(VLOOKUP(AF316,MemoryView!$BD$3:$BE$108,2,0),15-AI316+1,AH316))</f>
        <v>000000</v>
      </c>
      <c r="AP316" s="22">
        <f t="shared" ca="1" si="1124"/>
        <v>0</v>
      </c>
      <c r="AQ316" s="53" t="str">
        <f t="shared" si="1125"/>
        <v>`EE_MNG.CORDAT.SET(0);        // [0..63]</v>
      </c>
      <c r="AR316" s="54" t="str">
        <f t="shared" ca="1" si="1126"/>
        <v>EE_MEM #(`PARAM(16'h10CE, 10, 6, 0)) CORDAT(); bit unsigned [6-1:0] CORDAT_V; assign CORDAT_V = CORDAT.GET;</v>
      </c>
      <c r="AS316" s="12" t="str">
        <f t="shared" ca="1" si="1127"/>
        <v>EE_MLX_ID2</v>
      </c>
    </row>
    <row r="317" spans="1:45">
      <c r="B317" s="55" t="str">
        <f t="shared" ca="1" si="1128"/>
        <v>MLX_PROD</v>
      </c>
      <c r="C317" s="55" t="s">
        <v>58</v>
      </c>
      <c r="D317" s="56" t="s">
        <v>247</v>
      </c>
      <c r="E317" s="57" t="str">
        <f ca="1">INDIRECT(ADDRESS(ROW()-1,COLUMN()))</f>
        <v>0x10CE</v>
      </c>
      <c r="F317" s="57">
        <v>4</v>
      </c>
      <c r="G317" s="57">
        <v>6</v>
      </c>
      <c r="H317" s="57">
        <v>0</v>
      </c>
      <c r="I317" s="57" t="s">
        <v>63</v>
      </c>
      <c r="J317" s="50" t="str">
        <f t="shared" si="1110"/>
        <v>[9:6]</v>
      </c>
      <c r="K317" s="50">
        <f t="shared" si="1111"/>
        <v>0</v>
      </c>
      <c r="L317" s="50">
        <f t="shared" si="1112"/>
        <v>15</v>
      </c>
      <c r="M317" s="58" t="s">
        <v>239</v>
      </c>
      <c r="N317" s="28"/>
      <c r="O317" s="57">
        <v>0</v>
      </c>
      <c r="P317" s="57">
        <f t="shared" si="1137"/>
        <v>0</v>
      </c>
      <c r="Q317" s="57">
        <f t="shared" si="1138"/>
        <v>0</v>
      </c>
      <c r="R317" s="57">
        <f t="shared" si="1139"/>
        <v>0</v>
      </c>
      <c r="S317" s="163">
        <f t="shared" si="1139"/>
        <v>0</v>
      </c>
      <c r="T317" s="163">
        <v>0</v>
      </c>
      <c r="U317" s="163">
        <f>S317</f>
        <v>0</v>
      </c>
      <c r="V317" s="163">
        <f t="shared" si="995"/>
        <v>0</v>
      </c>
      <c r="W317" s="59"/>
      <c r="X317" s="57">
        <f t="shared" ca="1" si="1113"/>
        <v>0</v>
      </c>
      <c r="Y317" s="32"/>
      <c r="AC317" s="12" t="b">
        <f t="shared" si="1129"/>
        <v>1</v>
      </c>
      <c r="AD317" s="12" t="str">
        <f t="shared" si="1114"/>
        <v>-</v>
      </c>
      <c r="AE317" s="12" t="str">
        <f t="shared" si="1115"/>
        <v>-</v>
      </c>
      <c r="AF317" s="12" t="str">
        <f t="shared" ca="1" si="1116"/>
        <v>0x10CE</v>
      </c>
      <c r="AG317" s="12" t="str">
        <f t="shared" si="1117"/>
        <v>FAB</v>
      </c>
      <c r="AH317" s="12">
        <f t="shared" si="1118"/>
        <v>4</v>
      </c>
      <c r="AI317" s="12">
        <f t="shared" si="1119"/>
        <v>9</v>
      </c>
      <c r="AJ317" s="12">
        <f t="shared" si="1120"/>
        <v>6</v>
      </c>
      <c r="AK317" s="12">
        <f t="shared" si="1121"/>
        <v>960</v>
      </c>
      <c r="AL317" s="12" t="str">
        <f t="shared" si="1122"/>
        <v>-</v>
      </c>
      <c r="AM317" s="22">
        <f t="shared" si="1130"/>
        <v>0</v>
      </c>
      <c r="AN317" s="12">
        <f t="shared" si="1123"/>
        <v>0</v>
      </c>
      <c r="AO317" s="22" t="str">
        <f ca="1">IF(AF317="-",VLOOKUP(AD317,MemoryView!$A$3:$F$108,6,0),MID(VLOOKUP(AF317,MemoryView!$BD$3:$BE$108,2,0),15-AI317+1,AH317))</f>
        <v>0000</v>
      </c>
      <c r="AP317" s="22">
        <f t="shared" ca="1" si="1124"/>
        <v>0</v>
      </c>
      <c r="AQ317" s="53" t="str">
        <f t="shared" si="1125"/>
        <v>`EE_MNG.FAB.SET(0);        // [0..15]</v>
      </c>
      <c r="AR317" s="54" t="str">
        <f t="shared" ca="1" si="1126"/>
        <v>EE_MEM #(`PARAM(16'h10CE, 6, 4, 0)) FAB(); bit unsigned [4-1:0] FAB_V; assign FAB_V = FAB.GET;</v>
      </c>
      <c r="AS317" s="12" t="str">
        <f t="shared" ca="1" si="1127"/>
        <v>EE_MLX_ID2</v>
      </c>
    </row>
    <row r="318" spans="1:45">
      <c r="B318" s="55" t="str">
        <f t="shared" ca="1" si="1128"/>
        <v>MLX_PROD</v>
      </c>
      <c r="C318" s="55" t="s">
        <v>58</v>
      </c>
      <c r="D318" s="56" t="s">
        <v>248</v>
      </c>
      <c r="E318" s="57" t="str">
        <f ca="1">INDIRECT(ADDRESS(ROW()-1,COLUMN()))</f>
        <v>0x10CE</v>
      </c>
      <c r="F318" s="57">
        <v>6</v>
      </c>
      <c r="G318" s="57">
        <v>0</v>
      </c>
      <c r="H318" s="57">
        <v>0</v>
      </c>
      <c r="I318" s="57" t="s">
        <v>63</v>
      </c>
      <c r="J318" s="50" t="str">
        <f t="shared" si="1110"/>
        <v>[5:0]</v>
      </c>
      <c r="K318" s="50">
        <f t="shared" si="1111"/>
        <v>0</v>
      </c>
      <c r="L318" s="50">
        <f t="shared" si="1112"/>
        <v>63</v>
      </c>
      <c r="M318" s="58" t="s">
        <v>239</v>
      </c>
      <c r="N318" s="28"/>
      <c r="O318" s="57">
        <v>0</v>
      </c>
      <c r="P318" s="57">
        <f t="shared" si="1137"/>
        <v>0</v>
      </c>
      <c r="Q318" s="57">
        <f t="shared" si="1138"/>
        <v>0</v>
      </c>
      <c r="R318" s="57">
        <f t="shared" si="1139"/>
        <v>0</v>
      </c>
      <c r="S318" s="163">
        <f t="shared" si="1139"/>
        <v>0</v>
      </c>
      <c r="T318" s="163">
        <v>0</v>
      </c>
      <c r="U318" s="163">
        <f>S318</f>
        <v>0</v>
      </c>
      <c r="V318" s="163">
        <f t="shared" si="995"/>
        <v>0</v>
      </c>
      <c r="W318" s="59"/>
      <c r="X318" s="57">
        <f t="shared" ca="1" si="1113"/>
        <v>0</v>
      </c>
      <c r="Y318" s="32"/>
      <c r="AC318" s="12" t="b">
        <f t="shared" si="1129"/>
        <v>1</v>
      </c>
      <c r="AD318" s="12" t="str">
        <f t="shared" si="1114"/>
        <v>-</v>
      </c>
      <c r="AE318" s="12" t="str">
        <f t="shared" si="1115"/>
        <v>-</v>
      </c>
      <c r="AF318" s="12" t="str">
        <f t="shared" ca="1" si="1116"/>
        <v>0x10CE</v>
      </c>
      <c r="AG318" s="12" t="str">
        <f t="shared" si="1117"/>
        <v>LOT_MSB</v>
      </c>
      <c r="AH318" s="12">
        <f t="shared" si="1118"/>
        <v>6</v>
      </c>
      <c r="AI318" s="12">
        <f t="shared" si="1119"/>
        <v>5</v>
      </c>
      <c r="AJ318" s="12">
        <f t="shared" si="1120"/>
        <v>0</v>
      </c>
      <c r="AK318" s="12">
        <f t="shared" si="1121"/>
        <v>63</v>
      </c>
      <c r="AL318" s="12" t="str">
        <f t="shared" si="1122"/>
        <v>-</v>
      </c>
      <c r="AM318" s="22">
        <f t="shared" si="1130"/>
        <v>0</v>
      </c>
      <c r="AN318" s="12">
        <f t="shared" si="1123"/>
        <v>0</v>
      </c>
      <c r="AO318" s="22" t="str">
        <f ca="1">IF(AF318="-",VLOOKUP(AD318,MemoryView!$A$3:$F$108,6,0),MID(VLOOKUP(AF318,MemoryView!$BD$3:$BE$108,2,0),15-AI318+1,AH318))</f>
        <v>000000</v>
      </c>
      <c r="AP318" s="22">
        <f t="shared" ca="1" si="1124"/>
        <v>0</v>
      </c>
      <c r="AQ318" s="53" t="str">
        <f t="shared" si="1125"/>
        <v>`EE_MNG.LOT_MSB.SET(0);        // [0..63]</v>
      </c>
      <c r="AR318" s="54" t="str">
        <f t="shared" ca="1" si="1126"/>
        <v>EE_MEM #(`PARAM(16'h10CE, 0, 6, 0)) LOT_MSB(); bit unsigned [6-1:0] LOT_MSB_V; assign LOT_MSB_V = LOT_MSB.GET;</v>
      </c>
      <c r="AS318" s="12" t="str">
        <f t="shared" ca="1" si="1127"/>
        <v>EE_MLX_ID2</v>
      </c>
    </row>
    <row r="319" spans="1:45">
      <c r="A319" s="12" t="s">
        <v>20</v>
      </c>
      <c r="B319" s="62"/>
      <c r="C319" s="63" t="s">
        <v>249</v>
      </c>
      <c r="D319" s="64"/>
      <c r="E319" s="65"/>
      <c r="F319" s="66"/>
      <c r="G319" s="66"/>
      <c r="H319" s="66"/>
      <c r="I319" s="66"/>
      <c r="J319" s="67"/>
      <c r="K319" s="67"/>
      <c r="L319" s="67"/>
      <c r="M319" s="64"/>
      <c r="N319" s="68"/>
      <c r="O319" s="67"/>
      <c r="P319" s="67"/>
      <c r="Q319" s="67"/>
      <c r="R319" s="67"/>
      <c r="S319" s="67"/>
      <c r="T319" s="67"/>
      <c r="U319" s="67"/>
      <c r="V319" s="67"/>
      <c r="W319" s="69"/>
      <c r="X319" s="67"/>
      <c r="Y319" s="70"/>
      <c r="AQ319" s="45" t="s">
        <v>250</v>
      </c>
      <c r="AR319" s="46" t="s">
        <v>251</v>
      </c>
    </row>
  </sheetData>
  <autoFilter ref="C2:M319" xr:uid="{00000000-0009-0000-0000-000001000000}"/>
  <mergeCells count="4">
    <mergeCell ref="F1:H1"/>
    <mergeCell ref="J1:K1"/>
    <mergeCell ref="O1:R1"/>
    <mergeCell ref="AO1:AP1"/>
  </mergeCells>
  <conditionalFormatting sqref="E1 I1 AC286 AC216:AC218 AC220">
    <cfRule type="cellIs" dxfId="1617" priority="3155" operator="equal">
      <formula>0</formula>
    </cfRule>
    <cfRule type="cellIs" dxfId="1616" priority="3156" operator="equal">
      <formula>1</formula>
    </cfRule>
  </conditionalFormatting>
  <conditionalFormatting sqref="AC2">
    <cfRule type="cellIs" dxfId="1615" priority="3157" operator="equal">
      <formula>0</formula>
    </cfRule>
    <cfRule type="cellIs" dxfId="1614" priority="3158" operator="equal">
      <formula>1</formula>
    </cfRule>
  </conditionalFormatting>
  <conditionalFormatting sqref="X285:X286 O285:O286 X150:X155 O150:R150 X131 O131 X216:X218 O217:R217 X220:X221 O221:R221 O21 X21 X26 O26 O137:R137 X137:X138 X141 O141 O138 O152:R152 O151 O154:R154 O153 O155 O216 O220 O218 P21:R26 T154:V154 T152:V152 T137:V137 T221:V221 T217:V217 T150:V150 T21:T26">
    <cfRule type="cellIs" dxfId="1613" priority="3159" operator="notBetween">
      <formula>$K21</formula>
      <formula>$L21</formula>
    </cfRule>
  </conditionalFormatting>
  <conditionalFormatting sqref="L1">
    <cfRule type="cellIs" dxfId="1612" priority="3160" operator="equal">
      <formula>0</formula>
    </cfRule>
    <cfRule type="cellIs" dxfId="1611" priority="3161" operator="equal">
      <formula>1</formula>
    </cfRule>
  </conditionalFormatting>
  <conditionalFormatting sqref="AC284:AC286">
    <cfRule type="cellIs" dxfId="1610" priority="3162" operator="equal">
      <formula>0</formula>
    </cfRule>
    <cfRule type="cellIs" dxfId="1609" priority="3163" operator="equal">
      <formula>1</formula>
    </cfRule>
  </conditionalFormatting>
  <conditionalFormatting sqref="X284">
    <cfRule type="cellIs" dxfId="1608" priority="3164" operator="notBetween">
      <formula>$K284</formula>
      <formula>$L284</formula>
    </cfRule>
  </conditionalFormatting>
  <conditionalFormatting sqref="O284:R284 T284:V284">
    <cfRule type="cellIs" dxfId="1607" priority="3165" operator="notBetween">
      <formula>$K284</formula>
      <formula>$L284</formula>
    </cfRule>
  </conditionalFormatting>
  <conditionalFormatting sqref="AC266:AC267">
    <cfRule type="cellIs" dxfId="1606" priority="3166" operator="equal">
      <formula>0</formula>
    </cfRule>
    <cfRule type="cellIs" dxfId="1605" priority="3167" operator="equal">
      <formula>1</formula>
    </cfRule>
  </conditionalFormatting>
  <conditionalFormatting sqref="X266:X267">
    <cfRule type="cellIs" dxfId="1604" priority="3168" operator="notBetween">
      <formula>$K266</formula>
      <formula>$L266</formula>
    </cfRule>
  </conditionalFormatting>
  <conditionalFormatting sqref="O266:R266 O267 T266:V266">
    <cfRule type="cellIs" dxfId="1603" priority="3169" operator="notBetween">
      <formula>$K266</formula>
      <formula>$L266</formula>
    </cfRule>
  </conditionalFormatting>
  <conditionalFormatting sqref="AC264:AC265">
    <cfRule type="cellIs" dxfId="1602" priority="3170" operator="equal">
      <formula>0</formula>
    </cfRule>
    <cfRule type="cellIs" dxfId="1601" priority="3171" operator="equal">
      <formula>1</formula>
    </cfRule>
  </conditionalFormatting>
  <conditionalFormatting sqref="X264:X265">
    <cfRule type="cellIs" dxfId="1600" priority="3172" operator="notBetween">
      <formula>$K264</formula>
      <formula>$L264</formula>
    </cfRule>
  </conditionalFormatting>
  <conditionalFormatting sqref="O264:R264 O265 T264:V264">
    <cfRule type="cellIs" dxfId="1599" priority="3173" operator="notBetween">
      <formula>$K264</formula>
      <formula>$L264</formula>
    </cfRule>
  </conditionalFormatting>
  <conditionalFormatting sqref="AC6:AC7">
    <cfRule type="cellIs" dxfId="1598" priority="3174" operator="equal">
      <formula>0</formula>
    </cfRule>
    <cfRule type="cellIs" dxfId="1597" priority="3175" operator="equal">
      <formula>1</formula>
    </cfRule>
  </conditionalFormatting>
  <conditionalFormatting sqref="X6:X7">
    <cfRule type="cellIs" dxfId="1596" priority="3176" operator="notBetween">
      <formula>$K6</formula>
      <formula>$L6</formula>
    </cfRule>
  </conditionalFormatting>
  <conditionalFormatting sqref="O6:R6 O7 T6:V6">
    <cfRule type="cellIs" dxfId="1595" priority="3177" operator="notBetween">
      <formula>$K6</formula>
      <formula>$L6</formula>
    </cfRule>
  </conditionalFormatting>
  <conditionalFormatting sqref="AC4:AC5">
    <cfRule type="cellIs" dxfId="1594" priority="3186" operator="equal">
      <formula>0</formula>
    </cfRule>
    <cfRule type="cellIs" dxfId="1593" priority="3187" operator="equal">
      <formula>1</formula>
    </cfRule>
  </conditionalFormatting>
  <conditionalFormatting sqref="X4:X5">
    <cfRule type="cellIs" dxfId="1592" priority="3188" operator="notBetween">
      <formula>$K4</formula>
      <formula>$L4</formula>
    </cfRule>
  </conditionalFormatting>
  <conditionalFormatting sqref="O4:R5 P7:R7 P28:R33 P35:R36 P38:R40 P42:R45 P47:R50 P52:R56 P58:R63 P65:R69 P71:R79 P81:R82 P84:R84 P86:R86 P88:R88 P90:R90 P92:R92 P94:R94 P96:R96 P98:R98 P100:R100 P102:R102 P104:R104 P106:R106 P108:R108 P110:R110 P112:R112 P114:R114 Q116:R116 Q118:R118 Q120:R120 Q122:R122 Q124:R124 P126:R127 P129:R131 P133:R136 P138:R141 P143:R144 P146:R147 P149:R149 P151:R151 P153:R153 P155:R155 P157:R157 P159:R159 P161:R161 P163:R163 P165:R165 P167:R167 P169:R169 P193:R193 P195:R195 P197:R197 P199:R199 P201:R201 P203:R203 P205:R205 P207:R208 P210:R210 P212:R216 P218:R220 P222:R226 P228:R235 P242:R243 P245:R251 P253:R259 P261:R261 P263:R263 P265:R265 P267:R267 P269:R269 P271:R271 P273:R273 P275:R275 P277:R277 P279:R279 P281:R281 P283:R283 P285:R286 P288:R289 P291:R292 P300:R300 P302:R302 P304:R304 P306:R306 P308:R308 P310:R311 P313:R314 P316:R318 P9:R19 P237:R240 T308 T306 T304 T302 T300 T169:V169 T167:V167 T165:V165 T163:V163 T161:V161 T159:V159 T157:V157 T155:V155 T153:V153 T4:V5 T210:U210 T218:U220 T239:V240 T253:U259 T261:U261 T263:U263 T265:U265 T267:U267 T269:U269 T271:U271 T273:U273 T275:U275 T277:U277 T279:U279 T281:U281 T283:U283 T310:T311 T313:T314 T316:T318 T7:V7 T9:V19 T28:U33 T35:U36 T38:U40 T42:V45 T47:V50 T52:V56 T58:V63 T65:V69 T71:V79 T81:V82 T84:V84 T86:V86 T88:V88 T90:V90 T92:V92 T94:V94 T96:V96 T98:V98 T100:V100 T102:V102 T104:V104 T106:V106 T108:V108 T110:V110 T112:V112 T114:V114 T116:V116 T118:V118 T120:V120 T122:V122 T124:V124 T126:V127 T129:V131 T133:V136 T138:V141 T143:V144 T146:V147 T149:V149 T151:V151 T207:U208 T212:U216 T222:U226 T228:U235 T237:U238 T245:U251 T285:U286 T288:U289 T291:U292 T242:V243">
    <cfRule type="cellIs" dxfId="1591" priority="3189" operator="notBetween">
      <formula>$K4</formula>
      <formula>$L4</formula>
    </cfRule>
  </conditionalFormatting>
  <conditionalFormatting sqref="AC315 AC318">
    <cfRule type="cellIs" dxfId="1590" priority="3190" operator="equal">
      <formula>0</formula>
    </cfRule>
    <cfRule type="cellIs" dxfId="1589" priority="3191" operator="equal">
      <formula>1</formula>
    </cfRule>
  </conditionalFormatting>
  <conditionalFormatting sqref="X315 X318">
    <cfRule type="cellIs" dxfId="1588" priority="3192" operator="notBetween">
      <formula>$K315</formula>
      <formula>$L315</formula>
    </cfRule>
  </conditionalFormatting>
  <conditionalFormatting sqref="O315:R315 O318 T315:V315">
    <cfRule type="cellIs" dxfId="1587" priority="3193" operator="notBetween">
      <formula>$K315</formula>
      <formula>$L315</formula>
    </cfRule>
  </conditionalFormatting>
  <conditionalFormatting sqref="AC312 AC314">
    <cfRule type="cellIs" dxfId="1586" priority="3194" operator="equal">
      <formula>0</formula>
    </cfRule>
    <cfRule type="cellIs" dxfId="1585" priority="3195" operator="equal">
      <formula>1</formula>
    </cfRule>
  </conditionalFormatting>
  <conditionalFormatting sqref="X312 X314">
    <cfRule type="cellIs" dxfId="1584" priority="3196" operator="notBetween">
      <formula>$K312</formula>
      <formula>$L312</formula>
    </cfRule>
  </conditionalFormatting>
  <conditionalFormatting sqref="O312:R312 O314 T312:V312">
    <cfRule type="cellIs" dxfId="1583" priority="3197" operator="notBetween">
      <formula>$K312</formula>
      <formula>$L312</formula>
    </cfRule>
  </conditionalFormatting>
  <conditionalFormatting sqref="AC309 AC311">
    <cfRule type="cellIs" dxfId="1582" priority="3198" operator="equal">
      <formula>0</formula>
    </cfRule>
    <cfRule type="cellIs" dxfId="1581" priority="3199" operator="equal">
      <formula>1</formula>
    </cfRule>
  </conditionalFormatting>
  <conditionalFormatting sqref="X309 X311">
    <cfRule type="cellIs" dxfId="1580" priority="3200" operator="notBetween">
      <formula>$K309</formula>
      <formula>$L309</formula>
    </cfRule>
  </conditionalFormatting>
  <conditionalFormatting sqref="O309:R309 O311 T309:V309">
    <cfRule type="cellIs" dxfId="1579" priority="3201" operator="notBetween">
      <formula>$K309</formula>
      <formula>$L309</formula>
    </cfRule>
  </conditionalFormatting>
  <conditionalFormatting sqref="AC307:AC308">
    <cfRule type="cellIs" dxfId="1578" priority="3202" operator="equal">
      <formula>0</formula>
    </cfRule>
    <cfRule type="cellIs" dxfId="1577" priority="3203" operator="equal">
      <formula>1</formula>
    </cfRule>
  </conditionalFormatting>
  <conditionalFormatting sqref="X307:X308">
    <cfRule type="cellIs" dxfId="1576" priority="3204" operator="notBetween">
      <formula>$K307</formula>
      <formula>$L307</formula>
    </cfRule>
  </conditionalFormatting>
  <conditionalFormatting sqref="O307:R307 O308 T307:V307">
    <cfRule type="cellIs" dxfId="1575" priority="3205" operator="notBetween">
      <formula>$K307</formula>
      <formula>$L307</formula>
    </cfRule>
  </conditionalFormatting>
  <conditionalFormatting sqref="AC290 AC292">
    <cfRule type="cellIs" dxfId="1574" priority="3206" operator="equal">
      <formula>0</formula>
    </cfRule>
    <cfRule type="cellIs" dxfId="1573" priority="3207" operator="equal">
      <formula>1</formula>
    </cfRule>
  </conditionalFormatting>
  <conditionalFormatting sqref="X290 X292">
    <cfRule type="cellIs" dxfId="1572" priority="3208" operator="notBetween">
      <formula>$K290</formula>
      <formula>$L290</formula>
    </cfRule>
  </conditionalFormatting>
  <conditionalFormatting sqref="O290:R290 O292 T290:V290">
    <cfRule type="cellIs" dxfId="1571" priority="3209" operator="notBetween">
      <formula>$K290</formula>
      <formula>$L290</formula>
    </cfRule>
  </conditionalFormatting>
  <conditionalFormatting sqref="AC200:AC201">
    <cfRule type="cellIs" dxfId="1570" priority="3210" operator="equal">
      <formula>0</formula>
    </cfRule>
    <cfRule type="cellIs" dxfId="1569" priority="3211" operator="equal">
      <formula>1</formula>
    </cfRule>
  </conditionalFormatting>
  <conditionalFormatting sqref="X200:X201">
    <cfRule type="cellIs" dxfId="1568" priority="3212" operator="notBetween">
      <formula>$K200</formula>
      <formula>$L200</formula>
    </cfRule>
  </conditionalFormatting>
  <conditionalFormatting sqref="O200:R200 O201 T200:V200">
    <cfRule type="cellIs" dxfId="1567" priority="3213" operator="notBetween">
      <formula>$K200</formula>
      <formula>$L200</formula>
    </cfRule>
  </conditionalFormatting>
  <conditionalFormatting sqref="AC198:AC199">
    <cfRule type="cellIs" dxfId="1566" priority="3214" operator="equal">
      <formula>0</formula>
    </cfRule>
    <cfRule type="cellIs" dxfId="1565" priority="3215" operator="equal">
      <formula>1</formula>
    </cfRule>
  </conditionalFormatting>
  <conditionalFormatting sqref="X198:X199">
    <cfRule type="cellIs" dxfId="1564" priority="3216" operator="notBetween">
      <formula>$K198</formula>
      <formula>$L198</formula>
    </cfRule>
  </conditionalFormatting>
  <conditionalFormatting sqref="O198:R198 O199 T198:V198">
    <cfRule type="cellIs" dxfId="1563" priority="3217" operator="notBetween">
      <formula>$K198</formula>
      <formula>$L198</formula>
    </cfRule>
  </conditionalFormatting>
  <conditionalFormatting sqref="AC196:AC197">
    <cfRule type="cellIs" dxfId="1562" priority="3218" operator="equal">
      <formula>0</formula>
    </cfRule>
    <cfRule type="cellIs" dxfId="1561" priority="3219" operator="equal">
      <formula>1</formula>
    </cfRule>
  </conditionalFormatting>
  <conditionalFormatting sqref="X196:X197">
    <cfRule type="cellIs" dxfId="1560" priority="3220" operator="notBetween">
      <formula>$K196</formula>
      <formula>$L196</formula>
    </cfRule>
  </conditionalFormatting>
  <conditionalFormatting sqref="O196:R196 O197 T196:V196">
    <cfRule type="cellIs" dxfId="1559" priority="3221" operator="notBetween">
      <formula>$K196</formula>
      <formula>$L196</formula>
    </cfRule>
  </conditionalFormatting>
  <conditionalFormatting sqref="AC194:AC195">
    <cfRule type="cellIs" dxfId="1558" priority="3222" operator="equal">
      <formula>0</formula>
    </cfRule>
    <cfRule type="cellIs" dxfId="1557" priority="3223" operator="equal">
      <formula>1</formula>
    </cfRule>
  </conditionalFormatting>
  <conditionalFormatting sqref="X194:X195">
    <cfRule type="cellIs" dxfId="1556" priority="3224" operator="notBetween">
      <formula>$K194</formula>
      <formula>$L194</formula>
    </cfRule>
  </conditionalFormatting>
  <conditionalFormatting sqref="O194:R194 O195 T194:V194">
    <cfRule type="cellIs" dxfId="1555" priority="3225" operator="notBetween">
      <formula>$K194</formula>
      <formula>$L194</formula>
    </cfRule>
  </conditionalFormatting>
  <conditionalFormatting sqref="AC192:AC193">
    <cfRule type="cellIs" dxfId="1554" priority="3226" operator="equal">
      <formula>0</formula>
    </cfRule>
    <cfRule type="cellIs" dxfId="1553" priority="3227" operator="equal">
      <formula>1</formula>
    </cfRule>
  </conditionalFormatting>
  <conditionalFormatting sqref="X192:X193">
    <cfRule type="cellIs" dxfId="1552" priority="3228" operator="notBetween">
      <formula>$K192</formula>
      <formula>$L192</formula>
    </cfRule>
  </conditionalFormatting>
  <conditionalFormatting sqref="O192:R192 O193 T192:V192">
    <cfRule type="cellIs" dxfId="1551" priority="3229" operator="notBetween">
      <formula>$K192</formula>
      <formula>$L192</formula>
    </cfRule>
  </conditionalFormatting>
  <conditionalFormatting sqref="AC262:AC263">
    <cfRule type="cellIs" dxfId="1550" priority="3262" operator="equal">
      <formula>0</formula>
    </cfRule>
    <cfRule type="cellIs" dxfId="1549" priority="3263" operator="equal">
      <formula>1</formula>
    </cfRule>
  </conditionalFormatting>
  <conditionalFormatting sqref="X262:X263">
    <cfRule type="cellIs" dxfId="1548" priority="3264" operator="notBetween">
      <formula>$K262</formula>
      <formula>$L262</formula>
    </cfRule>
  </conditionalFormatting>
  <conditionalFormatting sqref="O262:R262 O263 T262:V262">
    <cfRule type="cellIs" dxfId="1547" priority="3265" operator="notBetween">
      <formula>$K262</formula>
      <formula>$L262</formula>
    </cfRule>
  </conditionalFormatting>
  <conditionalFormatting sqref="AC260:AC261">
    <cfRule type="cellIs" dxfId="1546" priority="3266" operator="equal">
      <formula>0</formula>
    </cfRule>
    <cfRule type="cellIs" dxfId="1545" priority="3267" operator="equal">
      <formula>1</formula>
    </cfRule>
  </conditionalFormatting>
  <conditionalFormatting sqref="X260:X261">
    <cfRule type="cellIs" dxfId="1544" priority="3268" operator="notBetween">
      <formula>$K260</formula>
      <formula>$L260</formula>
    </cfRule>
  </conditionalFormatting>
  <conditionalFormatting sqref="O260:R260 O261 T260:V260">
    <cfRule type="cellIs" dxfId="1543" priority="3269" operator="notBetween">
      <formula>$K260</formula>
      <formula>$L260</formula>
    </cfRule>
  </conditionalFormatting>
  <conditionalFormatting sqref="AC244 AC251">
    <cfRule type="cellIs" dxfId="1542" priority="3274" operator="equal">
      <formula>0</formula>
    </cfRule>
    <cfRule type="cellIs" dxfId="1541" priority="3275" operator="equal">
      <formula>1</formula>
    </cfRule>
  </conditionalFormatting>
  <conditionalFormatting sqref="X244 X251">
    <cfRule type="cellIs" dxfId="1540" priority="3276" operator="notBetween">
      <formula>$K244</formula>
      <formula>$L244</formula>
    </cfRule>
  </conditionalFormatting>
  <conditionalFormatting sqref="O244:R244 O251 T244:V244">
    <cfRule type="cellIs" dxfId="1539" priority="3277" operator="notBetween">
      <formula>$K244</formula>
      <formula>$L244</formula>
    </cfRule>
  </conditionalFormatting>
  <conditionalFormatting sqref="AC227 AC235">
    <cfRule type="cellIs" dxfId="1538" priority="3278" operator="equal">
      <formula>0</formula>
    </cfRule>
    <cfRule type="cellIs" dxfId="1537" priority="3279" operator="equal">
      <formula>1</formula>
    </cfRule>
  </conditionalFormatting>
  <conditionalFormatting sqref="X227 X235">
    <cfRule type="cellIs" dxfId="1536" priority="3280" operator="notBetween">
      <formula>$K227</formula>
      <formula>$L227</formula>
    </cfRule>
  </conditionalFormatting>
  <conditionalFormatting sqref="O227:R227 O235 T227:V227">
    <cfRule type="cellIs" dxfId="1535" priority="3281" operator="notBetween">
      <formula>$K227</formula>
      <formula>$L227</formula>
    </cfRule>
  </conditionalFormatting>
  <conditionalFormatting sqref="AC217">
    <cfRule type="cellIs" dxfId="1534" priority="3282" operator="equal">
      <formula>0</formula>
    </cfRule>
    <cfRule type="cellIs" dxfId="1533" priority="3283" operator="equal">
      <formula>1</formula>
    </cfRule>
  </conditionalFormatting>
  <conditionalFormatting sqref="AC221 AC226">
    <cfRule type="cellIs" dxfId="1532" priority="3284" operator="equal">
      <formula>0</formula>
    </cfRule>
    <cfRule type="cellIs" dxfId="1531" priority="3285" operator="equal">
      <formula>1</formula>
    </cfRule>
  </conditionalFormatting>
  <conditionalFormatting sqref="X226">
    <cfRule type="cellIs" dxfId="1530" priority="3286" operator="notBetween">
      <formula>$K226</formula>
      <formula>$L226</formula>
    </cfRule>
  </conditionalFormatting>
  <conditionalFormatting sqref="O226">
    <cfRule type="cellIs" dxfId="1529" priority="3287" operator="notBetween">
      <formula>$K226</formula>
      <formula>$L226</formula>
    </cfRule>
  </conditionalFormatting>
  <conditionalFormatting sqref="AC211">
    <cfRule type="cellIs" dxfId="1528" priority="3288" operator="equal">
      <formula>0</formula>
    </cfRule>
    <cfRule type="cellIs" dxfId="1527" priority="3289" operator="equal">
      <formula>1</formula>
    </cfRule>
  </conditionalFormatting>
  <conditionalFormatting sqref="X211">
    <cfRule type="cellIs" dxfId="1526" priority="3290" operator="notBetween">
      <formula>$K211</formula>
      <formula>$L211</formula>
    </cfRule>
  </conditionalFormatting>
  <conditionalFormatting sqref="O211:R211 T211:V211">
    <cfRule type="cellIs" dxfId="1525" priority="3291" operator="notBetween">
      <formula>$K211</formula>
      <formula>$L211</formula>
    </cfRule>
  </conditionalFormatting>
  <conditionalFormatting sqref="AC209:AC210">
    <cfRule type="cellIs" dxfId="1524" priority="3292" operator="equal">
      <formula>0</formula>
    </cfRule>
    <cfRule type="cellIs" dxfId="1523" priority="3293" operator="equal">
      <formula>1</formula>
    </cfRule>
  </conditionalFormatting>
  <conditionalFormatting sqref="X209:X210">
    <cfRule type="cellIs" dxfId="1522" priority="3294" operator="notBetween">
      <formula>$K209</formula>
      <formula>$L209</formula>
    </cfRule>
  </conditionalFormatting>
  <conditionalFormatting sqref="O209:R209 O210 T209:V209">
    <cfRule type="cellIs" dxfId="1521" priority="3295" operator="notBetween">
      <formula>$K209</formula>
      <formula>$L209</formula>
    </cfRule>
  </conditionalFormatting>
  <conditionalFormatting sqref="AC137 AC141">
    <cfRule type="cellIs" dxfId="1520" priority="3296" operator="equal">
      <formula>0</formula>
    </cfRule>
    <cfRule type="cellIs" dxfId="1519" priority="3297" operator="equal">
      <formula>1</formula>
    </cfRule>
  </conditionalFormatting>
  <conditionalFormatting sqref="AC154:AC155">
    <cfRule type="cellIs" dxfId="1518" priority="3298" operator="equal">
      <formula>0</formula>
    </cfRule>
    <cfRule type="cellIs" dxfId="1517" priority="3299" operator="equal">
      <formula>1</formula>
    </cfRule>
  </conditionalFormatting>
  <conditionalFormatting sqref="AC152:AC153">
    <cfRule type="cellIs" dxfId="1516" priority="3300" operator="equal">
      <formula>0</formula>
    </cfRule>
    <cfRule type="cellIs" dxfId="1515" priority="3301" operator="equal">
      <formula>1</formula>
    </cfRule>
  </conditionalFormatting>
  <conditionalFormatting sqref="AC206 AC208">
    <cfRule type="cellIs" dxfId="1514" priority="3302" operator="equal">
      <formula>0</formula>
    </cfRule>
    <cfRule type="cellIs" dxfId="1513" priority="3303" operator="equal">
      <formula>1</formula>
    </cfRule>
  </conditionalFormatting>
  <conditionalFormatting sqref="X206 X208">
    <cfRule type="cellIs" dxfId="1512" priority="3304" operator="notBetween">
      <formula>$K206</formula>
      <formula>$L206</formula>
    </cfRule>
  </conditionalFormatting>
  <conditionalFormatting sqref="O206:R206 O208 T206:V206">
    <cfRule type="cellIs" dxfId="1511" priority="3305" operator="notBetween">
      <formula>$K206</formula>
      <formula>$L206</formula>
    </cfRule>
  </conditionalFormatting>
  <conditionalFormatting sqref="AC204:AC205">
    <cfRule type="cellIs" dxfId="1510" priority="3306" operator="equal">
      <formula>0</formula>
    </cfRule>
    <cfRule type="cellIs" dxfId="1509" priority="3307" operator="equal">
      <formula>1</formula>
    </cfRule>
  </conditionalFormatting>
  <conditionalFormatting sqref="X204:X205">
    <cfRule type="cellIs" dxfId="1508" priority="3308" operator="notBetween">
      <formula>$K204</formula>
      <formula>$L204</formula>
    </cfRule>
  </conditionalFormatting>
  <conditionalFormatting sqref="O204:R204 O205">
    <cfRule type="cellIs" dxfId="1507" priority="3309" operator="notBetween">
      <formula>$K204</formula>
      <formula>$L204</formula>
    </cfRule>
  </conditionalFormatting>
  <conditionalFormatting sqref="AC202:AC203">
    <cfRule type="cellIs" dxfId="1506" priority="3310" operator="equal">
      <formula>0</formula>
    </cfRule>
    <cfRule type="cellIs" dxfId="1505" priority="3311" operator="equal">
      <formula>1</formula>
    </cfRule>
  </conditionalFormatting>
  <conditionalFormatting sqref="X202:X203">
    <cfRule type="cellIs" dxfId="1504" priority="3312" operator="notBetween">
      <formula>$K202</formula>
      <formula>$L202</formula>
    </cfRule>
  </conditionalFormatting>
  <conditionalFormatting sqref="O202:R202 O203">
    <cfRule type="cellIs" dxfId="1503" priority="3313" operator="notBetween">
      <formula>$K202</formula>
      <formula>$L202</formula>
    </cfRule>
  </conditionalFormatting>
  <conditionalFormatting sqref="AC150:AC155">
    <cfRule type="cellIs" dxfId="1502" priority="3314" operator="equal">
      <formula>0</formula>
    </cfRule>
    <cfRule type="cellIs" dxfId="1501" priority="3315" operator="equal">
      <formula>1</formula>
    </cfRule>
  </conditionalFormatting>
  <conditionalFormatting sqref="AC148:AC149">
    <cfRule type="cellIs" dxfId="1500" priority="3316" operator="equal">
      <formula>0</formula>
    </cfRule>
    <cfRule type="cellIs" dxfId="1499" priority="3317" operator="equal">
      <formula>1</formula>
    </cfRule>
  </conditionalFormatting>
  <conditionalFormatting sqref="X148:X149">
    <cfRule type="cellIs" dxfId="1498" priority="3318" operator="notBetween">
      <formula>$K148</formula>
      <formula>$L148</formula>
    </cfRule>
  </conditionalFormatting>
  <conditionalFormatting sqref="O148:R148 O149 T148:V148">
    <cfRule type="cellIs" dxfId="1497" priority="3319" operator="notBetween">
      <formula>$K148</formula>
      <formula>$L148</formula>
    </cfRule>
  </conditionalFormatting>
  <conditionalFormatting sqref="AC128 AC131 AC137:AC138 AC141">
    <cfRule type="cellIs" dxfId="1496" priority="3320" operator="equal">
      <formula>0</formula>
    </cfRule>
    <cfRule type="cellIs" dxfId="1495" priority="3321" operator="equal">
      <formula>1</formula>
    </cfRule>
  </conditionalFormatting>
  <conditionalFormatting sqref="X128">
    <cfRule type="cellIs" dxfId="1494" priority="3322" operator="notBetween">
      <formula>$K128</formula>
      <formula>$L128</formula>
    </cfRule>
  </conditionalFormatting>
  <conditionalFormatting sqref="O128:R128 T128:V128">
    <cfRule type="cellIs" dxfId="1493" priority="3323" operator="notBetween">
      <formula>$K128</formula>
      <formula>$L128</formula>
    </cfRule>
  </conditionalFormatting>
  <conditionalFormatting sqref="AC121:AC122">
    <cfRule type="cellIs" dxfId="1492" priority="3344" operator="equal">
      <formula>0</formula>
    </cfRule>
    <cfRule type="cellIs" dxfId="1491" priority="3345" operator="equal">
      <formula>1</formula>
    </cfRule>
  </conditionalFormatting>
  <conditionalFormatting sqref="X121:X122">
    <cfRule type="cellIs" dxfId="1490" priority="3346" operator="notBetween">
      <formula>$K121</formula>
      <formula>$L121</formula>
    </cfRule>
  </conditionalFormatting>
  <conditionalFormatting sqref="O121 Q121:R121 T121:V121">
    <cfRule type="cellIs" dxfId="1489" priority="3347" operator="notBetween">
      <formula>$K121</formula>
      <formula>$L121</formula>
    </cfRule>
  </conditionalFormatting>
  <conditionalFormatting sqref="AC119:AC120">
    <cfRule type="cellIs" dxfId="1488" priority="3348" operator="equal">
      <formula>0</formula>
    </cfRule>
    <cfRule type="cellIs" dxfId="1487" priority="3349" operator="equal">
      <formula>1</formula>
    </cfRule>
  </conditionalFormatting>
  <conditionalFormatting sqref="X119:X120">
    <cfRule type="cellIs" dxfId="1486" priority="3350" operator="notBetween">
      <formula>$K119</formula>
      <formula>$L119</formula>
    </cfRule>
  </conditionalFormatting>
  <conditionalFormatting sqref="O119 Q119:R119 T119:V119">
    <cfRule type="cellIs" dxfId="1485" priority="3351" operator="notBetween">
      <formula>$K119</formula>
      <formula>$L119</formula>
    </cfRule>
  </conditionalFormatting>
  <conditionalFormatting sqref="AC117:AC118">
    <cfRule type="cellIs" dxfId="1484" priority="3384" operator="equal">
      <formula>0</formula>
    </cfRule>
    <cfRule type="cellIs" dxfId="1483" priority="3385" operator="equal">
      <formula>1</formula>
    </cfRule>
  </conditionalFormatting>
  <conditionalFormatting sqref="X117:X118">
    <cfRule type="cellIs" dxfId="1482" priority="3386" operator="notBetween">
      <formula>$K117</formula>
      <formula>$L117</formula>
    </cfRule>
  </conditionalFormatting>
  <conditionalFormatting sqref="O117 Q117:R117 T117:V117">
    <cfRule type="cellIs" dxfId="1481" priority="3387" operator="notBetween">
      <formula>$K117</formula>
      <formula>$L117</formula>
    </cfRule>
  </conditionalFormatting>
  <conditionalFormatting sqref="AC115:AC116">
    <cfRule type="cellIs" dxfId="1480" priority="3388" operator="equal">
      <formula>0</formula>
    </cfRule>
    <cfRule type="cellIs" dxfId="1479" priority="3389" operator="equal">
      <formula>1</formula>
    </cfRule>
  </conditionalFormatting>
  <conditionalFormatting sqref="X115:X116">
    <cfRule type="cellIs" dxfId="1478" priority="3390" operator="notBetween">
      <formula>$K115</formula>
      <formula>$L115</formula>
    </cfRule>
  </conditionalFormatting>
  <conditionalFormatting sqref="O115:R115 T115:V115">
    <cfRule type="cellIs" dxfId="1477" priority="3391" operator="notBetween">
      <formula>$K115</formula>
      <formula>$L115</formula>
    </cfRule>
  </conditionalFormatting>
  <conditionalFormatting sqref="AC113:AC114">
    <cfRule type="cellIs" dxfId="1476" priority="3392" operator="equal">
      <formula>0</formula>
    </cfRule>
    <cfRule type="cellIs" dxfId="1475" priority="3393" operator="equal">
      <formula>1</formula>
    </cfRule>
  </conditionalFormatting>
  <conditionalFormatting sqref="X113:X114">
    <cfRule type="cellIs" dxfId="1474" priority="3394" operator="notBetween">
      <formula>$K113</formula>
      <formula>$L113</formula>
    </cfRule>
  </conditionalFormatting>
  <conditionalFormatting sqref="O113:R113 O114 T113:V113">
    <cfRule type="cellIs" dxfId="1473" priority="3395" operator="notBetween">
      <formula>$K113</formula>
      <formula>$L113</formula>
    </cfRule>
  </conditionalFormatting>
  <conditionalFormatting sqref="AC168:AC169">
    <cfRule type="cellIs" dxfId="1472" priority="3420" operator="equal">
      <formula>0</formula>
    </cfRule>
    <cfRule type="cellIs" dxfId="1471" priority="3421" operator="equal">
      <formula>1</formula>
    </cfRule>
  </conditionalFormatting>
  <conditionalFormatting sqref="X168:X169">
    <cfRule type="cellIs" dxfId="1470" priority="3422" operator="notBetween">
      <formula>$K168</formula>
      <formula>$L168</formula>
    </cfRule>
  </conditionalFormatting>
  <conditionalFormatting sqref="O168:R168 O169 T168:V168">
    <cfRule type="cellIs" dxfId="1469" priority="3423" operator="notBetween">
      <formula>$K168</formula>
      <formula>$L168</formula>
    </cfRule>
  </conditionalFormatting>
  <conditionalFormatting sqref="AC166:AC167">
    <cfRule type="cellIs" dxfId="1468" priority="3424" operator="equal">
      <formula>0</formula>
    </cfRule>
    <cfRule type="cellIs" dxfId="1467" priority="3425" operator="equal">
      <formula>1</formula>
    </cfRule>
  </conditionalFormatting>
  <conditionalFormatting sqref="X166:X167">
    <cfRule type="cellIs" dxfId="1466" priority="3426" operator="notBetween">
      <formula>$K166</formula>
      <formula>$L166</formula>
    </cfRule>
  </conditionalFormatting>
  <conditionalFormatting sqref="O166:R166 O167 T166:V166">
    <cfRule type="cellIs" dxfId="1465" priority="3427" operator="notBetween">
      <formula>$K166</formula>
      <formula>$L166</formula>
    </cfRule>
  </conditionalFormatting>
  <conditionalFormatting sqref="AC164:AC165">
    <cfRule type="cellIs" dxfId="1464" priority="3428" operator="equal">
      <formula>0</formula>
    </cfRule>
    <cfRule type="cellIs" dxfId="1463" priority="3429" operator="equal">
      <formula>1</formula>
    </cfRule>
  </conditionalFormatting>
  <conditionalFormatting sqref="X164:X165">
    <cfRule type="cellIs" dxfId="1462" priority="3430" operator="notBetween">
      <formula>$K164</formula>
      <formula>$L164</formula>
    </cfRule>
  </conditionalFormatting>
  <conditionalFormatting sqref="O164:R164 O165 T164:V164">
    <cfRule type="cellIs" dxfId="1461" priority="3431" operator="notBetween">
      <formula>$K164</formula>
      <formula>$L164</formula>
    </cfRule>
  </conditionalFormatting>
  <conditionalFormatting sqref="AC162:AC163">
    <cfRule type="cellIs" dxfId="1460" priority="3432" operator="equal">
      <formula>0</formula>
    </cfRule>
    <cfRule type="cellIs" dxfId="1459" priority="3433" operator="equal">
      <formula>1</formula>
    </cfRule>
  </conditionalFormatting>
  <conditionalFormatting sqref="X162:X163">
    <cfRule type="cellIs" dxfId="1458" priority="3434" operator="notBetween">
      <formula>$K162</formula>
      <formula>$L162</formula>
    </cfRule>
  </conditionalFormatting>
  <conditionalFormatting sqref="O162:R162 O163 T162:V162">
    <cfRule type="cellIs" dxfId="1457" priority="3435" operator="notBetween">
      <formula>$K162</formula>
      <formula>$L162</formula>
    </cfRule>
  </conditionalFormatting>
  <conditionalFormatting sqref="AC160:AC161">
    <cfRule type="cellIs" dxfId="1456" priority="3436" operator="equal">
      <formula>0</formula>
    </cfRule>
    <cfRule type="cellIs" dxfId="1455" priority="3437" operator="equal">
      <formula>1</formula>
    </cfRule>
  </conditionalFormatting>
  <conditionalFormatting sqref="X160:X161">
    <cfRule type="cellIs" dxfId="1454" priority="3438" operator="notBetween">
      <formula>$K160</formula>
      <formula>$L160</formula>
    </cfRule>
  </conditionalFormatting>
  <conditionalFormatting sqref="O160:R160 O161 T160:V160">
    <cfRule type="cellIs" dxfId="1453" priority="3439" operator="notBetween">
      <formula>$K160</formula>
      <formula>$L160</formula>
    </cfRule>
  </conditionalFormatting>
  <conditionalFormatting sqref="AC158:AC159">
    <cfRule type="cellIs" dxfId="1452" priority="3440" operator="equal">
      <formula>0</formula>
    </cfRule>
    <cfRule type="cellIs" dxfId="1451" priority="3441" operator="equal">
      <formula>1</formula>
    </cfRule>
  </conditionalFormatting>
  <conditionalFormatting sqref="X158:X159">
    <cfRule type="cellIs" dxfId="1450" priority="3442" operator="notBetween">
      <formula>$K158</formula>
      <formula>$L158</formula>
    </cfRule>
  </conditionalFormatting>
  <conditionalFormatting sqref="O158:R158 O159 T158:V158">
    <cfRule type="cellIs" dxfId="1449" priority="3443" operator="notBetween">
      <formula>$K158</formula>
      <formula>$L158</formula>
    </cfRule>
  </conditionalFormatting>
  <conditionalFormatting sqref="AC156:AC157">
    <cfRule type="cellIs" dxfId="1448" priority="3444" operator="equal">
      <formula>0</formula>
    </cfRule>
    <cfRule type="cellIs" dxfId="1447" priority="3445" operator="equal">
      <formula>1</formula>
    </cfRule>
  </conditionalFormatting>
  <conditionalFormatting sqref="X156:X157">
    <cfRule type="cellIs" dxfId="1446" priority="3446" operator="notBetween">
      <formula>$K156</formula>
      <formula>$L156</formula>
    </cfRule>
  </conditionalFormatting>
  <conditionalFormatting sqref="O156:R156 O157 T156:V156">
    <cfRule type="cellIs" dxfId="1445" priority="3447" operator="notBetween">
      <formula>$K156</formula>
      <formula>$L156</formula>
    </cfRule>
  </conditionalFormatting>
  <conditionalFormatting sqref="AC111:AC112">
    <cfRule type="cellIs" dxfId="1444" priority="3456" operator="equal">
      <formula>0</formula>
    </cfRule>
    <cfRule type="cellIs" dxfId="1443" priority="3457" operator="equal">
      <formula>1</formula>
    </cfRule>
  </conditionalFormatting>
  <conditionalFormatting sqref="X111:X112">
    <cfRule type="cellIs" dxfId="1442" priority="3458" operator="notBetween">
      <formula>$K111</formula>
      <formula>$L111</formula>
    </cfRule>
  </conditionalFormatting>
  <conditionalFormatting sqref="O111:R111 O112 T111:V111">
    <cfRule type="cellIs" dxfId="1441" priority="3459" operator="notBetween">
      <formula>$K111</formula>
      <formula>$L111</formula>
    </cfRule>
  </conditionalFormatting>
  <conditionalFormatting sqref="AC109:AC110">
    <cfRule type="cellIs" dxfId="1440" priority="3460" operator="equal">
      <formula>0</formula>
    </cfRule>
    <cfRule type="cellIs" dxfId="1439" priority="3461" operator="equal">
      <formula>1</formula>
    </cfRule>
  </conditionalFormatting>
  <conditionalFormatting sqref="X109:X110">
    <cfRule type="cellIs" dxfId="1438" priority="3462" operator="notBetween">
      <formula>$K109</formula>
      <formula>$L109</formula>
    </cfRule>
  </conditionalFormatting>
  <conditionalFormatting sqref="O109:R109 O110 T109:V109">
    <cfRule type="cellIs" dxfId="1437" priority="3463" operator="notBetween">
      <formula>$K109</formula>
      <formula>$L109</formula>
    </cfRule>
  </conditionalFormatting>
  <conditionalFormatting sqref="AC107:AC108">
    <cfRule type="cellIs" dxfId="1436" priority="3464" operator="equal">
      <formula>0</formula>
    </cfRule>
    <cfRule type="cellIs" dxfId="1435" priority="3465" operator="equal">
      <formula>1</formula>
    </cfRule>
  </conditionalFormatting>
  <conditionalFormatting sqref="X107:X108">
    <cfRule type="cellIs" dxfId="1434" priority="3466" operator="notBetween">
      <formula>$K107</formula>
      <formula>$L107</formula>
    </cfRule>
  </conditionalFormatting>
  <conditionalFormatting sqref="O107:R107 O108 T107:V107">
    <cfRule type="cellIs" dxfId="1433" priority="3467" operator="notBetween">
      <formula>$K107</formula>
      <formula>$L107</formula>
    </cfRule>
  </conditionalFormatting>
  <conditionalFormatting sqref="AC105:AC106">
    <cfRule type="cellIs" dxfId="1432" priority="3468" operator="equal">
      <formula>0</formula>
    </cfRule>
    <cfRule type="cellIs" dxfId="1431" priority="3469" operator="equal">
      <formula>1</formula>
    </cfRule>
  </conditionalFormatting>
  <conditionalFormatting sqref="X105:X106">
    <cfRule type="cellIs" dxfId="1430" priority="3470" operator="notBetween">
      <formula>$K105</formula>
      <formula>$L105</formula>
    </cfRule>
  </conditionalFormatting>
  <conditionalFormatting sqref="O105:R105 O106 T105:V105">
    <cfRule type="cellIs" dxfId="1429" priority="3471" operator="notBetween">
      <formula>$K105</formula>
      <formula>$L105</formula>
    </cfRule>
  </conditionalFormatting>
  <conditionalFormatting sqref="AC103:AC104">
    <cfRule type="cellIs" dxfId="1428" priority="3472" operator="equal">
      <formula>0</formula>
    </cfRule>
    <cfRule type="cellIs" dxfId="1427" priority="3473" operator="equal">
      <formula>1</formula>
    </cfRule>
  </conditionalFormatting>
  <conditionalFormatting sqref="X103:X104">
    <cfRule type="cellIs" dxfId="1426" priority="3474" operator="notBetween">
      <formula>$K103</formula>
      <formula>$L103</formula>
    </cfRule>
  </conditionalFormatting>
  <conditionalFormatting sqref="O103:R103 O104 T103:V103">
    <cfRule type="cellIs" dxfId="1425" priority="3475" operator="notBetween">
      <formula>$K103</formula>
      <formula>$L103</formula>
    </cfRule>
  </conditionalFormatting>
  <conditionalFormatting sqref="AC101:AC102">
    <cfRule type="cellIs" dxfId="1424" priority="3476" operator="equal">
      <formula>0</formula>
    </cfRule>
    <cfRule type="cellIs" dxfId="1423" priority="3477" operator="equal">
      <formula>1</formula>
    </cfRule>
  </conditionalFormatting>
  <conditionalFormatting sqref="X101:X102">
    <cfRule type="cellIs" dxfId="1422" priority="3478" operator="notBetween">
      <formula>$K101</formula>
      <formula>$L101</formula>
    </cfRule>
  </conditionalFormatting>
  <conditionalFormatting sqref="O101:R101 O102 T101:V101">
    <cfRule type="cellIs" dxfId="1421" priority="3479" operator="notBetween">
      <formula>$K101</formula>
      <formula>$L101</formula>
    </cfRule>
  </conditionalFormatting>
  <conditionalFormatting sqref="AC99:AC100">
    <cfRule type="cellIs" dxfId="1420" priority="3480" operator="equal">
      <formula>0</formula>
    </cfRule>
    <cfRule type="cellIs" dxfId="1419" priority="3481" operator="equal">
      <formula>1</formula>
    </cfRule>
  </conditionalFormatting>
  <conditionalFormatting sqref="X99:X100">
    <cfRule type="cellIs" dxfId="1418" priority="3482" operator="notBetween">
      <formula>$K99</formula>
      <formula>$L99</formula>
    </cfRule>
  </conditionalFormatting>
  <conditionalFormatting sqref="O99:R99 O100 T99:V99">
    <cfRule type="cellIs" dxfId="1417" priority="3483" operator="notBetween">
      <formula>$K99</formula>
      <formula>$L99</formula>
    </cfRule>
  </conditionalFormatting>
  <conditionalFormatting sqref="AC97:AC98">
    <cfRule type="cellIs" dxfId="1416" priority="3484" operator="equal">
      <formula>0</formula>
    </cfRule>
    <cfRule type="cellIs" dxfId="1415" priority="3485" operator="equal">
      <formula>1</formula>
    </cfRule>
  </conditionalFormatting>
  <conditionalFormatting sqref="X97:X98">
    <cfRule type="cellIs" dxfId="1414" priority="3486" operator="notBetween">
      <formula>$K97</formula>
      <formula>$L97</formula>
    </cfRule>
  </conditionalFormatting>
  <conditionalFormatting sqref="O97:R97 O98 T97:V97">
    <cfRule type="cellIs" dxfId="1413" priority="3487" operator="notBetween">
      <formula>$K97</formula>
      <formula>$L97</formula>
    </cfRule>
  </conditionalFormatting>
  <conditionalFormatting sqref="AC95:AC96">
    <cfRule type="cellIs" dxfId="1412" priority="3488" operator="equal">
      <formula>0</formula>
    </cfRule>
    <cfRule type="cellIs" dxfId="1411" priority="3489" operator="equal">
      <formula>1</formula>
    </cfRule>
  </conditionalFormatting>
  <conditionalFormatting sqref="X95:X96">
    <cfRule type="cellIs" dxfId="1410" priority="3490" operator="notBetween">
      <formula>$K95</formula>
      <formula>$L95</formula>
    </cfRule>
  </conditionalFormatting>
  <conditionalFormatting sqref="O95:R95 O96 T95:V95">
    <cfRule type="cellIs" dxfId="1409" priority="3491" operator="notBetween">
      <formula>$K95</formula>
      <formula>$L95</formula>
    </cfRule>
  </conditionalFormatting>
  <conditionalFormatting sqref="AC93:AC94">
    <cfRule type="cellIs" dxfId="1408" priority="3492" operator="equal">
      <formula>0</formula>
    </cfRule>
    <cfRule type="cellIs" dxfId="1407" priority="3493" operator="equal">
      <formula>1</formula>
    </cfRule>
  </conditionalFormatting>
  <conditionalFormatting sqref="X93:X94">
    <cfRule type="cellIs" dxfId="1406" priority="3494" operator="notBetween">
      <formula>$K93</formula>
      <formula>$L93</formula>
    </cfRule>
  </conditionalFormatting>
  <conditionalFormatting sqref="O93:R93 O94 T93:V93">
    <cfRule type="cellIs" dxfId="1405" priority="3495" operator="notBetween">
      <formula>$K93</formula>
      <formula>$L93</formula>
    </cfRule>
  </conditionalFormatting>
  <conditionalFormatting sqref="AC91:AC92">
    <cfRule type="cellIs" dxfId="1404" priority="3496" operator="equal">
      <formula>0</formula>
    </cfRule>
    <cfRule type="cellIs" dxfId="1403" priority="3497" operator="equal">
      <formula>1</formula>
    </cfRule>
  </conditionalFormatting>
  <conditionalFormatting sqref="X91:X92">
    <cfRule type="cellIs" dxfId="1402" priority="3498" operator="notBetween">
      <formula>$K91</formula>
      <formula>$L91</formula>
    </cfRule>
  </conditionalFormatting>
  <conditionalFormatting sqref="O91:R91 O92 T91:V91">
    <cfRule type="cellIs" dxfId="1401" priority="3499" operator="notBetween">
      <formula>$K91</formula>
      <formula>$L91</formula>
    </cfRule>
  </conditionalFormatting>
  <conditionalFormatting sqref="AC89:AC90">
    <cfRule type="cellIs" dxfId="1400" priority="3500" operator="equal">
      <formula>0</formula>
    </cfRule>
    <cfRule type="cellIs" dxfId="1399" priority="3501" operator="equal">
      <formula>1</formula>
    </cfRule>
  </conditionalFormatting>
  <conditionalFormatting sqref="X89:X90">
    <cfRule type="cellIs" dxfId="1398" priority="3502" operator="notBetween">
      <formula>$K89</formula>
      <formula>$L89</formula>
    </cfRule>
  </conditionalFormatting>
  <conditionalFormatting sqref="O89:R89 O90 T89:V89">
    <cfRule type="cellIs" dxfId="1397" priority="3503" operator="notBetween">
      <formula>$K89</formula>
      <formula>$L89</formula>
    </cfRule>
  </conditionalFormatting>
  <conditionalFormatting sqref="AC87:AC88">
    <cfRule type="cellIs" dxfId="1396" priority="3504" operator="equal">
      <formula>0</formula>
    </cfRule>
    <cfRule type="cellIs" dxfId="1395" priority="3505" operator="equal">
      <formula>1</formula>
    </cfRule>
  </conditionalFormatting>
  <conditionalFormatting sqref="X87:X88">
    <cfRule type="cellIs" dxfId="1394" priority="3506" operator="notBetween">
      <formula>$K87</formula>
      <formula>$L87</formula>
    </cfRule>
  </conditionalFormatting>
  <conditionalFormatting sqref="O87:R87 O88 T87:V87">
    <cfRule type="cellIs" dxfId="1393" priority="3507" operator="notBetween">
      <formula>$K87</formula>
      <formula>$L87</formula>
    </cfRule>
  </conditionalFormatting>
  <conditionalFormatting sqref="AC85:AC86">
    <cfRule type="cellIs" dxfId="1392" priority="3508" operator="equal">
      <formula>0</formula>
    </cfRule>
    <cfRule type="cellIs" dxfId="1391" priority="3509" operator="equal">
      <formula>1</formula>
    </cfRule>
  </conditionalFormatting>
  <conditionalFormatting sqref="X85:X86">
    <cfRule type="cellIs" dxfId="1390" priority="3510" operator="notBetween">
      <formula>$K85</formula>
      <formula>$L85</formula>
    </cfRule>
  </conditionalFormatting>
  <conditionalFormatting sqref="O85:R85 O86 T85:V85">
    <cfRule type="cellIs" dxfId="1389" priority="3511" operator="notBetween">
      <formula>$K85</formula>
      <formula>$L85</formula>
    </cfRule>
  </conditionalFormatting>
  <conditionalFormatting sqref="AC83:AC84">
    <cfRule type="cellIs" dxfId="1388" priority="3512" operator="equal">
      <formula>0</formula>
    </cfRule>
    <cfRule type="cellIs" dxfId="1387" priority="3513" operator="equal">
      <formula>1</formula>
    </cfRule>
  </conditionalFormatting>
  <conditionalFormatting sqref="X83:X84">
    <cfRule type="cellIs" dxfId="1386" priority="3514" operator="notBetween">
      <formula>$K83</formula>
      <formula>$L83</formula>
    </cfRule>
  </conditionalFormatting>
  <conditionalFormatting sqref="O83:R83 O84 T83:V83">
    <cfRule type="cellIs" dxfId="1385" priority="3515" operator="notBetween">
      <formula>$K83</formula>
      <formula>$L83</formula>
    </cfRule>
  </conditionalFormatting>
  <conditionalFormatting sqref="AC57 AC63">
    <cfRule type="cellIs" dxfId="1384" priority="3516" operator="equal">
      <formula>0</formula>
    </cfRule>
    <cfRule type="cellIs" dxfId="1383" priority="3517" operator="equal">
      <formula>1</formula>
    </cfRule>
  </conditionalFormatting>
  <conditionalFormatting sqref="X57 X63">
    <cfRule type="cellIs" dxfId="1382" priority="3518" operator="notBetween">
      <formula>$K57</formula>
      <formula>$L57</formula>
    </cfRule>
  </conditionalFormatting>
  <conditionalFormatting sqref="O57:R57 O63 T57:V57">
    <cfRule type="cellIs" dxfId="1381" priority="3519" operator="notBetween">
      <formula>$K57</formula>
      <formula>$L57</formula>
    </cfRule>
  </conditionalFormatting>
  <conditionalFormatting sqref="B1 B57 B63 B128 B251 B260:B267 B284:B286 B290 B311:B312 B314:B315 B318:B1048576 B235 B208:B211 B292 B216:B218 B226:B227 B3:B7 B131 B220:B221 B244 B83:B122 B307:B309 B148:B169 B137:B138 B141 B192:B206 B296">
    <cfRule type="containsText" dxfId="1380" priority="3520" operator="containsText" text="MA-CUST">
      <formula>NOT(ISERROR(SEARCH("MA-CUST",B1)))</formula>
    </cfRule>
    <cfRule type="containsText" dxfId="1379" priority="3521" operator="containsText" text="MA-MLX">
      <formula>NOT(ISERROR(SEARCH("MA-MLX",B1)))</formula>
    </cfRule>
    <cfRule type="containsText" dxfId="1378" priority="3522" operator="containsText" text="CS">
      <formula>NOT(ISERROR(SEARCH("CS",B1)))</formula>
    </cfRule>
  </conditionalFormatting>
  <conditionalFormatting sqref="AC14">
    <cfRule type="cellIs" dxfId="1377" priority="3106" operator="equal">
      <formula>0</formula>
    </cfRule>
    <cfRule type="cellIs" dxfId="1376" priority="3107" operator="equal">
      <formula>1</formula>
    </cfRule>
  </conditionalFormatting>
  <conditionalFormatting sqref="AC10">
    <cfRule type="cellIs" dxfId="1375" priority="3113" operator="equal">
      <formula>0</formula>
    </cfRule>
    <cfRule type="cellIs" dxfId="1374" priority="3114" operator="equal">
      <formula>1</formula>
    </cfRule>
  </conditionalFormatting>
  <conditionalFormatting sqref="X10">
    <cfRule type="cellIs" dxfId="1373" priority="3115" operator="notBetween">
      <formula>$K10</formula>
      <formula>$L10</formula>
    </cfRule>
  </conditionalFormatting>
  <conditionalFormatting sqref="O10">
    <cfRule type="cellIs" dxfId="1372" priority="3116" operator="notBetween">
      <formula>$K10</formula>
      <formula>$L10</formula>
    </cfRule>
  </conditionalFormatting>
  <conditionalFormatting sqref="B10">
    <cfRule type="containsText" dxfId="1371" priority="3117" operator="containsText" text="MA-CUST">
      <formula>NOT(ISERROR(SEARCH("MA-CUST",B10)))</formula>
    </cfRule>
    <cfRule type="containsText" dxfId="1370" priority="3118" operator="containsText" text="MA-MLX">
      <formula>NOT(ISERROR(SEARCH("MA-MLX",B10)))</formula>
    </cfRule>
    <cfRule type="containsText" dxfId="1369" priority="3119" operator="containsText" text="CS">
      <formula>NOT(ISERROR(SEARCH("CS",B10)))</formula>
    </cfRule>
  </conditionalFormatting>
  <conditionalFormatting sqref="X14">
    <cfRule type="cellIs" dxfId="1368" priority="3108" operator="notBetween">
      <formula>$K14</formula>
      <formula>$L14</formula>
    </cfRule>
  </conditionalFormatting>
  <conditionalFormatting sqref="O14">
    <cfRule type="cellIs" dxfId="1367" priority="3109" operator="notBetween">
      <formula>$K14</formula>
      <formula>$L14</formula>
    </cfRule>
  </conditionalFormatting>
  <conditionalFormatting sqref="B14">
    <cfRule type="containsText" dxfId="1366" priority="3110" operator="containsText" text="MA-CUST">
      <formula>NOT(ISERROR(SEARCH("MA-CUST",B14)))</formula>
    </cfRule>
    <cfRule type="containsText" dxfId="1365" priority="3111" operator="containsText" text="MA-MLX">
      <formula>NOT(ISERROR(SEARCH("MA-MLX",B14)))</formula>
    </cfRule>
    <cfRule type="containsText" dxfId="1364" priority="3112" operator="containsText" text="CS">
      <formula>NOT(ISERROR(SEARCH("CS",B14)))</formula>
    </cfRule>
  </conditionalFormatting>
  <conditionalFormatting sqref="X61:X62 O61:O62">
    <cfRule type="cellIs" dxfId="1363" priority="2615" operator="notBetween">
      <formula>$K61</formula>
      <formula>$L61</formula>
    </cfRule>
  </conditionalFormatting>
  <conditionalFormatting sqref="AC60">
    <cfRule type="cellIs" dxfId="1362" priority="2608" operator="equal">
      <formula>0</formula>
    </cfRule>
    <cfRule type="cellIs" dxfId="1361" priority="2609" operator="equal">
      <formula>1</formula>
    </cfRule>
  </conditionalFormatting>
  <conditionalFormatting sqref="X60">
    <cfRule type="cellIs" dxfId="1360" priority="2610" operator="notBetween">
      <formula>$K60</formula>
      <formula>$L60</formula>
    </cfRule>
  </conditionalFormatting>
  <conditionalFormatting sqref="O60">
    <cfRule type="cellIs" dxfId="1359" priority="2611" operator="notBetween">
      <formula>$K60</formula>
      <formula>$L60</formula>
    </cfRule>
  </conditionalFormatting>
  <conditionalFormatting sqref="B60">
    <cfRule type="containsText" dxfId="1358" priority="2612" operator="containsText" text="MA-CUST">
      <formula>NOT(ISERROR(SEARCH("MA-CUST",B60)))</formula>
    </cfRule>
    <cfRule type="containsText" dxfId="1357" priority="2613" operator="containsText" text="MA-MLX">
      <formula>NOT(ISERROR(SEARCH("MA-MLX",B60)))</formula>
    </cfRule>
    <cfRule type="containsText" dxfId="1356" priority="2614" operator="containsText" text="CS">
      <formula>NOT(ISERROR(SEARCH("CS",B60)))</formula>
    </cfRule>
  </conditionalFormatting>
  <conditionalFormatting sqref="AC61:AC62">
    <cfRule type="cellIs" dxfId="1355" priority="2603" operator="equal">
      <formula>0</formula>
    </cfRule>
    <cfRule type="cellIs" dxfId="1354" priority="2604" operator="equal">
      <formula>1</formula>
    </cfRule>
  </conditionalFormatting>
  <conditionalFormatting sqref="B61:B62">
    <cfRule type="containsText" dxfId="1353" priority="2605" operator="containsText" text="MA-CUST">
      <formula>NOT(ISERROR(SEARCH("MA-CUST",B61)))</formula>
    </cfRule>
    <cfRule type="containsText" dxfId="1352" priority="2606" operator="containsText" text="MA-MLX">
      <formula>NOT(ISERROR(SEARCH("MA-MLX",B61)))</formula>
    </cfRule>
    <cfRule type="containsText" dxfId="1351" priority="2607" operator="containsText" text="CS">
      <formula>NOT(ISERROR(SEARCH("CS",B61)))</formula>
    </cfRule>
  </conditionalFormatting>
  <conditionalFormatting sqref="AC62">
    <cfRule type="cellIs" dxfId="1350" priority="2598" operator="equal">
      <formula>0</formula>
    </cfRule>
    <cfRule type="cellIs" dxfId="1349" priority="2599" operator="equal">
      <formula>1</formula>
    </cfRule>
  </conditionalFormatting>
  <conditionalFormatting sqref="B62">
    <cfRule type="containsText" dxfId="1348" priority="2600" operator="containsText" text="MA-CUST">
      <formula>NOT(ISERROR(SEARCH("MA-CUST",B62)))</formula>
    </cfRule>
    <cfRule type="containsText" dxfId="1347" priority="2601" operator="containsText" text="MA-MLX">
      <formula>NOT(ISERROR(SEARCH("MA-MLX",B62)))</formula>
    </cfRule>
    <cfRule type="containsText" dxfId="1346" priority="2602" operator="containsText" text="CS">
      <formula>NOT(ISERROR(SEARCH("CS",B62)))</formula>
    </cfRule>
  </conditionalFormatting>
  <conditionalFormatting sqref="O126">
    <cfRule type="cellIs" dxfId="1345" priority="2461" operator="notBetween">
      <formula>$K126</formula>
      <formula>$L126</formula>
    </cfRule>
  </conditionalFormatting>
  <conditionalFormatting sqref="AC126">
    <cfRule type="cellIs" dxfId="1344" priority="2458" operator="equal">
      <formula>0</formula>
    </cfRule>
    <cfRule type="cellIs" dxfId="1343" priority="2459" operator="equal">
      <formula>1</formula>
    </cfRule>
  </conditionalFormatting>
  <conditionalFormatting sqref="X126">
    <cfRule type="cellIs" dxfId="1342" priority="2460" operator="notBetween">
      <formula>$K126</formula>
      <formula>$L126</formula>
    </cfRule>
  </conditionalFormatting>
  <conditionalFormatting sqref="B126">
    <cfRule type="containsText" dxfId="1341" priority="2462" operator="containsText" text="MA-CUST">
      <formula>NOT(ISERROR(SEARCH("MA-CUST",B126)))</formula>
    </cfRule>
    <cfRule type="containsText" dxfId="1340" priority="2463" operator="containsText" text="MA-MLX">
      <formula>NOT(ISERROR(SEARCH("MA-MLX",B126)))</formula>
    </cfRule>
    <cfRule type="containsText" dxfId="1339" priority="2464" operator="containsText" text="CS">
      <formula>NOT(ISERROR(SEARCH("CS",B126)))</formula>
    </cfRule>
  </conditionalFormatting>
  <conditionalFormatting sqref="AC125 AC127">
    <cfRule type="cellIs" dxfId="1338" priority="2465" operator="equal">
      <formula>0</formula>
    </cfRule>
    <cfRule type="cellIs" dxfId="1337" priority="2466" operator="equal">
      <formula>1</formula>
    </cfRule>
  </conditionalFormatting>
  <conditionalFormatting sqref="X125 X127">
    <cfRule type="cellIs" dxfId="1336" priority="2467" operator="notBetween">
      <formula>$K125</formula>
      <formula>$L125</formula>
    </cfRule>
  </conditionalFormatting>
  <conditionalFormatting sqref="O125:R125 O127 T125:V125">
    <cfRule type="cellIs" dxfId="1335" priority="2468" operator="notBetween">
      <formula>$K125</formula>
      <formula>$L125</formula>
    </cfRule>
  </conditionalFormatting>
  <conditionalFormatting sqref="B125 B127">
    <cfRule type="containsText" dxfId="1334" priority="2469" operator="containsText" text="MA-CUST">
      <formula>NOT(ISERROR(SEARCH("MA-CUST",B125)))</formula>
    </cfRule>
    <cfRule type="containsText" dxfId="1333" priority="2470" operator="containsText" text="MA-MLX">
      <formula>NOT(ISERROR(SEARCH("MA-MLX",B125)))</formula>
    </cfRule>
    <cfRule type="containsText" dxfId="1332" priority="2471" operator="containsText" text="CS">
      <formula>NOT(ISERROR(SEARCH("CS",B125)))</formula>
    </cfRule>
  </conditionalFormatting>
  <conditionalFormatting sqref="AC130">
    <cfRule type="cellIs" dxfId="1331" priority="2451" operator="equal">
      <formula>0</formula>
    </cfRule>
    <cfRule type="cellIs" dxfId="1330" priority="2452" operator="equal">
      <formula>1</formula>
    </cfRule>
  </conditionalFormatting>
  <conditionalFormatting sqref="X130">
    <cfRule type="cellIs" dxfId="1329" priority="2453" operator="notBetween">
      <formula>$K130</formula>
      <formula>$L130</formula>
    </cfRule>
  </conditionalFormatting>
  <conditionalFormatting sqref="O130">
    <cfRule type="cellIs" dxfId="1328" priority="2454" operator="notBetween">
      <formula>$K130</formula>
      <formula>$L130</formula>
    </cfRule>
  </conditionalFormatting>
  <conditionalFormatting sqref="B130">
    <cfRule type="containsText" dxfId="1327" priority="2455" operator="containsText" text="MA-CUST">
      <formula>NOT(ISERROR(SEARCH("MA-CUST",B130)))</formula>
    </cfRule>
    <cfRule type="containsText" dxfId="1326" priority="2456" operator="containsText" text="MA-MLX">
      <formula>NOT(ISERROR(SEARCH("MA-MLX",B130)))</formula>
    </cfRule>
    <cfRule type="containsText" dxfId="1325" priority="2457" operator="containsText" text="CS">
      <formula>NOT(ISERROR(SEARCH("CS",B130)))</formula>
    </cfRule>
  </conditionalFormatting>
  <conditionalFormatting sqref="AC129">
    <cfRule type="cellIs" dxfId="1324" priority="2444" operator="equal">
      <formula>0</formula>
    </cfRule>
    <cfRule type="cellIs" dxfId="1323" priority="2445" operator="equal">
      <formula>1</formula>
    </cfRule>
  </conditionalFormatting>
  <conditionalFormatting sqref="X129">
    <cfRule type="cellIs" dxfId="1322" priority="2446" operator="notBetween">
      <formula>$K129</formula>
      <formula>$L129</formula>
    </cfRule>
  </conditionalFormatting>
  <conditionalFormatting sqref="O129">
    <cfRule type="cellIs" dxfId="1321" priority="2447" operator="notBetween">
      <formula>$K129</formula>
      <formula>$L129</formula>
    </cfRule>
  </conditionalFormatting>
  <conditionalFormatting sqref="B129">
    <cfRule type="containsText" dxfId="1320" priority="2448" operator="containsText" text="MA-CUST">
      <formula>NOT(ISERROR(SEARCH("MA-CUST",B129)))</formula>
    </cfRule>
    <cfRule type="containsText" dxfId="1319" priority="2449" operator="containsText" text="MA-MLX">
      <formula>NOT(ISERROR(SEARCH("MA-MLX",B129)))</formula>
    </cfRule>
    <cfRule type="containsText" dxfId="1318" priority="2450" operator="containsText" text="CS">
      <formula>NOT(ISERROR(SEARCH("CS",B129)))</formula>
    </cfRule>
  </conditionalFormatting>
  <conditionalFormatting sqref="AC207">
    <cfRule type="cellIs" dxfId="1317" priority="2437" operator="equal">
      <formula>0</formula>
    </cfRule>
    <cfRule type="cellIs" dxfId="1316" priority="2438" operator="equal">
      <formula>1</formula>
    </cfRule>
  </conditionalFormatting>
  <conditionalFormatting sqref="X207">
    <cfRule type="cellIs" dxfId="1315" priority="2439" operator="notBetween">
      <formula>$K207</formula>
      <formula>$L207</formula>
    </cfRule>
  </conditionalFormatting>
  <conditionalFormatting sqref="O207">
    <cfRule type="cellIs" dxfId="1314" priority="2440" operator="notBetween">
      <formula>$K207</formula>
      <formula>$L207</formula>
    </cfRule>
  </conditionalFormatting>
  <conditionalFormatting sqref="B207">
    <cfRule type="containsText" dxfId="1313" priority="2441" operator="containsText" text="MA-CUST">
      <formula>NOT(ISERROR(SEARCH("MA-CUST",B207)))</formula>
    </cfRule>
    <cfRule type="containsText" dxfId="1312" priority="2442" operator="containsText" text="MA-MLX">
      <formula>NOT(ISERROR(SEARCH("MA-MLX",B207)))</formula>
    </cfRule>
    <cfRule type="containsText" dxfId="1311" priority="2443" operator="containsText" text="CS">
      <formula>NOT(ISERROR(SEARCH("CS",B207)))</formula>
    </cfRule>
  </conditionalFormatting>
  <conditionalFormatting sqref="AC138">
    <cfRule type="cellIs" dxfId="1310" priority="2390" operator="equal">
      <formula>0</formula>
    </cfRule>
    <cfRule type="cellIs" dxfId="1309" priority="2391" operator="equal">
      <formula>1</formula>
    </cfRule>
  </conditionalFormatting>
  <conditionalFormatting sqref="B138">
    <cfRule type="containsText" dxfId="1308" priority="2392" operator="containsText" text="MA-CUST">
      <formula>NOT(ISERROR(SEARCH("MA-CUST",B138)))</formula>
    </cfRule>
    <cfRule type="containsText" dxfId="1307" priority="2393" operator="containsText" text="MA-MLX">
      <formula>NOT(ISERROR(SEARCH("MA-MLX",B138)))</formula>
    </cfRule>
    <cfRule type="containsText" dxfId="1306" priority="2394" operator="containsText" text="CS">
      <formula>NOT(ISERROR(SEARCH("CS",B138)))</formula>
    </cfRule>
  </conditionalFormatting>
  <conditionalFormatting sqref="AC250">
    <cfRule type="cellIs" dxfId="1305" priority="2383" operator="equal">
      <formula>0</formula>
    </cfRule>
    <cfRule type="cellIs" dxfId="1304" priority="2384" operator="equal">
      <formula>1</formula>
    </cfRule>
  </conditionalFormatting>
  <conditionalFormatting sqref="X250">
    <cfRule type="cellIs" dxfId="1303" priority="2385" operator="notBetween">
      <formula>$K250</formula>
      <formula>$L250</formula>
    </cfRule>
  </conditionalFormatting>
  <conditionalFormatting sqref="O250">
    <cfRule type="cellIs" dxfId="1302" priority="2386" operator="notBetween">
      <formula>$K250</formula>
      <formula>$L250</formula>
    </cfRule>
  </conditionalFormatting>
  <conditionalFormatting sqref="B250">
    <cfRule type="containsText" dxfId="1301" priority="2387" operator="containsText" text="MA-CUST">
      <formula>NOT(ISERROR(SEARCH("MA-CUST",B250)))</formula>
    </cfRule>
    <cfRule type="containsText" dxfId="1300" priority="2388" operator="containsText" text="MA-MLX">
      <formula>NOT(ISERROR(SEARCH("MA-MLX",B250)))</formula>
    </cfRule>
    <cfRule type="containsText" dxfId="1299" priority="2389" operator="containsText" text="CS">
      <formula>NOT(ISERROR(SEARCH("CS",B250)))</formula>
    </cfRule>
  </conditionalFormatting>
  <conditionalFormatting sqref="AC249">
    <cfRule type="cellIs" dxfId="1298" priority="2376" operator="equal">
      <formula>0</formula>
    </cfRule>
    <cfRule type="cellIs" dxfId="1297" priority="2377" operator="equal">
      <formula>1</formula>
    </cfRule>
  </conditionalFormatting>
  <conditionalFormatting sqref="X249">
    <cfRule type="cellIs" dxfId="1296" priority="2378" operator="notBetween">
      <formula>$K249</formula>
      <formula>$L249</formula>
    </cfRule>
  </conditionalFormatting>
  <conditionalFormatting sqref="O249">
    <cfRule type="cellIs" dxfId="1295" priority="2379" operator="notBetween">
      <formula>$K249</formula>
      <formula>$L249</formula>
    </cfRule>
  </conditionalFormatting>
  <conditionalFormatting sqref="B249">
    <cfRule type="containsText" dxfId="1294" priority="2380" operator="containsText" text="MA-CUST">
      <formula>NOT(ISERROR(SEARCH("MA-CUST",B249)))</formula>
    </cfRule>
    <cfRule type="containsText" dxfId="1293" priority="2381" operator="containsText" text="MA-MLX">
      <formula>NOT(ISERROR(SEARCH("MA-MLX",B249)))</formula>
    </cfRule>
    <cfRule type="containsText" dxfId="1292" priority="2382" operator="containsText" text="CS">
      <formula>NOT(ISERROR(SEARCH("CS",B249)))</formula>
    </cfRule>
  </conditionalFormatting>
  <conditionalFormatting sqref="AC248">
    <cfRule type="cellIs" dxfId="1291" priority="2369" operator="equal">
      <formula>0</formula>
    </cfRule>
    <cfRule type="cellIs" dxfId="1290" priority="2370" operator="equal">
      <formula>1</formula>
    </cfRule>
  </conditionalFormatting>
  <conditionalFormatting sqref="X248">
    <cfRule type="cellIs" dxfId="1289" priority="2371" operator="notBetween">
      <formula>$K248</formula>
      <formula>$L248</formula>
    </cfRule>
  </conditionalFormatting>
  <conditionalFormatting sqref="O248">
    <cfRule type="cellIs" dxfId="1288" priority="2372" operator="notBetween">
      <formula>$K248</formula>
      <formula>$L248</formula>
    </cfRule>
  </conditionalFormatting>
  <conditionalFormatting sqref="B248">
    <cfRule type="containsText" dxfId="1287" priority="2373" operator="containsText" text="MA-CUST">
      <formula>NOT(ISERROR(SEARCH("MA-CUST",B248)))</formula>
    </cfRule>
    <cfRule type="containsText" dxfId="1286" priority="2374" operator="containsText" text="MA-MLX">
      <formula>NOT(ISERROR(SEARCH("MA-MLX",B248)))</formula>
    </cfRule>
    <cfRule type="containsText" dxfId="1285" priority="2375" operator="containsText" text="CS">
      <formula>NOT(ISERROR(SEARCH("CS",B248)))</formula>
    </cfRule>
  </conditionalFormatting>
  <conditionalFormatting sqref="AC247">
    <cfRule type="cellIs" dxfId="1284" priority="2362" operator="equal">
      <formula>0</formula>
    </cfRule>
    <cfRule type="cellIs" dxfId="1283" priority="2363" operator="equal">
      <formula>1</formula>
    </cfRule>
  </conditionalFormatting>
  <conditionalFormatting sqref="X247">
    <cfRule type="cellIs" dxfId="1282" priority="2364" operator="notBetween">
      <formula>$K247</formula>
      <formula>$L247</formula>
    </cfRule>
  </conditionalFormatting>
  <conditionalFormatting sqref="O247">
    <cfRule type="cellIs" dxfId="1281" priority="2365" operator="notBetween">
      <formula>$K247</formula>
      <formula>$L247</formula>
    </cfRule>
  </conditionalFormatting>
  <conditionalFormatting sqref="B247">
    <cfRule type="containsText" dxfId="1280" priority="2366" operator="containsText" text="MA-CUST">
      <formula>NOT(ISERROR(SEARCH("MA-CUST",B247)))</formula>
    </cfRule>
    <cfRule type="containsText" dxfId="1279" priority="2367" operator="containsText" text="MA-MLX">
      <formula>NOT(ISERROR(SEARCH("MA-MLX",B247)))</formula>
    </cfRule>
    <cfRule type="containsText" dxfId="1278" priority="2368" operator="containsText" text="CS">
      <formula>NOT(ISERROR(SEARCH("CS",B247)))</formula>
    </cfRule>
  </conditionalFormatting>
  <conditionalFormatting sqref="AC245">
    <cfRule type="cellIs" dxfId="1277" priority="2355" operator="equal">
      <formula>0</formula>
    </cfRule>
    <cfRule type="cellIs" dxfId="1276" priority="2356" operator="equal">
      <formula>1</formula>
    </cfRule>
  </conditionalFormatting>
  <conditionalFormatting sqref="X245">
    <cfRule type="cellIs" dxfId="1275" priority="2357" operator="notBetween">
      <formula>$K245</formula>
      <formula>$L245</formula>
    </cfRule>
  </conditionalFormatting>
  <conditionalFormatting sqref="O245">
    <cfRule type="cellIs" dxfId="1274" priority="2358" operator="notBetween">
      <formula>$K245</formula>
      <formula>$L245</formula>
    </cfRule>
  </conditionalFormatting>
  <conditionalFormatting sqref="B245">
    <cfRule type="containsText" dxfId="1273" priority="2359" operator="containsText" text="MA-CUST">
      <formula>NOT(ISERROR(SEARCH("MA-CUST",B245)))</formula>
    </cfRule>
    <cfRule type="containsText" dxfId="1272" priority="2360" operator="containsText" text="MA-MLX">
      <formula>NOT(ISERROR(SEARCH("MA-MLX",B245)))</formula>
    </cfRule>
    <cfRule type="containsText" dxfId="1271" priority="2361" operator="containsText" text="CS">
      <formula>NOT(ISERROR(SEARCH("CS",B245)))</formula>
    </cfRule>
  </conditionalFormatting>
  <conditionalFormatting sqref="AC252 AC259">
    <cfRule type="cellIs" dxfId="1270" priority="2348" operator="equal">
      <formula>0</formula>
    </cfRule>
    <cfRule type="cellIs" dxfId="1269" priority="2349" operator="equal">
      <formula>1</formula>
    </cfRule>
  </conditionalFormatting>
  <conditionalFormatting sqref="X252 X259">
    <cfRule type="cellIs" dxfId="1268" priority="2350" operator="notBetween">
      <formula>$K252</formula>
      <formula>$L252</formula>
    </cfRule>
  </conditionalFormatting>
  <conditionalFormatting sqref="O252:R252 O259 T252:V252">
    <cfRule type="cellIs" dxfId="1267" priority="2351" operator="notBetween">
      <formula>$K252</formula>
      <formula>$L252</formula>
    </cfRule>
  </conditionalFormatting>
  <conditionalFormatting sqref="B252 B259">
    <cfRule type="containsText" dxfId="1266" priority="2352" operator="containsText" text="MA-CUST">
      <formula>NOT(ISERROR(SEARCH("MA-CUST",B252)))</formula>
    </cfRule>
    <cfRule type="containsText" dxfId="1265" priority="2353" operator="containsText" text="MA-MLX">
      <formula>NOT(ISERROR(SEARCH("MA-MLX",B252)))</formula>
    </cfRule>
    <cfRule type="containsText" dxfId="1264" priority="2354" operator="containsText" text="CS">
      <formula>NOT(ISERROR(SEARCH("CS",B252)))</formula>
    </cfRule>
  </conditionalFormatting>
  <conditionalFormatting sqref="AC258">
    <cfRule type="cellIs" dxfId="1263" priority="2341" operator="equal">
      <formula>0</formula>
    </cfRule>
    <cfRule type="cellIs" dxfId="1262" priority="2342" operator="equal">
      <formula>1</formula>
    </cfRule>
  </conditionalFormatting>
  <conditionalFormatting sqref="X258">
    <cfRule type="cellIs" dxfId="1261" priority="2343" operator="notBetween">
      <formula>$K258</formula>
      <formula>$L258</formula>
    </cfRule>
  </conditionalFormatting>
  <conditionalFormatting sqref="O258">
    <cfRule type="cellIs" dxfId="1260" priority="2344" operator="notBetween">
      <formula>$K258</formula>
      <formula>$L258</formula>
    </cfRule>
  </conditionalFormatting>
  <conditionalFormatting sqref="B258">
    <cfRule type="containsText" dxfId="1259" priority="2345" operator="containsText" text="MA-CUST">
      <formula>NOT(ISERROR(SEARCH("MA-CUST",B258)))</formula>
    </cfRule>
    <cfRule type="containsText" dxfId="1258" priority="2346" operator="containsText" text="MA-MLX">
      <formula>NOT(ISERROR(SEARCH("MA-MLX",B258)))</formula>
    </cfRule>
    <cfRule type="containsText" dxfId="1257" priority="2347" operator="containsText" text="CS">
      <formula>NOT(ISERROR(SEARCH("CS",B258)))</formula>
    </cfRule>
  </conditionalFormatting>
  <conditionalFormatting sqref="AC257">
    <cfRule type="cellIs" dxfId="1256" priority="2334" operator="equal">
      <formula>0</formula>
    </cfRule>
    <cfRule type="cellIs" dxfId="1255" priority="2335" operator="equal">
      <formula>1</formula>
    </cfRule>
  </conditionalFormatting>
  <conditionalFormatting sqref="X257">
    <cfRule type="cellIs" dxfId="1254" priority="2336" operator="notBetween">
      <formula>$K257</formula>
      <formula>$L257</formula>
    </cfRule>
  </conditionalFormatting>
  <conditionalFormatting sqref="O257">
    <cfRule type="cellIs" dxfId="1253" priority="2337" operator="notBetween">
      <formula>$K257</formula>
      <formula>$L257</formula>
    </cfRule>
  </conditionalFormatting>
  <conditionalFormatting sqref="B257">
    <cfRule type="containsText" dxfId="1252" priority="2338" operator="containsText" text="MA-CUST">
      <formula>NOT(ISERROR(SEARCH("MA-CUST",B257)))</formula>
    </cfRule>
    <cfRule type="containsText" dxfId="1251" priority="2339" operator="containsText" text="MA-MLX">
      <formula>NOT(ISERROR(SEARCH("MA-MLX",B257)))</formula>
    </cfRule>
    <cfRule type="containsText" dxfId="1250" priority="2340" operator="containsText" text="CS">
      <formula>NOT(ISERROR(SEARCH("CS",B257)))</formula>
    </cfRule>
  </conditionalFormatting>
  <conditionalFormatting sqref="AC256">
    <cfRule type="cellIs" dxfId="1249" priority="2327" operator="equal">
      <formula>0</formula>
    </cfRule>
    <cfRule type="cellIs" dxfId="1248" priority="2328" operator="equal">
      <formula>1</formula>
    </cfRule>
  </conditionalFormatting>
  <conditionalFormatting sqref="X256">
    <cfRule type="cellIs" dxfId="1247" priority="2329" operator="notBetween">
      <formula>$K256</formula>
      <formula>$L256</formula>
    </cfRule>
  </conditionalFormatting>
  <conditionalFormatting sqref="O256">
    <cfRule type="cellIs" dxfId="1246" priority="2330" operator="notBetween">
      <formula>$K256</formula>
      <formula>$L256</formula>
    </cfRule>
  </conditionalFormatting>
  <conditionalFormatting sqref="B256">
    <cfRule type="containsText" dxfId="1245" priority="2331" operator="containsText" text="MA-CUST">
      <formula>NOT(ISERROR(SEARCH("MA-CUST",B256)))</formula>
    </cfRule>
    <cfRule type="containsText" dxfId="1244" priority="2332" operator="containsText" text="MA-MLX">
      <formula>NOT(ISERROR(SEARCH("MA-MLX",B256)))</formula>
    </cfRule>
    <cfRule type="containsText" dxfId="1243" priority="2333" operator="containsText" text="CS">
      <formula>NOT(ISERROR(SEARCH("CS",B256)))</formula>
    </cfRule>
  </conditionalFormatting>
  <conditionalFormatting sqref="AC255">
    <cfRule type="cellIs" dxfId="1242" priority="2320" operator="equal">
      <formula>0</formula>
    </cfRule>
    <cfRule type="cellIs" dxfId="1241" priority="2321" operator="equal">
      <formula>1</formula>
    </cfRule>
  </conditionalFormatting>
  <conditionalFormatting sqref="X255">
    <cfRule type="cellIs" dxfId="1240" priority="2322" operator="notBetween">
      <formula>$K255</formula>
      <formula>$L255</formula>
    </cfRule>
  </conditionalFormatting>
  <conditionalFormatting sqref="O255">
    <cfRule type="cellIs" dxfId="1239" priority="2323" operator="notBetween">
      <formula>$K255</formula>
      <formula>$L255</formula>
    </cfRule>
  </conditionalFormatting>
  <conditionalFormatting sqref="B255">
    <cfRule type="containsText" dxfId="1238" priority="2324" operator="containsText" text="MA-CUST">
      <formula>NOT(ISERROR(SEARCH("MA-CUST",B255)))</formula>
    </cfRule>
    <cfRule type="containsText" dxfId="1237" priority="2325" operator="containsText" text="MA-MLX">
      <formula>NOT(ISERROR(SEARCH("MA-MLX",B255)))</formula>
    </cfRule>
    <cfRule type="containsText" dxfId="1236" priority="2326" operator="containsText" text="CS">
      <formula>NOT(ISERROR(SEARCH("CS",B255)))</formula>
    </cfRule>
  </conditionalFormatting>
  <conditionalFormatting sqref="AC254">
    <cfRule type="cellIs" dxfId="1235" priority="2313" operator="equal">
      <formula>0</formula>
    </cfRule>
    <cfRule type="cellIs" dxfId="1234" priority="2314" operator="equal">
      <formula>1</formula>
    </cfRule>
  </conditionalFormatting>
  <conditionalFormatting sqref="X254">
    <cfRule type="cellIs" dxfId="1233" priority="2315" operator="notBetween">
      <formula>$K254</formula>
      <formula>$L254</formula>
    </cfRule>
  </conditionalFormatting>
  <conditionalFormatting sqref="O254">
    <cfRule type="cellIs" dxfId="1232" priority="2316" operator="notBetween">
      <formula>$K254</formula>
      <formula>$L254</formula>
    </cfRule>
  </conditionalFormatting>
  <conditionalFormatting sqref="B254">
    <cfRule type="containsText" dxfId="1231" priority="2317" operator="containsText" text="MA-CUST">
      <formula>NOT(ISERROR(SEARCH("MA-CUST",B254)))</formula>
    </cfRule>
    <cfRule type="containsText" dxfId="1230" priority="2318" operator="containsText" text="MA-MLX">
      <formula>NOT(ISERROR(SEARCH("MA-MLX",B254)))</formula>
    </cfRule>
    <cfRule type="containsText" dxfId="1229" priority="2319" operator="containsText" text="CS">
      <formula>NOT(ISERROR(SEARCH("CS",B254)))</formula>
    </cfRule>
  </conditionalFormatting>
  <conditionalFormatting sqref="AC253">
    <cfRule type="cellIs" dxfId="1228" priority="2306" operator="equal">
      <formula>0</formula>
    </cfRule>
    <cfRule type="cellIs" dxfId="1227" priority="2307" operator="equal">
      <formula>1</formula>
    </cfRule>
  </conditionalFormatting>
  <conditionalFormatting sqref="X253">
    <cfRule type="cellIs" dxfId="1226" priority="2308" operator="notBetween">
      <formula>$K253</formula>
      <formula>$L253</formula>
    </cfRule>
  </conditionalFormatting>
  <conditionalFormatting sqref="O253">
    <cfRule type="cellIs" dxfId="1225" priority="2309" operator="notBetween">
      <formula>$K253</formula>
      <formula>$L253</formula>
    </cfRule>
  </conditionalFormatting>
  <conditionalFormatting sqref="B253">
    <cfRule type="containsText" dxfId="1224" priority="2310" operator="containsText" text="MA-CUST">
      <formula>NOT(ISERROR(SEARCH("MA-CUST",B253)))</formula>
    </cfRule>
    <cfRule type="containsText" dxfId="1223" priority="2311" operator="containsText" text="MA-MLX">
      <formula>NOT(ISERROR(SEARCH("MA-MLX",B253)))</formula>
    </cfRule>
    <cfRule type="containsText" dxfId="1222" priority="2312" operator="containsText" text="CS">
      <formula>NOT(ISERROR(SEARCH("CS",B253)))</formula>
    </cfRule>
  </conditionalFormatting>
  <conditionalFormatting sqref="AC274:AC275">
    <cfRule type="cellIs" dxfId="1221" priority="2287" operator="equal">
      <formula>0</formula>
    </cfRule>
    <cfRule type="cellIs" dxfId="1220" priority="2288" operator="equal">
      <formula>1</formula>
    </cfRule>
  </conditionalFormatting>
  <conditionalFormatting sqref="X274:X275">
    <cfRule type="cellIs" dxfId="1219" priority="2289" operator="notBetween">
      <formula>$K274</formula>
      <formula>$L274</formula>
    </cfRule>
  </conditionalFormatting>
  <conditionalFormatting sqref="O274:R274 O275 T274:V274">
    <cfRule type="cellIs" dxfId="1218" priority="2290" operator="notBetween">
      <formula>$K274</formula>
      <formula>$L274</formula>
    </cfRule>
  </conditionalFormatting>
  <conditionalFormatting sqref="AC272:AC273">
    <cfRule type="cellIs" dxfId="1217" priority="2291" operator="equal">
      <formula>0</formula>
    </cfRule>
    <cfRule type="cellIs" dxfId="1216" priority="2292" operator="equal">
      <formula>1</formula>
    </cfRule>
  </conditionalFormatting>
  <conditionalFormatting sqref="X272:X273">
    <cfRule type="cellIs" dxfId="1215" priority="2293" operator="notBetween">
      <formula>$K272</formula>
      <formula>$L272</formula>
    </cfRule>
  </conditionalFormatting>
  <conditionalFormatting sqref="O272:R272 O273 T272:V272">
    <cfRule type="cellIs" dxfId="1214" priority="2294" operator="notBetween">
      <formula>$K272</formula>
      <formula>$L272</formula>
    </cfRule>
  </conditionalFormatting>
  <conditionalFormatting sqref="AC270:AC271">
    <cfRule type="cellIs" dxfId="1213" priority="2295" operator="equal">
      <formula>0</formula>
    </cfRule>
    <cfRule type="cellIs" dxfId="1212" priority="2296" operator="equal">
      <formula>1</formula>
    </cfRule>
  </conditionalFormatting>
  <conditionalFormatting sqref="X270:X271">
    <cfRule type="cellIs" dxfId="1211" priority="2297" operator="notBetween">
      <formula>$K270</formula>
      <formula>$L270</formula>
    </cfRule>
  </conditionalFormatting>
  <conditionalFormatting sqref="O270:R270 O271 T270:V270">
    <cfRule type="cellIs" dxfId="1210" priority="2298" operator="notBetween">
      <formula>$K270</formula>
      <formula>$L270</formula>
    </cfRule>
  </conditionalFormatting>
  <conditionalFormatting sqref="AC268:AC269">
    <cfRule type="cellIs" dxfId="1209" priority="2299" operator="equal">
      <formula>0</formula>
    </cfRule>
    <cfRule type="cellIs" dxfId="1208" priority="2300" operator="equal">
      <formula>1</formula>
    </cfRule>
  </conditionalFormatting>
  <conditionalFormatting sqref="X268:X269">
    <cfRule type="cellIs" dxfId="1207" priority="2301" operator="notBetween">
      <formula>$K268</formula>
      <formula>$L268</formula>
    </cfRule>
  </conditionalFormatting>
  <conditionalFormatting sqref="O268:R268 O269 T268:V268">
    <cfRule type="cellIs" dxfId="1206" priority="2302" operator="notBetween">
      <formula>$K268</formula>
      <formula>$L268</formula>
    </cfRule>
  </conditionalFormatting>
  <conditionalFormatting sqref="B268:B275">
    <cfRule type="containsText" dxfId="1205" priority="2303" operator="containsText" text="MA-CUST">
      <formula>NOT(ISERROR(SEARCH("MA-CUST",B268)))</formula>
    </cfRule>
    <cfRule type="containsText" dxfId="1204" priority="2304" operator="containsText" text="MA-MLX">
      <formula>NOT(ISERROR(SEARCH("MA-MLX",B268)))</formula>
    </cfRule>
    <cfRule type="containsText" dxfId="1203" priority="2305" operator="containsText" text="CS">
      <formula>NOT(ISERROR(SEARCH("CS",B268)))</formula>
    </cfRule>
  </conditionalFormatting>
  <conditionalFormatting sqref="AC282:AC283">
    <cfRule type="cellIs" dxfId="1202" priority="2268" operator="equal">
      <formula>0</formula>
    </cfRule>
    <cfRule type="cellIs" dxfId="1201" priority="2269" operator="equal">
      <formula>1</formula>
    </cfRule>
  </conditionalFormatting>
  <conditionalFormatting sqref="X282:X283">
    <cfRule type="cellIs" dxfId="1200" priority="2270" operator="notBetween">
      <formula>$K282</formula>
      <formula>$L282</formula>
    </cfRule>
  </conditionalFormatting>
  <conditionalFormatting sqref="O282:R282 O283 T282:V282">
    <cfRule type="cellIs" dxfId="1199" priority="2271" operator="notBetween">
      <formula>$K282</formula>
      <formula>$L282</formula>
    </cfRule>
  </conditionalFormatting>
  <conditionalFormatting sqref="AC280:AC281">
    <cfRule type="cellIs" dxfId="1198" priority="2272" operator="equal">
      <formula>0</formula>
    </cfRule>
    <cfRule type="cellIs" dxfId="1197" priority="2273" operator="equal">
      <formula>1</formula>
    </cfRule>
  </conditionalFormatting>
  <conditionalFormatting sqref="X280:X281">
    <cfRule type="cellIs" dxfId="1196" priority="2274" operator="notBetween">
      <formula>$K280</formula>
      <formula>$L280</formula>
    </cfRule>
  </conditionalFormatting>
  <conditionalFormatting sqref="O280:R280 O281 T280:V280">
    <cfRule type="cellIs" dxfId="1195" priority="2275" operator="notBetween">
      <formula>$K280</formula>
      <formula>$L280</formula>
    </cfRule>
  </conditionalFormatting>
  <conditionalFormatting sqref="AC278:AC279">
    <cfRule type="cellIs" dxfId="1194" priority="2276" operator="equal">
      <formula>0</formula>
    </cfRule>
    <cfRule type="cellIs" dxfId="1193" priority="2277" operator="equal">
      <formula>1</formula>
    </cfRule>
  </conditionalFormatting>
  <conditionalFormatting sqref="X278:X279">
    <cfRule type="cellIs" dxfId="1192" priority="2278" operator="notBetween">
      <formula>$K278</formula>
      <formula>$L278</formula>
    </cfRule>
  </conditionalFormatting>
  <conditionalFormatting sqref="O278:R278 O279 T278:V278">
    <cfRule type="cellIs" dxfId="1191" priority="2279" operator="notBetween">
      <formula>$K278</formula>
      <formula>$L278</formula>
    </cfRule>
  </conditionalFormatting>
  <conditionalFormatting sqref="AC276:AC277">
    <cfRule type="cellIs" dxfId="1190" priority="2280" operator="equal">
      <formula>0</formula>
    </cfRule>
    <cfRule type="cellIs" dxfId="1189" priority="2281" operator="equal">
      <formula>1</formula>
    </cfRule>
  </conditionalFormatting>
  <conditionalFormatting sqref="X276:X277">
    <cfRule type="cellIs" dxfId="1188" priority="2282" operator="notBetween">
      <formula>$K276</formula>
      <formula>$L276</formula>
    </cfRule>
  </conditionalFormatting>
  <conditionalFormatting sqref="O276:R276 O277 T276:V276">
    <cfRule type="cellIs" dxfId="1187" priority="2283" operator="notBetween">
      <formula>$K276</formula>
      <formula>$L276</formula>
    </cfRule>
  </conditionalFormatting>
  <conditionalFormatting sqref="B276:B283">
    <cfRule type="containsText" dxfId="1186" priority="2284" operator="containsText" text="MA-CUST">
      <formula>NOT(ISERROR(SEARCH("MA-CUST",B276)))</formula>
    </cfRule>
    <cfRule type="containsText" dxfId="1185" priority="2285" operator="containsText" text="MA-MLX">
      <formula>NOT(ISERROR(SEARCH("MA-MLX",B276)))</formula>
    </cfRule>
    <cfRule type="containsText" dxfId="1184" priority="2286" operator="containsText" text="CS">
      <formula>NOT(ISERROR(SEARCH("CS",B276)))</formula>
    </cfRule>
  </conditionalFormatting>
  <conditionalFormatting sqref="AC289">
    <cfRule type="cellIs" dxfId="1183" priority="2258" operator="equal">
      <formula>0</formula>
    </cfRule>
    <cfRule type="cellIs" dxfId="1182" priority="2259" operator="equal">
      <formula>1</formula>
    </cfRule>
  </conditionalFormatting>
  <conditionalFormatting sqref="X288:X289 O288:O289">
    <cfRule type="cellIs" dxfId="1181" priority="2260" operator="notBetween">
      <formula>$K288</formula>
      <formula>$L288</formula>
    </cfRule>
  </conditionalFormatting>
  <conditionalFormatting sqref="AC287:AC289">
    <cfRule type="cellIs" dxfId="1180" priority="2261" operator="equal">
      <formula>0</formula>
    </cfRule>
    <cfRule type="cellIs" dxfId="1179" priority="2262" operator="equal">
      <formula>1</formula>
    </cfRule>
  </conditionalFormatting>
  <conditionalFormatting sqref="X287">
    <cfRule type="cellIs" dxfId="1178" priority="2263" operator="notBetween">
      <formula>$K287</formula>
      <formula>$L287</formula>
    </cfRule>
  </conditionalFormatting>
  <conditionalFormatting sqref="O287:R287 T287:V287">
    <cfRule type="cellIs" dxfId="1177" priority="2264" operator="notBetween">
      <formula>$K287</formula>
      <formula>$L287</formula>
    </cfRule>
  </conditionalFormatting>
  <conditionalFormatting sqref="B287:B289">
    <cfRule type="containsText" dxfId="1176" priority="2265" operator="containsText" text="MA-CUST">
      <formula>NOT(ISERROR(SEARCH("MA-CUST",B287)))</formula>
    </cfRule>
    <cfRule type="containsText" dxfId="1175" priority="2266" operator="containsText" text="MA-MLX">
      <formula>NOT(ISERROR(SEARCH("MA-MLX",B287)))</formula>
    </cfRule>
    <cfRule type="containsText" dxfId="1174" priority="2267" operator="containsText" text="CS">
      <formula>NOT(ISERROR(SEARCH("CS",B287)))</formula>
    </cfRule>
  </conditionalFormatting>
  <conditionalFormatting sqref="AC291">
    <cfRule type="cellIs" dxfId="1173" priority="2250" operator="equal">
      <formula>0</formula>
    </cfRule>
    <cfRule type="cellIs" dxfId="1172" priority="2251" operator="equal">
      <formula>1</formula>
    </cfRule>
  </conditionalFormatting>
  <conditionalFormatting sqref="X291 O291">
    <cfRule type="cellIs" dxfId="1171" priority="2252" operator="notBetween">
      <formula>$K291</formula>
      <formula>$L291</formula>
    </cfRule>
  </conditionalFormatting>
  <conditionalFormatting sqref="AC291">
    <cfRule type="cellIs" dxfId="1170" priority="2253" operator="equal">
      <formula>0</formula>
    </cfRule>
    <cfRule type="cellIs" dxfId="1169" priority="2254" operator="equal">
      <formula>1</formula>
    </cfRule>
  </conditionalFormatting>
  <conditionalFormatting sqref="B291">
    <cfRule type="containsText" dxfId="1168" priority="2255" operator="containsText" text="MA-CUST">
      <formula>NOT(ISERROR(SEARCH("MA-CUST",B291)))</formula>
    </cfRule>
    <cfRule type="containsText" dxfId="1167" priority="2256" operator="containsText" text="MA-MLX">
      <formula>NOT(ISERROR(SEARCH("MA-MLX",B291)))</formula>
    </cfRule>
    <cfRule type="containsText" dxfId="1166" priority="2257" operator="containsText" text="CS">
      <formula>NOT(ISERROR(SEARCH("CS",B291)))</formula>
    </cfRule>
  </conditionalFormatting>
  <conditionalFormatting sqref="AC215">
    <cfRule type="cellIs" dxfId="1165" priority="2243" operator="equal">
      <formula>0</formula>
    </cfRule>
    <cfRule type="cellIs" dxfId="1164" priority="2244" operator="equal">
      <formula>1</formula>
    </cfRule>
  </conditionalFormatting>
  <conditionalFormatting sqref="X215">
    <cfRule type="cellIs" dxfId="1163" priority="2245" operator="notBetween">
      <formula>$K215</formula>
      <formula>$L215</formula>
    </cfRule>
  </conditionalFormatting>
  <conditionalFormatting sqref="O215">
    <cfRule type="cellIs" dxfId="1162" priority="2246" operator="notBetween">
      <formula>$K215</formula>
      <formula>$L215</formula>
    </cfRule>
  </conditionalFormatting>
  <conditionalFormatting sqref="B215">
    <cfRule type="containsText" dxfId="1161" priority="2247" operator="containsText" text="MA-CUST">
      <formula>NOT(ISERROR(SEARCH("MA-CUST",B215)))</formula>
    </cfRule>
    <cfRule type="containsText" dxfId="1160" priority="2248" operator="containsText" text="MA-MLX">
      <formula>NOT(ISERROR(SEARCH("MA-MLX",B215)))</formula>
    </cfRule>
    <cfRule type="containsText" dxfId="1159" priority="2249" operator="containsText" text="CS">
      <formula>NOT(ISERROR(SEARCH("CS",B215)))</formula>
    </cfRule>
  </conditionalFormatting>
  <conditionalFormatting sqref="AC310">
    <cfRule type="cellIs" dxfId="1158" priority="2236" operator="equal">
      <formula>0</formula>
    </cfRule>
    <cfRule type="cellIs" dxfId="1157" priority="2237" operator="equal">
      <formula>1</formula>
    </cfRule>
  </conditionalFormatting>
  <conditionalFormatting sqref="X310">
    <cfRule type="cellIs" dxfId="1156" priority="2238" operator="notBetween">
      <formula>$K310</formula>
      <formula>$L310</formula>
    </cfRule>
  </conditionalFormatting>
  <conditionalFormatting sqref="O310">
    <cfRule type="cellIs" dxfId="1155" priority="2239" operator="notBetween">
      <formula>$K310</formula>
      <formula>$L310</formula>
    </cfRule>
  </conditionalFormatting>
  <conditionalFormatting sqref="B310">
    <cfRule type="containsText" dxfId="1154" priority="2240" operator="containsText" text="MA-CUST">
      <formula>NOT(ISERROR(SEARCH("MA-CUST",B310)))</formula>
    </cfRule>
    <cfRule type="containsText" dxfId="1153" priority="2241" operator="containsText" text="MA-MLX">
      <formula>NOT(ISERROR(SEARCH("MA-MLX",B310)))</formula>
    </cfRule>
    <cfRule type="containsText" dxfId="1152" priority="2242" operator="containsText" text="CS">
      <formula>NOT(ISERROR(SEARCH("CS",B310)))</formula>
    </cfRule>
  </conditionalFormatting>
  <conditionalFormatting sqref="AC313">
    <cfRule type="cellIs" dxfId="1151" priority="2229" operator="equal">
      <formula>0</formula>
    </cfRule>
    <cfRule type="cellIs" dxfId="1150" priority="2230" operator="equal">
      <formula>1</formula>
    </cfRule>
  </conditionalFormatting>
  <conditionalFormatting sqref="X313">
    <cfRule type="cellIs" dxfId="1149" priority="2231" operator="notBetween">
      <formula>$K313</formula>
      <formula>$L313</formula>
    </cfRule>
  </conditionalFormatting>
  <conditionalFormatting sqref="O313">
    <cfRule type="cellIs" dxfId="1148" priority="2232" operator="notBetween">
      <formula>$K313</formula>
      <formula>$L313</formula>
    </cfRule>
  </conditionalFormatting>
  <conditionalFormatting sqref="B313">
    <cfRule type="containsText" dxfId="1147" priority="2233" operator="containsText" text="MA-CUST">
      <formula>NOT(ISERROR(SEARCH("MA-CUST",B313)))</formula>
    </cfRule>
    <cfRule type="containsText" dxfId="1146" priority="2234" operator="containsText" text="MA-MLX">
      <formula>NOT(ISERROR(SEARCH("MA-MLX",B313)))</formula>
    </cfRule>
    <cfRule type="containsText" dxfId="1145" priority="2235" operator="containsText" text="CS">
      <formula>NOT(ISERROR(SEARCH("CS",B313)))</formula>
    </cfRule>
  </conditionalFormatting>
  <conditionalFormatting sqref="AC316">
    <cfRule type="cellIs" dxfId="1144" priority="2222" operator="equal">
      <formula>0</formula>
    </cfRule>
    <cfRule type="cellIs" dxfId="1143" priority="2223" operator="equal">
      <formula>1</formula>
    </cfRule>
  </conditionalFormatting>
  <conditionalFormatting sqref="X316">
    <cfRule type="cellIs" dxfId="1142" priority="2224" operator="notBetween">
      <formula>$K316</formula>
      <formula>$L316</formula>
    </cfRule>
  </conditionalFormatting>
  <conditionalFormatting sqref="O316">
    <cfRule type="cellIs" dxfId="1141" priority="2225" operator="notBetween">
      <formula>$K316</formula>
      <formula>$L316</formula>
    </cfRule>
  </conditionalFormatting>
  <conditionalFormatting sqref="B316">
    <cfRule type="containsText" dxfId="1140" priority="2226" operator="containsText" text="MA-CUST">
      <formula>NOT(ISERROR(SEARCH("MA-CUST",B316)))</formula>
    </cfRule>
    <cfRule type="containsText" dxfId="1139" priority="2227" operator="containsText" text="MA-MLX">
      <formula>NOT(ISERROR(SEARCH("MA-MLX",B316)))</formula>
    </cfRule>
    <cfRule type="containsText" dxfId="1138" priority="2228" operator="containsText" text="CS">
      <formula>NOT(ISERROR(SEARCH("CS",B316)))</formula>
    </cfRule>
  </conditionalFormatting>
  <conditionalFormatting sqref="AC317">
    <cfRule type="cellIs" dxfId="1137" priority="2215" operator="equal">
      <formula>0</formula>
    </cfRule>
    <cfRule type="cellIs" dxfId="1136" priority="2216" operator="equal">
      <formula>1</formula>
    </cfRule>
  </conditionalFormatting>
  <conditionalFormatting sqref="X317">
    <cfRule type="cellIs" dxfId="1135" priority="2217" operator="notBetween">
      <formula>$K317</formula>
      <formula>$L317</formula>
    </cfRule>
  </conditionalFormatting>
  <conditionalFormatting sqref="O317">
    <cfRule type="cellIs" dxfId="1134" priority="2218" operator="notBetween">
      <formula>$K317</formula>
      <formula>$L317</formula>
    </cfRule>
  </conditionalFormatting>
  <conditionalFormatting sqref="B317">
    <cfRule type="containsText" dxfId="1133" priority="2219" operator="containsText" text="MA-CUST">
      <formula>NOT(ISERROR(SEARCH("MA-CUST",B317)))</formula>
    </cfRule>
    <cfRule type="containsText" dxfId="1132" priority="2220" operator="containsText" text="MA-MLX">
      <formula>NOT(ISERROR(SEARCH("MA-MLX",B317)))</formula>
    </cfRule>
    <cfRule type="containsText" dxfId="1131" priority="2221" operator="containsText" text="CS">
      <formula>NOT(ISERROR(SEARCH("CS",B317)))</formula>
    </cfRule>
  </conditionalFormatting>
  <conditionalFormatting sqref="AC214">
    <cfRule type="cellIs" dxfId="1130" priority="2208" operator="equal">
      <formula>0</formula>
    </cfRule>
    <cfRule type="cellIs" dxfId="1129" priority="2209" operator="equal">
      <formula>1</formula>
    </cfRule>
  </conditionalFormatting>
  <conditionalFormatting sqref="X214">
    <cfRule type="cellIs" dxfId="1128" priority="2210" operator="notBetween">
      <formula>$K214</formula>
      <formula>$L214</formula>
    </cfRule>
  </conditionalFormatting>
  <conditionalFormatting sqref="O214">
    <cfRule type="cellIs" dxfId="1127" priority="2211" operator="notBetween">
      <formula>$K214</formula>
      <formula>$L214</formula>
    </cfRule>
  </conditionalFormatting>
  <conditionalFormatting sqref="B214">
    <cfRule type="containsText" dxfId="1126" priority="2212" operator="containsText" text="MA-CUST">
      <formula>NOT(ISERROR(SEARCH("MA-CUST",B214)))</formula>
    </cfRule>
    <cfRule type="containsText" dxfId="1125" priority="2213" operator="containsText" text="MA-MLX">
      <formula>NOT(ISERROR(SEARCH("MA-MLX",B214)))</formula>
    </cfRule>
    <cfRule type="containsText" dxfId="1124" priority="2214" operator="containsText" text="CS">
      <formula>NOT(ISERROR(SEARCH("CS",B214)))</formula>
    </cfRule>
  </conditionalFormatting>
  <conditionalFormatting sqref="X230">
    <cfRule type="cellIs" dxfId="1123" priority="2144" operator="notBetween">
      <formula>$K230</formula>
      <formula>$L230</formula>
    </cfRule>
  </conditionalFormatting>
  <conditionalFormatting sqref="AC234">
    <cfRule type="cellIs" dxfId="1122" priority="2170" operator="equal">
      <formula>0</formula>
    </cfRule>
    <cfRule type="cellIs" dxfId="1121" priority="2171" operator="equal">
      <formula>1</formula>
    </cfRule>
  </conditionalFormatting>
  <conditionalFormatting sqref="X234">
    <cfRule type="cellIs" dxfId="1120" priority="2172" operator="notBetween">
      <formula>$K234</formula>
      <formula>$L234</formula>
    </cfRule>
  </conditionalFormatting>
  <conditionalFormatting sqref="O234">
    <cfRule type="cellIs" dxfId="1119" priority="2173" operator="notBetween">
      <formula>$K234</formula>
      <formula>$L234</formula>
    </cfRule>
  </conditionalFormatting>
  <conditionalFormatting sqref="B234">
    <cfRule type="containsText" dxfId="1118" priority="2174" operator="containsText" text="MA-CUST">
      <formula>NOT(ISERROR(SEARCH("MA-CUST",B234)))</formula>
    </cfRule>
    <cfRule type="containsText" dxfId="1117" priority="2175" operator="containsText" text="MA-MLX">
      <formula>NOT(ISERROR(SEARCH("MA-MLX",B234)))</formula>
    </cfRule>
    <cfRule type="containsText" dxfId="1116" priority="2176" operator="containsText" text="CS">
      <formula>NOT(ISERROR(SEARCH("CS",B234)))</formula>
    </cfRule>
  </conditionalFormatting>
  <conditionalFormatting sqref="AC233">
    <cfRule type="cellIs" dxfId="1115" priority="2163" operator="equal">
      <formula>0</formula>
    </cfRule>
    <cfRule type="cellIs" dxfId="1114" priority="2164" operator="equal">
      <formula>1</formula>
    </cfRule>
  </conditionalFormatting>
  <conditionalFormatting sqref="O233">
    <cfRule type="cellIs" dxfId="1113" priority="2166" operator="notBetween">
      <formula>$K233</formula>
      <formula>$L233</formula>
    </cfRule>
  </conditionalFormatting>
  <conditionalFormatting sqref="X232">
    <cfRule type="cellIs" dxfId="1112" priority="2158" operator="notBetween">
      <formula>$K232</formula>
      <formula>$L232</formula>
    </cfRule>
  </conditionalFormatting>
  <conditionalFormatting sqref="B233">
    <cfRule type="containsText" dxfId="1111" priority="2167" operator="containsText" text="MA-CUST">
      <formula>NOT(ISERROR(SEARCH("MA-CUST",B233)))</formula>
    </cfRule>
    <cfRule type="containsText" dxfId="1110" priority="2168" operator="containsText" text="MA-MLX">
      <formula>NOT(ISERROR(SEARCH("MA-MLX",B233)))</formula>
    </cfRule>
    <cfRule type="containsText" dxfId="1109" priority="2169" operator="containsText" text="CS">
      <formula>NOT(ISERROR(SEARCH("CS",B233)))</formula>
    </cfRule>
  </conditionalFormatting>
  <conditionalFormatting sqref="AC220">
    <cfRule type="cellIs" dxfId="1108" priority="2182" operator="equal">
      <formula>0</formula>
    </cfRule>
    <cfRule type="cellIs" dxfId="1107" priority="2183" operator="equal">
      <formula>1</formula>
    </cfRule>
  </conditionalFormatting>
  <conditionalFormatting sqref="B220">
    <cfRule type="containsText" dxfId="1106" priority="2184" operator="containsText" text="MA-CUST">
      <formula>NOT(ISERROR(SEARCH("MA-CUST",B220)))</formula>
    </cfRule>
    <cfRule type="containsText" dxfId="1105" priority="2185" operator="containsText" text="MA-MLX">
      <formula>NOT(ISERROR(SEARCH("MA-MLX",B220)))</formula>
    </cfRule>
    <cfRule type="containsText" dxfId="1104" priority="2186" operator="containsText" text="CS">
      <formula>NOT(ISERROR(SEARCH("CS",B220)))</formula>
    </cfRule>
  </conditionalFormatting>
  <conditionalFormatting sqref="AC218">
    <cfRule type="cellIs" dxfId="1103" priority="2177" operator="equal">
      <formula>0</formula>
    </cfRule>
    <cfRule type="cellIs" dxfId="1102" priority="2178" operator="equal">
      <formula>1</formula>
    </cfRule>
  </conditionalFormatting>
  <conditionalFormatting sqref="B218">
    <cfRule type="containsText" dxfId="1101" priority="2179" operator="containsText" text="MA-CUST">
      <formula>NOT(ISERROR(SEARCH("MA-CUST",B218)))</formula>
    </cfRule>
    <cfRule type="containsText" dxfId="1100" priority="2180" operator="containsText" text="MA-MLX">
      <formula>NOT(ISERROR(SEARCH("MA-MLX",B218)))</formula>
    </cfRule>
    <cfRule type="containsText" dxfId="1099" priority="2181" operator="containsText" text="CS">
      <formula>NOT(ISERROR(SEARCH("CS",B218)))</formula>
    </cfRule>
  </conditionalFormatting>
  <conditionalFormatting sqref="X233">
    <cfRule type="cellIs" dxfId="1098" priority="2165" operator="notBetween">
      <formula>$K233</formula>
      <formula>$L233</formula>
    </cfRule>
  </conditionalFormatting>
  <conditionalFormatting sqref="AC232">
    <cfRule type="cellIs" dxfId="1097" priority="2156" operator="equal">
      <formula>0</formula>
    </cfRule>
    <cfRule type="cellIs" dxfId="1096" priority="2157" operator="equal">
      <formula>1</formula>
    </cfRule>
  </conditionalFormatting>
  <conditionalFormatting sqref="O232">
    <cfRule type="cellIs" dxfId="1095" priority="2159" operator="notBetween">
      <formula>$K232</formula>
      <formula>$L232</formula>
    </cfRule>
  </conditionalFormatting>
  <conditionalFormatting sqref="B232">
    <cfRule type="containsText" dxfId="1094" priority="2160" operator="containsText" text="MA-CUST">
      <formula>NOT(ISERROR(SEARCH("MA-CUST",B232)))</formula>
    </cfRule>
    <cfRule type="containsText" dxfId="1093" priority="2161" operator="containsText" text="MA-MLX">
      <formula>NOT(ISERROR(SEARCH("MA-MLX",B232)))</formula>
    </cfRule>
    <cfRule type="containsText" dxfId="1092" priority="2162" operator="containsText" text="CS">
      <formula>NOT(ISERROR(SEARCH("CS",B232)))</formula>
    </cfRule>
  </conditionalFormatting>
  <conditionalFormatting sqref="X231">
    <cfRule type="cellIs" dxfId="1091" priority="2151" operator="notBetween">
      <formula>$K231</formula>
      <formula>$L231</formula>
    </cfRule>
  </conditionalFormatting>
  <conditionalFormatting sqref="AC231">
    <cfRule type="cellIs" dxfId="1090" priority="2149" operator="equal">
      <formula>0</formula>
    </cfRule>
    <cfRule type="cellIs" dxfId="1089" priority="2150" operator="equal">
      <formula>1</formula>
    </cfRule>
  </conditionalFormatting>
  <conditionalFormatting sqref="O231">
    <cfRule type="cellIs" dxfId="1088" priority="2152" operator="notBetween">
      <formula>$K231</formula>
      <formula>$L231</formula>
    </cfRule>
  </conditionalFormatting>
  <conditionalFormatting sqref="B231">
    <cfRule type="containsText" dxfId="1087" priority="2153" operator="containsText" text="MA-CUST">
      <formula>NOT(ISERROR(SEARCH("MA-CUST",B231)))</formula>
    </cfRule>
    <cfRule type="containsText" dxfId="1086" priority="2154" operator="containsText" text="MA-MLX">
      <formula>NOT(ISERROR(SEARCH("MA-MLX",B231)))</formula>
    </cfRule>
    <cfRule type="containsText" dxfId="1085" priority="2155" operator="containsText" text="CS">
      <formula>NOT(ISERROR(SEARCH("CS",B231)))</formula>
    </cfRule>
  </conditionalFormatting>
  <conditionalFormatting sqref="AC230">
    <cfRule type="cellIs" dxfId="1084" priority="2142" operator="equal">
      <formula>0</formula>
    </cfRule>
    <cfRule type="cellIs" dxfId="1083" priority="2143" operator="equal">
      <formula>1</formula>
    </cfRule>
  </conditionalFormatting>
  <conditionalFormatting sqref="O230">
    <cfRule type="cellIs" dxfId="1082" priority="2145" operator="notBetween">
      <formula>$K230</formula>
      <formula>$L230</formula>
    </cfRule>
  </conditionalFormatting>
  <conditionalFormatting sqref="B230">
    <cfRule type="containsText" dxfId="1081" priority="2146" operator="containsText" text="MA-CUST">
      <formula>NOT(ISERROR(SEARCH("MA-CUST",B230)))</formula>
    </cfRule>
    <cfRule type="containsText" dxfId="1080" priority="2147" operator="containsText" text="MA-MLX">
      <formula>NOT(ISERROR(SEARCH("MA-MLX",B230)))</formula>
    </cfRule>
    <cfRule type="containsText" dxfId="1079" priority="2148" operator="containsText" text="CS">
      <formula>NOT(ISERROR(SEARCH("CS",B230)))</formula>
    </cfRule>
  </conditionalFormatting>
  <conditionalFormatting sqref="AC212">
    <cfRule type="cellIs" dxfId="1078" priority="2072" operator="equal">
      <formula>0</formula>
    </cfRule>
    <cfRule type="cellIs" dxfId="1077" priority="2073" operator="equal">
      <formula>1</formula>
    </cfRule>
  </conditionalFormatting>
  <conditionalFormatting sqref="X212">
    <cfRule type="cellIs" dxfId="1076" priority="2074" operator="notBetween">
      <formula>$K212</formula>
      <formula>$L212</formula>
    </cfRule>
  </conditionalFormatting>
  <conditionalFormatting sqref="O212">
    <cfRule type="cellIs" dxfId="1075" priority="2075" operator="notBetween">
      <formula>$K212</formula>
      <formula>$L212</formula>
    </cfRule>
  </conditionalFormatting>
  <conditionalFormatting sqref="B212">
    <cfRule type="containsText" dxfId="1074" priority="2076" operator="containsText" text="MA-CUST">
      <formula>NOT(ISERROR(SEARCH("MA-CUST",B212)))</formula>
    </cfRule>
    <cfRule type="containsText" dxfId="1073" priority="2077" operator="containsText" text="MA-MLX">
      <formula>NOT(ISERROR(SEARCH("MA-MLX",B212)))</formula>
    </cfRule>
    <cfRule type="containsText" dxfId="1072" priority="2078" operator="containsText" text="CS">
      <formula>NOT(ISERROR(SEARCH("CS",B212)))</formula>
    </cfRule>
  </conditionalFormatting>
  <conditionalFormatting sqref="AC246">
    <cfRule type="cellIs" dxfId="1071" priority="1960" operator="equal">
      <formula>0</formula>
    </cfRule>
    <cfRule type="cellIs" dxfId="1070" priority="1961" operator="equal">
      <formula>1</formula>
    </cfRule>
  </conditionalFormatting>
  <conditionalFormatting sqref="X246">
    <cfRule type="cellIs" dxfId="1069" priority="1962" operator="notBetween">
      <formula>$K246</formula>
      <formula>$L246</formula>
    </cfRule>
  </conditionalFormatting>
  <conditionalFormatting sqref="O246">
    <cfRule type="cellIs" dxfId="1068" priority="1963" operator="notBetween">
      <formula>$K246</formula>
      <formula>$L246</formula>
    </cfRule>
  </conditionalFormatting>
  <conditionalFormatting sqref="B246">
    <cfRule type="containsText" dxfId="1067" priority="1964" operator="containsText" text="MA-CUST">
      <formula>NOT(ISERROR(SEARCH("MA-CUST",B246)))</formula>
    </cfRule>
    <cfRule type="containsText" dxfId="1066" priority="1965" operator="containsText" text="MA-MLX">
      <formula>NOT(ISERROR(SEARCH("MA-MLX",B246)))</formula>
    </cfRule>
    <cfRule type="containsText" dxfId="1065" priority="1966" operator="containsText" text="CS">
      <formula>NOT(ISERROR(SEARCH("CS",B246)))</formula>
    </cfRule>
  </conditionalFormatting>
  <conditionalFormatting sqref="E1 I1 L1">
    <cfRule type="containsText" dxfId="1064" priority="1889" operator="containsText" text="FALSE">
      <formula>NOT(ISERROR(SEARCH("FALSE",E1)))</formula>
    </cfRule>
    <cfRule type="containsText" dxfId="1063" priority="1890" operator="containsText" text="TRUE">
      <formula>NOT(ISERROR(SEARCH("TRUE",E1)))</formula>
    </cfRule>
  </conditionalFormatting>
  <conditionalFormatting sqref="AC20">
    <cfRule type="cellIs" dxfId="1062" priority="1867" operator="equal">
      <formula>0</formula>
    </cfRule>
    <cfRule type="cellIs" dxfId="1061" priority="1868" operator="equal">
      <formula>1</formula>
    </cfRule>
  </conditionalFormatting>
  <conditionalFormatting sqref="X20">
    <cfRule type="cellIs" dxfId="1060" priority="1869" operator="notBetween">
      <formula>$K20</formula>
      <formula>$L20</formula>
    </cfRule>
  </conditionalFormatting>
  <conditionalFormatting sqref="O20:R20 T20:V20">
    <cfRule type="cellIs" dxfId="1059" priority="1870" operator="notBetween">
      <formula>$K20</formula>
      <formula>$L20</formula>
    </cfRule>
  </conditionalFormatting>
  <conditionalFormatting sqref="B20">
    <cfRule type="containsText" dxfId="1058" priority="1871" operator="containsText" text="MA-CUST">
      <formula>NOT(ISERROR(SEARCH("MA-CUST",B20)))</formula>
    </cfRule>
    <cfRule type="containsText" dxfId="1057" priority="1872" operator="containsText" text="MA-MLX">
      <formula>NOT(ISERROR(SEARCH("MA-MLX",B20)))</formula>
    </cfRule>
    <cfRule type="containsText" dxfId="1056" priority="1873" operator="containsText" text="CS">
      <formula>NOT(ISERROR(SEARCH("CS",B20)))</formula>
    </cfRule>
  </conditionalFormatting>
  <conditionalFormatting sqref="AC33">
    <cfRule type="cellIs" dxfId="1055" priority="1860" operator="equal">
      <formula>0</formula>
    </cfRule>
    <cfRule type="cellIs" dxfId="1054" priority="1861" operator="equal">
      <formula>1</formula>
    </cfRule>
  </conditionalFormatting>
  <conditionalFormatting sqref="X33">
    <cfRule type="cellIs" dxfId="1053" priority="1862" operator="notBetween">
      <formula>$K33</formula>
      <formula>$L33</formula>
    </cfRule>
  </conditionalFormatting>
  <conditionalFormatting sqref="O33">
    <cfRule type="cellIs" dxfId="1052" priority="1863" operator="notBetween">
      <formula>$K33</formula>
      <formula>$L33</formula>
    </cfRule>
  </conditionalFormatting>
  <conditionalFormatting sqref="B33">
    <cfRule type="containsText" dxfId="1051" priority="1864" operator="containsText" text="MA-CUST">
      <formula>NOT(ISERROR(SEARCH("MA-CUST",B33)))</formula>
    </cfRule>
    <cfRule type="containsText" dxfId="1050" priority="1865" operator="containsText" text="MA-MLX">
      <formula>NOT(ISERROR(SEARCH("MA-MLX",B33)))</formula>
    </cfRule>
    <cfRule type="containsText" dxfId="1049" priority="1866" operator="containsText" text="CS">
      <formula>NOT(ISERROR(SEARCH("CS",B33)))</formula>
    </cfRule>
  </conditionalFormatting>
  <conditionalFormatting sqref="AC32">
    <cfRule type="cellIs" dxfId="1048" priority="1853" operator="equal">
      <formula>0</formula>
    </cfRule>
    <cfRule type="cellIs" dxfId="1047" priority="1854" operator="equal">
      <formula>1</formula>
    </cfRule>
  </conditionalFormatting>
  <conditionalFormatting sqref="X32">
    <cfRule type="cellIs" dxfId="1046" priority="1855" operator="notBetween">
      <formula>$K32</formula>
      <formula>$L32</formula>
    </cfRule>
  </conditionalFormatting>
  <conditionalFormatting sqref="O32">
    <cfRule type="cellIs" dxfId="1045" priority="1856" operator="notBetween">
      <formula>$K32</formula>
      <formula>$L32</formula>
    </cfRule>
  </conditionalFormatting>
  <conditionalFormatting sqref="B32">
    <cfRule type="containsText" dxfId="1044" priority="1857" operator="containsText" text="MA-CUST">
      <formula>NOT(ISERROR(SEARCH("MA-CUST",B32)))</formula>
    </cfRule>
    <cfRule type="containsText" dxfId="1043" priority="1858" operator="containsText" text="MA-MLX">
      <formula>NOT(ISERROR(SEARCH("MA-MLX",B32)))</formula>
    </cfRule>
    <cfRule type="containsText" dxfId="1042" priority="1859" operator="containsText" text="CS">
      <formula>NOT(ISERROR(SEARCH("CS",B32)))</formula>
    </cfRule>
  </conditionalFormatting>
  <conditionalFormatting sqref="AC34">
    <cfRule type="cellIs" dxfId="1041" priority="1803" operator="equal">
      <formula>0</formula>
    </cfRule>
    <cfRule type="cellIs" dxfId="1040" priority="1804" operator="equal">
      <formula>1</formula>
    </cfRule>
  </conditionalFormatting>
  <conditionalFormatting sqref="X34">
    <cfRule type="cellIs" dxfId="1039" priority="1805" operator="notBetween">
      <formula>$K34</formula>
      <formula>$L34</formula>
    </cfRule>
  </conditionalFormatting>
  <conditionalFormatting sqref="O34:R34 T34:V34">
    <cfRule type="cellIs" dxfId="1038" priority="1806" operator="notBetween">
      <formula>$K34</formula>
      <formula>$L34</formula>
    </cfRule>
  </conditionalFormatting>
  <conditionalFormatting sqref="B34">
    <cfRule type="containsText" dxfId="1037" priority="1807" operator="containsText" text="MA-CUST">
      <formula>NOT(ISERROR(SEARCH("MA-CUST",B34)))</formula>
    </cfRule>
    <cfRule type="containsText" dxfId="1036" priority="1808" operator="containsText" text="MA-MLX">
      <formula>NOT(ISERROR(SEARCH("MA-MLX",B34)))</formula>
    </cfRule>
    <cfRule type="containsText" dxfId="1035" priority="1809" operator="containsText" text="CS">
      <formula>NOT(ISERROR(SEARCH("CS",B34)))</formula>
    </cfRule>
  </conditionalFormatting>
  <conditionalFormatting sqref="AC36">
    <cfRule type="cellIs" dxfId="1034" priority="1796" operator="equal">
      <formula>0</formula>
    </cfRule>
    <cfRule type="cellIs" dxfId="1033" priority="1797" operator="equal">
      <formula>1</formula>
    </cfRule>
  </conditionalFormatting>
  <conditionalFormatting sqref="X36">
    <cfRule type="cellIs" dxfId="1032" priority="1798" operator="notBetween">
      <formula>$K36</formula>
      <formula>$L36</formula>
    </cfRule>
  </conditionalFormatting>
  <conditionalFormatting sqref="B36">
    <cfRule type="containsText" dxfId="1031" priority="1800" operator="containsText" text="MA-CUST">
      <formula>NOT(ISERROR(SEARCH("MA-CUST",B36)))</formula>
    </cfRule>
    <cfRule type="containsText" dxfId="1030" priority="1801" operator="containsText" text="MA-MLX">
      <formula>NOT(ISERROR(SEARCH("MA-MLX",B36)))</formula>
    </cfRule>
    <cfRule type="containsText" dxfId="1029" priority="1802" operator="containsText" text="CS">
      <formula>NOT(ISERROR(SEARCH("CS",B36)))</formula>
    </cfRule>
  </conditionalFormatting>
  <conditionalFormatting sqref="O36">
    <cfRule type="cellIs" dxfId="1028" priority="1795" operator="notBetween">
      <formula>$K36</formula>
      <formula>$L36</formula>
    </cfRule>
  </conditionalFormatting>
  <conditionalFormatting sqref="AC37">
    <cfRule type="cellIs" dxfId="1027" priority="1788" operator="equal">
      <formula>0</formula>
    </cfRule>
    <cfRule type="cellIs" dxfId="1026" priority="1789" operator="equal">
      <formula>1</formula>
    </cfRule>
  </conditionalFormatting>
  <conditionalFormatting sqref="X37">
    <cfRule type="cellIs" dxfId="1025" priority="1790" operator="notBetween">
      <formula>$K37</formula>
      <formula>$L37</formula>
    </cfRule>
  </conditionalFormatting>
  <conditionalFormatting sqref="O37:R37 T37:V37">
    <cfRule type="cellIs" dxfId="1024" priority="1791" operator="notBetween">
      <formula>$K37</formula>
      <formula>$L37</formula>
    </cfRule>
  </conditionalFormatting>
  <conditionalFormatting sqref="B37">
    <cfRule type="containsText" dxfId="1023" priority="1792" operator="containsText" text="MA-CUST">
      <formula>NOT(ISERROR(SEARCH("MA-CUST",B37)))</formula>
    </cfRule>
    <cfRule type="containsText" dxfId="1022" priority="1793" operator="containsText" text="MA-MLX">
      <formula>NOT(ISERROR(SEARCH("MA-MLX",B37)))</formula>
    </cfRule>
    <cfRule type="containsText" dxfId="1021" priority="1794" operator="containsText" text="CS">
      <formula>NOT(ISERROR(SEARCH("CS",B37)))</formula>
    </cfRule>
  </conditionalFormatting>
  <conditionalFormatting sqref="AC31">
    <cfRule type="cellIs" dxfId="1020" priority="1737" operator="equal">
      <formula>0</formula>
    </cfRule>
    <cfRule type="cellIs" dxfId="1019" priority="1738" operator="equal">
      <formula>1</formula>
    </cfRule>
  </conditionalFormatting>
  <conditionalFormatting sqref="X31">
    <cfRule type="cellIs" dxfId="1018" priority="1739" operator="notBetween">
      <formula>$K31</formula>
      <formula>$L31</formula>
    </cfRule>
  </conditionalFormatting>
  <conditionalFormatting sqref="O31">
    <cfRule type="cellIs" dxfId="1017" priority="1740" operator="notBetween">
      <formula>$K31</formula>
      <formula>$L31</formula>
    </cfRule>
  </conditionalFormatting>
  <conditionalFormatting sqref="B31">
    <cfRule type="containsText" dxfId="1016" priority="1741" operator="containsText" text="MA-CUST">
      <formula>NOT(ISERROR(SEARCH("MA-CUST",B31)))</formula>
    </cfRule>
    <cfRule type="containsText" dxfId="1015" priority="1742" operator="containsText" text="MA-MLX">
      <formula>NOT(ISERROR(SEARCH("MA-MLX",B31)))</formula>
    </cfRule>
    <cfRule type="containsText" dxfId="1014" priority="1743" operator="containsText" text="CS">
      <formula>NOT(ISERROR(SEARCH("CS",B31)))</formula>
    </cfRule>
  </conditionalFormatting>
  <conditionalFormatting sqref="AC219">
    <cfRule type="cellIs" dxfId="1013" priority="1654" operator="equal">
      <formula>0</formula>
    </cfRule>
    <cfRule type="cellIs" dxfId="1012" priority="1655" operator="equal">
      <formula>1</formula>
    </cfRule>
  </conditionalFormatting>
  <conditionalFormatting sqref="O219 X219">
    <cfRule type="cellIs" dxfId="1011" priority="1656" operator="notBetween">
      <formula>$K219</formula>
      <formula>$L219</formula>
    </cfRule>
  </conditionalFormatting>
  <conditionalFormatting sqref="B219">
    <cfRule type="containsText" dxfId="1010" priority="1651" operator="containsText" text="MA-CUST">
      <formula>NOT(ISERROR(SEARCH("MA-CUST",B219)))</formula>
    </cfRule>
    <cfRule type="containsText" dxfId="1009" priority="1652" operator="containsText" text="MA-MLX">
      <formula>NOT(ISERROR(SEARCH("MA-MLX",B219)))</formula>
    </cfRule>
    <cfRule type="containsText" dxfId="1008" priority="1653" operator="containsText" text="CS">
      <formula>NOT(ISERROR(SEARCH("CS",B219)))</formula>
    </cfRule>
  </conditionalFormatting>
  <conditionalFormatting sqref="B219">
    <cfRule type="containsText" dxfId="1007" priority="1657" operator="containsText" text="MA-CUST">
      <formula>NOT(ISERROR(SEARCH("MA-CUST",B219)))</formula>
    </cfRule>
    <cfRule type="containsText" dxfId="1006" priority="1658" operator="containsText" text="MA-MLX">
      <formula>NOT(ISERROR(SEARCH("MA-MLX",B219)))</formula>
    </cfRule>
    <cfRule type="containsText" dxfId="1005" priority="1659" operator="containsText" text="CS">
      <formula>NOT(ISERROR(SEARCH("CS",B219)))</formula>
    </cfRule>
  </conditionalFormatting>
  <conditionalFormatting sqref="AC26">
    <cfRule type="cellIs" dxfId="1004" priority="1383" operator="equal">
      <formula>0</formula>
    </cfRule>
    <cfRule type="cellIs" dxfId="1003" priority="1384" operator="equal">
      <formula>1</formula>
    </cfRule>
  </conditionalFormatting>
  <conditionalFormatting sqref="AC21">
    <cfRule type="cellIs" dxfId="1002" priority="1376" operator="equal">
      <formula>0</formula>
    </cfRule>
    <cfRule type="cellIs" dxfId="1001" priority="1377" operator="equal">
      <formula>1</formula>
    </cfRule>
  </conditionalFormatting>
  <conditionalFormatting sqref="AC43">
    <cfRule type="cellIs" dxfId="1000" priority="1402" operator="equal">
      <formula>0</formula>
    </cfRule>
    <cfRule type="cellIs" dxfId="999" priority="1403" operator="equal">
      <formula>1</formula>
    </cfRule>
  </conditionalFormatting>
  <conditionalFormatting sqref="X43 O43">
    <cfRule type="cellIs" dxfId="998" priority="1407" operator="notBetween">
      <formula>$K43</formula>
      <formula>$L43</formula>
    </cfRule>
  </conditionalFormatting>
  <conditionalFormatting sqref="AC40">
    <cfRule type="cellIs" dxfId="997" priority="1611" operator="equal">
      <formula>0</formula>
    </cfRule>
    <cfRule type="cellIs" dxfId="996" priority="1612" operator="equal">
      <formula>1</formula>
    </cfRule>
  </conditionalFormatting>
  <conditionalFormatting sqref="X40">
    <cfRule type="cellIs" dxfId="995" priority="1613" operator="notBetween">
      <formula>$K40</formula>
      <formula>$L40</formula>
    </cfRule>
  </conditionalFormatting>
  <conditionalFormatting sqref="B40">
    <cfRule type="containsText" dxfId="994" priority="1615" operator="containsText" text="MA-CUST">
      <formula>NOT(ISERROR(SEARCH("MA-CUST",B40)))</formula>
    </cfRule>
    <cfRule type="containsText" dxfId="993" priority="1616" operator="containsText" text="MA-MLX">
      <formula>NOT(ISERROR(SEARCH("MA-MLX",B40)))</formula>
    </cfRule>
    <cfRule type="containsText" dxfId="992" priority="1617" operator="containsText" text="CS">
      <formula>NOT(ISERROR(SEARCH("CS",B40)))</formula>
    </cfRule>
  </conditionalFormatting>
  <conditionalFormatting sqref="AC219">
    <cfRule type="cellIs" dxfId="991" priority="1649" operator="equal">
      <formula>0</formula>
    </cfRule>
    <cfRule type="cellIs" dxfId="990" priority="1650" operator="equal">
      <formula>1</formula>
    </cfRule>
  </conditionalFormatting>
  <conditionalFormatting sqref="O39">
    <cfRule type="cellIs" dxfId="989" priority="1602" operator="notBetween">
      <formula>$K39</formula>
      <formula>$L39</formula>
    </cfRule>
  </conditionalFormatting>
  <conditionalFormatting sqref="AC39">
    <cfRule type="cellIs" dxfId="988" priority="1603" operator="equal">
      <formula>0</formula>
    </cfRule>
    <cfRule type="cellIs" dxfId="987" priority="1604" operator="equal">
      <formula>1</formula>
    </cfRule>
  </conditionalFormatting>
  <conditionalFormatting sqref="B39">
    <cfRule type="containsText" dxfId="986" priority="1607" operator="containsText" text="MA-CUST">
      <formula>NOT(ISERROR(SEARCH("MA-CUST",B39)))</formula>
    </cfRule>
    <cfRule type="containsText" dxfId="985" priority="1608" operator="containsText" text="MA-MLX">
      <formula>NOT(ISERROR(SEARCH("MA-MLX",B39)))</formula>
    </cfRule>
    <cfRule type="containsText" dxfId="984" priority="1609" operator="containsText" text="CS">
      <formula>NOT(ISERROR(SEARCH("CS",B39)))</formula>
    </cfRule>
  </conditionalFormatting>
  <conditionalFormatting sqref="O40">
    <cfRule type="cellIs" dxfId="983" priority="1610" operator="notBetween">
      <formula>$K40</formula>
      <formula>$L40</formula>
    </cfRule>
  </conditionalFormatting>
  <conditionalFormatting sqref="X39">
    <cfRule type="cellIs" dxfId="982" priority="1605" operator="notBetween">
      <formula>$K39</formula>
      <formula>$L39</formula>
    </cfRule>
  </conditionalFormatting>
  <conditionalFormatting sqref="AC13">
    <cfRule type="cellIs" dxfId="981" priority="1355" operator="equal">
      <formula>0</formula>
    </cfRule>
    <cfRule type="cellIs" dxfId="980" priority="1356" operator="equal">
      <formula>1</formula>
    </cfRule>
  </conditionalFormatting>
  <conditionalFormatting sqref="X13">
    <cfRule type="cellIs" dxfId="979" priority="1357" operator="notBetween">
      <formula>$K13</formula>
      <formula>$L13</formula>
    </cfRule>
  </conditionalFormatting>
  <conditionalFormatting sqref="O41:R41 T41:V41">
    <cfRule type="cellIs" dxfId="978" priority="1417" operator="notBetween">
      <formula>$K41</formula>
      <formula>$L41</formula>
    </cfRule>
  </conditionalFormatting>
  <conditionalFormatting sqref="B45">
    <cfRule type="containsText" dxfId="977" priority="1392" operator="containsText" text="MA-CUST">
      <formula>NOT(ISERROR(SEARCH("MA-CUST",B45)))</formula>
    </cfRule>
    <cfRule type="containsText" dxfId="976" priority="1393" operator="containsText" text="MA-MLX">
      <formula>NOT(ISERROR(SEARCH("MA-MLX",B45)))</formula>
    </cfRule>
    <cfRule type="containsText" dxfId="975" priority="1394" operator="containsText" text="CS">
      <formula>NOT(ISERROR(SEARCH("CS",B45)))</formula>
    </cfRule>
  </conditionalFormatting>
  <conditionalFormatting sqref="X44 O44">
    <cfRule type="cellIs" dxfId="974" priority="1401" operator="notBetween">
      <formula>$K44</formula>
      <formula>$L44</formula>
    </cfRule>
  </conditionalFormatting>
  <conditionalFormatting sqref="B21">
    <cfRule type="containsText" dxfId="973" priority="1380" operator="containsText" text="MA-CUST">
      <formula>NOT(ISERROR(SEARCH("MA-CUST",B21)))</formula>
    </cfRule>
    <cfRule type="containsText" dxfId="972" priority="1381" operator="containsText" text="MA-MLX">
      <formula>NOT(ISERROR(SEARCH("MA-MLX",B21)))</formula>
    </cfRule>
    <cfRule type="containsText" dxfId="971" priority="1382" operator="containsText" text="CS">
      <formula>NOT(ISERROR(SEARCH("CS",B21)))</formula>
    </cfRule>
  </conditionalFormatting>
  <conditionalFormatting sqref="AC222">
    <cfRule type="cellIs" dxfId="970" priority="1589" operator="equal">
      <formula>0</formula>
    </cfRule>
    <cfRule type="cellIs" dxfId="969" priority="1590" operator="equal">
      <formula>1</formula>
    </cfRule>
  </conditionalFormatting>
  <conditionalFormatting sqref="X222 O222">
    <cfRule type="cellIs" dxfId="968" priority="1591" operator="notBetween">
      <formula>$K222</formula>
      <formula>$L222</formula>
    </cfRule>
  </conditionalFormatting>
  <conditionalFormatting sqref="B222">
    <cfRule type="containsText" dxfId="967" priority="1592" operator="containsText" text="MA-CUST">
      <formula>NOT(ISERROR(SEARCH("MA-CUST",B222)))</formula>
    </cfRule>
    <cfRule type="containsText" dxfId="966" priority="1593" operator="containsText" text="MA-MLX">
      <formula>NOT(ISERROR(SEARCH("MA-MLX",B222)))</formula>
    </cfRule>
    <cfRule type="containsText" dxfId="965" priority="1594" operator="containsText" text="CS">
      <formula>NOT(ISERROR(SEARCH("CS",B222)))</formula>
    </cfRule>
  </conditionalFormatting>
  <conditionalFormatting sqref="AC222">
    <cfRule type="cellIs" dxfId="964" priority="1584" operator="equal">
      <formula>0</formula>
    </cfRule>
    <cfRule type="cellIs" dxfId="963" priority="1585" operator="equal">
      <formula>1</formula>
    </cfRule>
  </conditionalFormatting>
  <conditionalFormatting sqref="B222">
    <cfRule type="containsText" dxfId="962" priority="1586" operator="containsText" text="MA-CUST">
      <formula>NOT(ISERROR(SEARCH("MA-CUST",B222)))</formula>
    </cfRule>
    <cfRule type="containsText" dxfId="961" priority="1587" operator="containsText" text="MA-MLX">
      <formula>NOT(ISERROR(SEARCH("MA-MLX",B222)))</formula>
    </cfRule>
    <cfRule type="containsText" dxfId="960" priority="1588" operator="containsText" text="CS">
      <formula>NOT(ISERROR(SEARCH("CS",B222)))</formula>
    </cfRule>
  </conditionalFormatting>
  <conditionalFormatting sqref="B26">
    <cfRule type="containsText" dxfId="959" priority="1387" operator="containsText" text="MA-CUST">
      <formula>NOT(ISERROR(SEARCH("MA-CUST",B26)))</formula>
    </cfRule>
    <cfRule type="containsText" dxfId="958" priority="1388" operator="containsText" text="MA-MLX">
      <formula>NOT(ISERROR(SEARCH("MA-MLX",B26)))</formula>
    </cfRule>
    <cfRule type="containsText" dxfId="957" priority="1389" operator="containsText" text="CS">
      <formula>NOT(ISERROR(SEARCH("CS",B26)))</formula>
    </cfRule>
  </conditionalFormatting>
  <conditionalFormatting sqref="AC15">
    <cfRule type="cellIs" dxfId="956" priority="1541" operator="equal">
      <formula>0</formula>
    </cfRule>
    <cfRule type="cellIs" dxfId="955" priority="1542" operator="equal">
      <formula>1</formula>
    </cfRule>
  </conditionalFormatting>
  <conditionalFormatting sqref="X15">
    <cfRule type="cellIs" dxfId="954" priority="1543" operator="notBetween">
      <formula>$K15</formula>
      <formula>$L15</formula>
    </cfRule>
  </conditionalFormatting>
  <conditionalFormatting sqref="O15">
    <cfRule type="cellIs" dxfId="953" priority="1544" operator="notBetween">
      <formula>$K15</formula>
      <formula>$L15</formula>
    </cfRule>
  </conditionalFormatting>
  <conditionalFormatting sqref="B15">
    <cfRule type="containsText" dxfId="952" priority="1545" operator="containsText" text="MA-CUST">
      <formula>NOT(ISERROR(SEARCH("MA-CUST",B15)))</formula>
    </cfRule>
    <cfRule type="containsText" dxfId="951" priority="1546" operator="containsText" text="MA-MLX">
      <formula>NOT(ISERROR(SEARCH("MA-MLX",B15)))</formula>
    </cfRule>
    <cfRule type="containsText" dxfId="950" priority="1547" operator="containsText" text="CS">
      <formula>NOT(ISERROR(SEARCH("CS",B15)))</formula>
    </cfRule>
  </conditionalFormatting>
  <conditionalFormatting sqref="X41">
    <cfRule type="cellIs" dxfId="949" priority="1416" operator="notBetween">
      <formula>$K41</formula>
      <formula>$L41</formula>
    </cfRule>
  </conditionalFormatting>
  <conditionalFormatting sqref="B42">
    <cfRule type="containsText" dxfId="948" priority="1410" operator="containsText" text="MA-CUST">
      <formula>NOT(ISERROR(SEARCH("MA-CUST",B42)))</formula>
    </cfRule>
    <cfRule type="containsText" dxfId="947" priority="1411" operator="containsText" text="MA-MLX">
      <formula>NOT(ISERROR(SEARCH("MA-MLX",B42)))</formula>
    </cfRule>
    <cfRule type="containsText" dxfId="946" priority="1412" operator="containsText" text="CS">
      <formula>NOT(ISERROR(SEARCH("CS",B42)))</formula>
    </cfRule>
  </conditionalFormatting>
  <conditionalFormatting sqref="B13">
    <cfRule type="containsText" dxfId="945" priority="1359" operator="containsText" text="MA-CUST">
      <formula>NOT(ISERROR(SEARCH("MA-CUST",B13)))</formula>
    </cfRule>
    <cfRule type="containsText" dxfId="944" priority="1360" operator="containsText" text="MA-MLX">
      <formula>NOT(ISERROR(SEARCH("MA-MLX",B13)))</formula>
    </cfRule>
    <cfRule type="containsText" dxfId="943" priority="1361" operator="containsText" text="CS">
      <formula>NOT(ISERROR(SEARCH("CS",B13)))</formula>
    </cfRule>
  </conditionalFormatting>
  <conditionalFormatting sqref="X42 O42">
    <cfRule type="cellIs" dxfId="942" priority="1413" operator="notBetween">
      <formula>$K42</formula>
      <formula>$L42</formula>
    </cfRule>
  </conditionalFormatting>
  <conditionalFormatting sqref="O13">
    <cfRule type="cellIs" dxfId="941" priority="1354" operator="notBetween">
      <formula>$K13</formula>
      <formula>$L13</formula>
    </cfRule>
  </conditionalFormatting>
  <conditionalFormatting sqref="X27">
    <cfRule type="cellIs" dxfId="940" priority="1466" operator="notBetween">
      <formula>$K27</formula>
      <formula>$L27</formula>
    </cfRule>
  </conditionalFormatting>
  <conditionalFormatting sqref="AC44">
    <cfRule type="cellIs" dxfId="939" priority="1396" operator="equal">
      <formula>0</formula>
    </cfRule>
    <cfRule type="cellIs" dxfId="938" priority="1397" operator="equal">
      <formula>1</formula>
    </cfRule>
  </conditionalFormatting>
  <conditionalFormatting sqref="O27:R27 T27:V27">
    <cfRule type="cellIs" dxfId="937" priority="1467" operator="notBetween">
      <formula>$K27</formula>
      <formula>$L27</formula>
    </cfRule>
  </conditionalFormatting>
  <conditionalFormatting sqref="AC27">
    <cfRule type="cellIs" dxfId="936" priority="1464" operator="equal">
      <formula>0</formula>
    </cfRule>
    <cfRule type="cellIs" dxfId="935" priority="1465" operator="equal">
      <formula>1</formula>
    </cfRule>
  </conditionalFormatting>
  <conditionalFormatting sqref="B27">
    <cfRule type="containsText" dxfId="934" priority="1468" operator="containsText" text="MA-CUST">
      <formula>NOT(ISERROR(SEARCH("MA-CUST",B27)))</formula>
    </cfRule>
    <cfRule type="containsText" dxfId="933" priority="1469" operator="containsText" text="MA-MLX">
      <formula>NOT(ISERROR(SEARCH("MA-MLX",B27)))</formula>
    </cfRule>
    <cfRule type="containsText" dxfId="932" priority="1470" operator="containsText" text="CS">
      <formula>NOT(ISERROR(SEARCH("CS",B27)))</formula>
    </cfRule>
  </conditionalFormatting>
  <conditionalFormatting sqref="B44">
    <cfRule type="containsText" dxfId="931" priority="1398" operator="containsText" text="MA-CUST">
      <formula>NOT(ISERROR(SEARCH("MA-CUST",B44)))</formula>
    </cfRule>
    <cfRule type="containsText" dxfId="930" priority="1399" operator="containsText" text="MA-MLX">
      <formula>NOT(ISERROR(SEARCH("MA-MLX",B44)))</formula>
    </cfRule>
    <cfRule type="containsText" dxfId="929" priority="1400" operator="containsText" text="CS">
      <formula>NOT(ISERROR(SEARCH("CS",B44)))</formula>
    </cfRule>
  </conditionalFormatting>
  <conditionalFormatting sqref="AC45">
    <cfRule type="cellIs" dxfId="928" priority="1390" operator="equal">
      <formula>0</formula>
    </cfRule>
    <cfRule type="cellIs" dxfId="927" priority="1391" operator="equal">
      <formula>1</formula>
    </cfRule>
  </conditionalFormatting>
  <conditionalFormatting sqref="AC41">
    <cfRule type="cellIs" dxfId="926" priority="1414" operator="equal">
      <formula>0</formula>
    </cfRule>
    <cfRule type="cellIs" dxfId="925" priority="1415" operator="equal">
      <formula>1</formula>
    </cfRule>
  </conditionalFormatting>
  <conditionalFormatting sqref="B41">
    <cfRule type="containsText" dxfId="924" priority="1418" operator="containsText" text="MA-CUST">
      <formula>NOT(ISERROR(SEARCH("MA-CUST",B41)))</formula>
    </cfRule>
    <cfRule type="containsText" dxfId="923" priority="1419" operator="containsText" text="MA-MLX">
      <formula>NOT(ISERROR(SEARCH("MA-MLX",B41)))</formula>
    </cfRule>
    <cfRule type="containsText" dxfId="922" priority="1420" operator="containsText" text="CS">
      <formula>NOT(ISERROR(SEARCH("CS",B41)))</formula>
    </cfRule>
  </conditionalFormatting>
  <conditionalFormatting sqref="AC42">
    <cfRule type="cellIs" dxfId="921" priority="1408" operator="equal">
      <formula>0</formula>
    </cfRule>
    <cfRule type="cellIs" dxfId="920" priority="1409" operator="equal">
      <formula>1</formula>
    </cfRule>
  </conditionalFormatting>
  <conditionalFormatting sqref="B43">
    <cfRule type="containsText" dxfId="919" priority="1404" operator="containsText" text="MA-CUST">
      <formula>NOT(ISERROR(SEARCH("MA-CUST",B43)))</formula>
    </cfRule>
    <cfRule type="containsText" dxfId="918" priority="1405" operator="containsText" text="MA-MLX">
      <formula>NOT(ISERROR(SEARCH("MA-MLX",B43)))</formula>
    </cfRule>
    <cfRule type="containsText" dxfId="917" priority="1406" operator="containsText" text="CS">
      <formula>NOT(ISERROR(SEARCH("CS",B43)))</formula>
    </cfRule>
  </conditionalFormatting>
  <conditionalFormatting sqref="X45 O45">
    <cfRule type="cellIs" dxfId="916" priority="1395" operator="notBetween">
      <formula>$K45</formula>
      <formula>$L45</formula>
    </cfRule>
  </conditionalFormatting>
  <conditionalFormatting sqref="X11">
    <cfRule type="cellIs" dxfId="915" priority="1244" operator="notBetween">
      <formula>$K11</formula>
      <formula>$L11</formula>
    </cfRule>
  </conditionalFormatting>
  <conditionalFormatting sqref="O11">
    <cfRule type="cellIs" dxfId="914" priority="1241" operator="notBetween">
      <formula>$K11</formula>
      <formula>$L11</formula>
    </cfRule>
  </conditionalFormatting>
  <conditionalFormatting sqref="B236">
    <cfRule type="containsText" dxfId="913" priority="1224" operator="containsText" text="MA-CUST">
      <formula>NOT(ISERROR(SEARCH("MA-CUST",B236)))</formula>
    </cfRule>
    <cfRule type="containsText" dxfId="912" priority="1225" operator="containsText" text="MA-MLX">
      <formula>NOT(ISERROR(SEARCH("MA-MLX",B236)))</formula>
    </cfRule>
    <cfRule type="containsText" dxfId="911" priority="1226" operator="containsText" text="CS">
      <formula>NOT(ISERROR(SEARCH("CS",B236)))</formula>
    </cfRule>
  </conditionalFormatting>
  <conditionalFormatting sqref="AC236">
    <cfRule type="cellIs" dxfId="910" priority="1220" operator="equal">
      <formula>0</formula>
    </cfRule>
    <cfRule type="cellIs" dxfId="909" priority="1221" operator="equal">
      <formula>1</formula>
    </cfRule>
  </conditionalFormatting>
  <conditionalFormatting sqref="X236">
    <cfRule type="cellIs" dxfId="908" priority="1222" operator="notBetween">
      <formula>$K236</formula>
      <formula>$L236</formula>
    </cfRule>
  </conditionalFormatting>
  <conditionalFormatting sqref="X50 O50">
    <cfRule type="cellIs" dxfId="907" priority="1158" operator="notBetween">
      <formula>$K50</formula>
      <formula>$L50</formula>
    </cfRule>
  </conditionalFormatting>
  <conditionalFormatting sqref="O236:R236 T236:V236">
    <cfRule type="cellIs" dxfId="906" priority="1223" operator="notBetween">
      <formula>$K236</formula>
      <formula>$L236</formula>
    </cfRule>
  </conditionalFormatting>
  <conditionalFormatting sqref="B11">
    <cfRule type="containsText" dxfId="905" priority="1246" operator="containsText" text="MA-CUST">
      <formula>NOT(ISERROR(SEARCH("MA-CUST",B11)))</formula>
    </cfRule>
    <cfRule type="containsText" dxfId="904" priority="1247" operator="containsText" text="MA-MLX">
      <formula>NOT(ISERROR(SEARCH("MA-MLX",B11)))</formula>
    </cfRule>
    <cfRule type="containsText" dxfId="903" priority="1248" operator="containsText" text="CS">
      <formula>NOT(ISERROR(SEARCH("CS",B11)))</formula>
    </cfRule>
  </conditionalFormatting>
  <conditionalFormatting sqref="AC11">
    <cfRule type="cellIs" dxfId="902" priority="1242" operator="equal">
      <formula>0</formula>
    </cfRule>
    <cfRule type="cellIs" dxfId="901" priority="1243" operator="equal">
      <formula>1</formula>
    </cfRule>
  </conditionalFormatting>
  <conditionalFormatting sqref="B50">
    <cfRule type="containsText" dxfId="900" priority="1155" operator="containsText" text="MA-CUST">
      <formula>NOT(ISERROR(SEARCH("MA-CUST",B50)))</formula>
    </cfRule>
    <cfRule type="containsText" dxfId="899" priority="1156" operator="containsText" text="MA-MLX">
      <formula>NOT(ISERROR(SEARCH("MA-MLX",B50)))</formula>
    </cfRule>
    <cfRule type="containsText" dxfId="898" priority="1157" operator="containsText" text="CS">
      <formula>NOT(ISERROR(SEARCH("CS",B50)))</formula>
    </cfRule>
  </conditionalFormatting>
  <conditionalFormatting sqref="X240">
    <cfRule type="cellIs" dxfId="897" priority="1168" operator="notBetween">
      <formula>$K240</formula>
      <formula>$L240</formula>
    </cfRule>
  </conditionalFormatting>
  <conditionalFormatting sqref="O240">
    <cfRule type="cellIs" dxfId="896" priority="1169" operator="notBetween">
      <formula>$K240</formula>
      <formula>$L240</formula>
    </cfRule>
  </conditionalFormatting>
  <conditionalFormatting sqref="B240">
    <cfRule type="containsText" dxfId="895" priority="1170" operator="containsText" text="MA-CUST">
      <formula>NOT(ISERROR(SEARCH("MA-CUST",B240)))</formula>
    </cfRule>
    <cfRule type="containsText" dxfId="894" priority="1171" operator="containsText" text="MA-MLX">
      <formula>NOT(ISERROR(SEARCH("MA-MLX",B240)))</formula>
    </cfRule>
    <cfRule type="containsText" dxfId="893" priority="1172" operator="containsText" text="CS">
      <formula>NOT(ISERROR(SEARCH("CS",B240)))</formula>
    </cfRule>
  </conditionalFormatting>
  <conditionalFormatting sqref="AC240">
    <cfRule type="cellIs" dxfId="892" priority="1166" operator="equal">
      <formula>0</formula>
    </cfRule>
    <cfRule type="cellIs" dxfId="891" priority="1167" operator="equal">
      <formula>1</formula>
    </cfRule>
  </conditionalFormatting>
  <conditionalFormatting sqref="O80:R80 T80:V80">
    <cfRule type="cellIs" dxfId="890" priority="1131" operator="notBetween">
      <formula>$K80</formula>
      <formula>$L80</formula>
    </cfRule>
  </conditionalFormatting>
  <conditionalFormatting sqref="X80">
    <cfRule type="cellIs" dxfId="889" priority="1130" operator="notBetween">
      <formula>$K80</formula>
      <formula>$L80</formula>
    </cfRule>
  </conditionalFormatting>
  <conditionalFormatting sqref="AC50">
    <cfRule type="cellIs" dxfId="888" priority="1153" operator="equal">
      <formula>0</formula>
    </cfRule>
    <cfRule type="cellIs" dxfId="887" priority="1154" operator="equal">
      <formula>1</formula>
    </cfRule>
  </conditionalFormatting>
  <conditionalFormatting sqref="B80">
    <cfRule type="containsText" dxfId="886" priority="1132" operator="containsText" text="MA-CUST">
      <formula>NOT(ISERROR(SEARCH("MA-CUST",B80)))</formula>
    </cfRule>
    <cfRule type="containsText" dxfId="885" priority="1133" operator="containsText" text="MA-MLX">
      <formula>NOT(ISERROR(SEARCH("MA-MLX",B80)))</formula>
    </cfRule>
    <cfRule type="containsText" dxfId="884" priority="1134" operator="containsText" text="CS">
      <formula>NOT(ISERROR(SEARCH("CS",B80)))</formula>
    </cfRule>
  </conditionalFormatting>
  <conditionalFormatting sqref="AC46">
    <cfRule type="cellIs" dxfId="883" priority="1159" operator="equal">
      <formula>0</formula>
    </cfRule>
    <cfRule type="cellIs" dxfId="882" priority="1160" operator="equal">
      <formula>1</formula>
    </cfRule>
  </conditionalFormatting>
  <conditionalFormatting sqref="X46">
    <cfRule type="cellIs" dxfId="881" priority="1161" operator="notBetween">
      <formula>$K46</formula>
      <formula>$L46</formula>
    </cfRule>
  </conditionalFormatting>
  <conditionalFormatting sqref="O46:R46 T46:V46">
    <cfRule type="cellIs" dxfId="880" priority="1162" operator="notBetween">
      <formula>$K46</formula>
      <formula>$L46</formula>
    </cfRule>
  </conditionalFormatting>
  <conditionalFormatting sqref="B46">
    <cfRule type="containsText" dxfId="879" priority="1163" operator="containsText" text="MA-CUST">
      <formula>NOT(ISERROR(SEARCH("MA-CUST",B46)))</formula>
    </cfRule>
    <cfRule type="containsText" dxfId="878" priority="1164" operator="containsText" text="MA-MLX">
      <formula>NOT(ISERROR(SEARCH("MA-MLX",B46)))</formula>
    </cfRule>
    <cfRule type="containsText" dxfId="877" priority="1165" operator="containsText" text="CS">
      <formula>NOT(ISERROR(SEARCH("CS",B46)))</formula>
    </cfRule>
  </conditionalFormatting>
  <conditionalFormatting sqref="AC47">
    <cfRule type="cellIs" dxfId="876" priority="1135" operator="equal">
      <formula>0</formula>
    </cfRule>
    <cfRule type="cellIs" dxfId="875" priority="1136" operator="equal">
      <formula>1</formula>
    </cfRule>
  </conditionalFormatting>
  <conditionalFormatting sqref="AC49">
    <cfRule type="cellIs" dxfId="874" priority="1147" operator="equal">
      <formula>0</formula>
    </cfRule>
    <cfRule type="cellIs" dxfId="873" priority="1148" operator="equal">
      <formula>1</formula>
    </cfRule>
  </conditionalFormatting>
  <conditionalFormatting sqref="B49">
    <cfRule type="containsText" dxfId="872" priority="1149" operator="containsText" text="MA-CUST">
      <formula>NOT(ISERROR(SEARCH("MA-CUST",B49)))</formula>
    </cfRule>
    <cfRule type="containsText" dxfId="871" priority="1150" operator="containsText" text="MA-MLX">
      <formula>NOT(ISERROR(SEARCH("MA-MLX",B49)))</formula>
    </cfRule>
    <cfRule type="containsText" dxfId="870" priority="1151" operator="containsText" text="CS">
      <formula>NOT(ISERROR(SEARCH("CS",B49)))</formula>
    </cfRule>
  </conditionalFormatting>
  <conditionalFormatting sqref="X49 O49">
    <cfRule type="cellIs" dxfId="869" priority="1152" operator="notBetween">
      <formula>$K49</formula>
      <formula>$L49</formula>
    </cfRule>
  </conditionalFormatting>
  <conditionalFormatting sqref="AC48">
    <cfRule type="cellIs" dxfId="868" priority="1141" operator="equal">
      <formula>0</formula>
    </cfRule>
    <cfRule type="cellIs" dxfId="867" priority="1142" operator="equal">
      <formula>1</formula>
    </cfRule>
  </conditionalFormatting>
  <conditionalFormatting sqref="B48">
    <cfRule type="containsText" dxfId="866" priority="1143" operator="containsText" text="MA-CUST">
      <formula>NOT(ISERROR(SEARCH("MA-CUST",B48)))</formula>
    </cfRule>
    <cfRule type="containsText" dxfId="865" priority="1144" operator="containsText" text="MA-MLX">
      <formula>NOT(ISERROR(SEARCH("MA-MLX",B48)))</formula>
    </cfRule>
    <cfRule type="containsText" dxfId="864" priority="1145" operator="containsText" text="CS">
      <formula>NOT(ISERROR(SEARCH("CS",B48)))</formula>
    </cfRule>
  </conditionalFormatting>
  <conditionalFormatting sqref="X48 O48">
    <cfRule type="cellIs" dxfId="863" priority="1146" operator="notBetween">
      <formula>$K48</formula>
      <formula>$L48</formula>
    </cfRule>
  </conditionalFormatting>
  <conditionalFormatting sqref="AC80">
    <cfRule type="cellIs" dxfId="862" priority="1128" operator="equal">
      <formula>0</formula>
    </cfRule>
    <cfRule type="cellIs" dxfId="861" priority="1129" operator="equal">
      <formula>1</formula>
    </cfRule>
  </conditionalFormatting>
  <conditionalFormatting sqref="B47">
    <cfRule type="containsText" dxfId="860" priority="1137" operator="containsText" text="MA-CUST">
      <formula>NOT(ISERROR(SEARCH("MA-CUST",B47)))</formula>
    </cfRule>
    <cfRule type="containsText" dxfId="859" priority="1138" operator="containsText" text="MA-MLX">
      <formula>NOT(ISERROR(SEARCH("MA-MLX",B47)))</formula>
    </cfRule>
    <cfRule type="containsText" dxfId="858" priority="1139" operator="containsText" text="CS">
      <formula>NOT(ISERROR(SEARCH("CS",B47)))</formula>
    </cfRule>
  </conditionalFormatting>
  <conditionalFormatting sqref="X47 O47">
    <cfRule type="cellIs" dxfId="857" priority="1140" operator="notBetween">
      <formula>$K47</formula>
      <formula>$L47</formula>
    </cfRule>
  </conditionalFormatting>
  <conditionalFormatting sqref="AC82">
    <cfRule type="cellIs" dxfId="856" priority="1114" operator="equal">
      <formula>0</formula>
    </cfRule>
    <cfRule type="cellIs" dxfId="855" priority="1115" operator="equal">
      <formula>1</formula>
    </cfRule>
  </conditionalFormatting>
  <conditionalFormatting sqref="X82">
    <cfRule type="cellIs" dxfId="854" priority="1116" operator="notBetween">
      <formula>$K82</formula>
      <formula>$L82</formula>
    </cfRule>
  </conditionalFormatting>
  <conditionalFormatting sqref="O82">
    <cfRule type="cellIs" dxfId="853" priority="1117" operator="notBetween">
      <formula>$K82</formula>
      <formula>$L82</formula>
    </cfRule>
  </conditionalFormatting>
  <conditionalFormatting sqref="B82">
    <cfRule type="containsText" dxfId="852" priority="1118" operator="containsText" text="MA-CUST">
      <formula>NOT(ISERROR(SEARCH("MA-CUST",B82)))</formula>
    </cfRule>
    <cfRule type="containsText" dxfId="851" priority="1119" operator="containsText" text="MA-MLX">
      <formula>NOT(ISERROR(SEARCH("MA-MLX",B82)))</formula>
    </cfRule>
    <cfRule type="containsText" dxfId="850" priority="1120" operator="containsText" text="CS">
      <formula>NOT(ISERROR(SEARCH("CS",B82)))</formula>
    </cfRule>
  </conditionalFormatting>
  <conditionalFormatting sqref="AC81">
    <cfRule type="cellIs" dxfId="849" priority="1121" operator="equal">
      <formula>0</formula>
    </cfRule>
    <cfRule type="cellIs" dxfId="848" priority="1122" operator="equal">
      <formula>1</formula>
    </cfRule>
  </conditionalFormatting>
  <conditionalFormatting sqref="X81">
    <cfRule type="cellIs" dxfId="847" priority="1123" operator="notBetween">
      <formula>$K81</formula>
      <formula>$L81</formula>
    </cfRule>
  </conditionalFormatting>
  <conditionalFormatting sqref="O81">
    <cfRule type="cellIs" dxfId="846" priority="1124" operator="notBetween">
      <formula>$K81</formula>
      <formula>$L81</formula>
    </cfRule>
  </conditionalFormatting>
  <conditionalFormatting sqref="B81">
    <cfRule type="containsText" dxfId="845" priority="1125" operator="containsText" text="MA-CUST">
      <formula>NOT(ISERROR(SEARCH("MA-CUST",B81)))</formula>
    </cfRule>
    <cfRule type="containsText" dxfId="844" priority="1126" operator="containsText" text="MA-MLX">
      <formula>NOT(ISERROR(SEARCH("MA-MLX",B81)))</formula>
    </cfRule>
    <cfRule type="containsText" dxfId="843" priority="1127" operator="containsText" text="CS">
      <formula>NOT(ISERROR(SEARCH("CS",B81)))</formula>
    </cfRule>
  </conditionalFormatting>
  <conditionalFormatting sqref="X38">
    <cfRule type="cellIs" dxfId="842" priority="1109" operator="notBetween">
      <formula>$K38</formula>
      <formula>$L38</formula>
    </cfRule>
  </conditionalFormatting>
  <conditionalFormatting sqref="O38">
    <cfRule type="cellIs" dxfId="841" priority="1106" operator="notBetween">
      <formula>$K38</formula>
      <formula>$L38</formula>
    </cfRule>
  </conditionalFormatting>
  <conditionalFormatting sqref="AC38">
    <cfRule type="cellIs" dxfId="840" priority="1107" operator="equal">
      <formula>0</formula>
    </cfRule>
    <cfRule type="cellIs" dxfId="839" priority="1108" operator="equal">
      <formula>1</formula>
    </cfRule>
  </conditionalFormatting>
  <conditionalFormatting sqref="B38">
    <cfRule type="containsText" dxfId="838" priority="1111" operator="containsText" text="MA-CUST">
      <formula>NOT(ISERROR(SEARCH("MA-CUST",B38)))</formula>
    </cfRule>
    <cfRule type="containsText" dxfId="837" priority="1112" operator="containsText" text="MA-MLX">
      <formula>NOT(ISERROR(SEARCH("MA-MLX",B38)))</formula>
    </cfRule>
    <cfRule type="containsText" dxfId="836" priority="1113" operator="containsText" text="CS">
      <formula>NOT(ISERROR(SEARCH("CS",B38)))</formula>
    </cfRule>
  </conditionalFormatting>
  <conditionalFormatting sqref="AC16">
    <cfRule type="cellIs" dxfId="835" priority="1099" operator="equal">
      <formula>0</formula>
    </cfRule>
    <cfRule type="cellIs" dxfId="834" priority="1100" operator="equal">
      <formula>1</formula>
    </cfRule>
  </conditionalFormatting>
  <conditionalFormatting sqref="O16">
    <cfRule type="cellIs" dxfId="833" priority="1102" operator="notBetween">
      <formula>$K16</formula>
      <formula>$L16</formula>
    </cfRule>
  </conditionalFormatting>
  <conditionalFormatting sqref="B16">
    <cfRule type="containsText" dxfId="832" priority="1103" operator="containsText" text="MA-CUST">
      <formula>NOT(ISERROR(SEARCH("MA-CUST",B16)))</formula>
    </cfRule>
    <cfRule type="containsText" dxfId="831" priority="1104" operator="containsText" text="MA-MLX">
      <formula>NOT(ISERROR(SEARCH("MA-MLX",B16)))</formula>
    </cfRule>
    <cfRule type="containsText" dxfId="830" priority="1105" operator="containsText" text="CS">
      <formula>NOT(ISERROR(SEARCH("CS",B16)))</formula>
    </cfRule>
  </conditionalFormatting>
  <conditionalFormatting sqref="X16">
    <cfRule type="cellIs" dxfId="829" priority="1101" operator="notBetween">
      <formula>$K16</formula>
      <formula>$L16</formula>
    </cfRule>
  </conditionalFormatting>
  <conditionalFormatting sqref="X142">
    <cfRule type="cellIs" dxfId="828" priority="1067" operator="notBetween">
      <formula>$K142</formula>
      <formula>$L142</formula>
    </cfRule>
  </conditionalFormatting>
  <conditionalFormatting sqref="X147 O147">
    <cfRule type="cellIs" dxfId="827" priority="1018" operator="notBetween">
      <formula>$K147</formula>
      <formula>$L147</formula>
    </cfRule>
  </conditionalFormatting>
  <conditionalFormatting sqref="X143 O143">
    <cfRule type="cellIs" dxfId="826" priority="1049" operator="notBetween">
      <formula>$K143</formula>
      <formula>$L143</formula>
    </cfRule>
  </conditionalFormatting>
  <conditionalFormatting sqref="AC142">
    <cfRule type="cellIs" dxfId="825" priority="1065" operator="equal">
      <formula>0</formula>
    </cfRule>
    <cfRule type="cellIs" dxfId="824" priority="1066" operator="equal">
      <formula>1</formula>
    </cfRule>
  </conditionalFormatting>
  <conditionalFormatting sqref="X146 O146">
    <cfRule type="cellIs" dxfId="823" priority="1026" operator="notBetween">
      <formula>$K146</formula>
      <formula>$L146</formula>
    </cfRule>
  </conditionalFormatting>
  <conditionalFormatting sqref="O142:R142 T142:V142">
    <cfRule type="cellIs" dxfId="822" priority="1068" operator="notBetween">
      <formula>$K142</formula>
      <formula>$L142</formula>
    </cfRule>
  </conditionalFormatting>
  <conditionalFormatting sqref="B142">
    <cfRule type="containsText" dxfId="821" priority="1069" operator="containsText" text="MA-CUST">
      <formula>NOT(ISERROR(SEARCH("MA-CUST",B142)))</formula>
    </cfRule>
    <cfRule type="containsText" dxfId="820" priority="1070" operator="containsText" text="MA-MLX">
      <formula>NOT(ISERROR(SEARCH("MA-MLX",B142)))</formula>
    </cfRule>
    <cfRule type="containsText" dxfId="819" priority="1071" operator="containsText" text="CS">
      <formula>NOT(ISERROR(SEARCH("CS",B142)))</formula>
    </cfRule>
  </conditionalFormatting>
  <conditionalFormatting sqref="AC143">
    <cfRule type="cellIs" dxfId="818" priority="1050" operator="equal">
      <formula>0</formula>
    </cfRule>
    <cfRule type="cellIs" dxfId="817" priority="1051" operator="equal">
      <formula>1</formula>
    </cfRule>
  </conditionalFormatting>
  <conditionalFormatting sqref="AC143">
    <cfRule type="cellIs" dxfId="816" priority="1052" operator="equal">
      <formula>0</formula>
    </cfRule>
    <cfRule type="cellIs" dxfId="815" priority="1053" operator="equal">
      <formula>1</formula>
    </cfRule>
  </conditionalFormatting>
  <conditionalFormatting sqref="B143">
    <cfRule type="containsText" dxfId="814" priority="1054" operator="containsText" text="MA-CUST">
      <formula>NOT(ISERROR(SEARCH("MA-CUST",B143)))</formula>
    </cfRule>
    <cfRule type="containsText" dxfId="813" priority="1055" operator="containsText" text="MA-MLX">
      <formula>NOT(ISERROR(SEARCH("MA-MLX",B143)))</formula>
    </cfRule>
    <cfRule type="containsText" dxfId="812" priority="1056" operator="containsText" text="CS">
      <formula>NOT(ISERROR(SEARCH("CS",B143)))</formula>
    </cfRule>
  </conditionalFormatting>
  <conditionalFormatting sqref="X144 O144">
    <cfRule type="cellIs" dxfId="811" priority="1041" operator="notBetween">
      <formula>$K144</formula>
      <formula>$L144</formula>
    </cfRule>
  </conditionalFormatting>
  <conditionalFormatting sqref="AC144">
    <cfRule type="cellIs" dxfId="810" priority="1042" operator="equal">
      <formula>0</formula>
    </cfRule>
    <cfRule type="cellIs" dxfId="809" priority="1043" operator="equal">
      <formula>1</formula>
    </cfRule>
  </conditionalFormatting>
  <conditionalFormatting sqref="AC144">
    <cfRule type="cellIs" dxfId="808" priority="1044" operator="equal">
      <formula>0</formula>
    </cfRule>
    <cfRule type="cellIs" dxfId="807" priority="1045" operator="equal">
      <formula>1</formula>
    </cfRule>
  </conditionalFormatting>
  <conditionalFormatting sqref="B144">
    <cfRule type="containsText" dxfId="806" priority="1046" operator="containsText" text="MA-CUST">
      <formula>NOT(ISERROR(SEARCH("MA-CUST",B144)))</formula>
    </cfRule>
    <cfRule type="containsText" dxfId="805" priority="1047" operator="containsText" text="MA-MLX">
      <formula>NOT(ISERROR(SEARCH("MA-MLX",B144)))</formula>
    </cfRule>
    <cfRule type="containsText" dxfId="804" priority="1048" operator="containsText" text="CS">
      <formula>NOT(ISERROR(SEARCH("CS",B144)))</formula>
    </cfRule>
  </conditionalFormatting>
  <conditionalFormatting sqref="AC145">
    <cfRule type="cellIs" dxfId="803" priority="1034" operator="equal">
      <formula>0</formula>
    </cfRule>
    <cfRule type="cellIs" dxfId="802" priority="1035" operator="equal">
      <formula>1</formula>
    </cfRule>
  </conditionalFormatting>
  <conditionalFormatting sqref="X145">
    <cfRule type="cellIs" dxfId="801" priority="1036" operator="notBetween">
      <formula>$K145</formula>
      <formula>$L145</formula>
    </cfRule>
  </conditionalFormatting>
  <conditionalFormatting sqref="O145:R145 T145:V145">
    <cfRule type="cellIs" dxfId="800" priority="1037" operator="notBetween">
      <formula>$K145</formula>
      <formula>$L145</formula>
    </cfRule>
  </conditionalFormatting>
  <conditionalFormatting sqref="B145">
    <cfRule type="containsText" dxfId="799" priority="1038" operator="containsText" text="MA-CUST">
      <formula>NOT(ISERROR(SEARCH("MA-CUST",B145)))</formula>
    </cfRule>
    <cfRule type="containsText" dxfId="798" priority="1039" operator="containsText" text="MA-MLX">
      <formula>NOT(ISERROR(SEARCH("MA-MLX",B145)))</formula>
    </cfRule>
    <cfRule type="containsText" dxfId="797" priority="1040" operator="containsText" text="CS">
      <formula>NOT(ISERROR(SEARCH("CS",B145)))</formula>
    </cfRule>
  </conditionalFormatting>
  <conditionalFormatting sqref="AC146">
    <cfRule type="cellIs" dxfId="796" priority="1027" operator="equal">
      <formula>0</formula>
    </cfRule>
    <cfRule type="cellIs" dxfId="795" priority="1028" operator="equal">
      <formula>1</formula>
    </cfRule>
  </conditionalFormatting>
  <conditionalFormatting sqref="AC146">
    <cfRule type="cellIs" dxfId="794" priority="1029" operator="equal">
      <formula>0</formula>
    </cfRule>
    <cfRule type="cellIs" dxfId="793" priority="1030" operator="equal">
      <formula>1</formula>
    </cfRule>
  </conditionalFormatting>
  <conditionalFormatting sqref="B146">
    <cfRule type="containsText" dxfId="792" priority="1031" operator="containsText" text="MA-CUST">
      <formula>NOT(ISERROR(SEARCH("MA-CUST",B146)))</formula>
    </cfRule>
    <cfRule type="containsText" dxfId="791" priority="1032" operator="containsText" text="MA-MLX">
      <formula>NOT(ISERROR(SEARCH("MA-MLX",B146)))</formula>
    </cfRule>
    <cfRule type="containsText" dxfId="790" priority="1033" operator="containsText" text="CS">
      <formula>NOT(ISERROR(SEARCH("CS",B146)))</formula>
    </cfRule>
  </conditionalFormatting>
  <conditionalFormatting sqref="X77 O77">
    <cfRule type="cellIs" dxfId="789" priority="983" operator="notBetween">
      <formula>$K77</formula>
      <formula>$L77</formula>
    </cfRule>
  </conditionalFormatting>
  <conditionalFormatting sqref="AC147">
    <cfRule type="cellIs" dxfId="788" priority="1019" operator="equal">
      <formula>0</formula>
    </cfRule>
    <cfRule type="cellIs" dxfId="787" priority="1020" operator="equal">
      <formula>1</formula>
    </cfRule>
  </conditionalFormatting>
  <conditionalFormatting sqref="AC147">
    <cfRule type="cellIs" dxfId="786" priority="1021" operator="equal">
      <formula>0</formula>
    </cfRule>
    <cfRule type="cellIs" dxfId="785" priority="1022" operator="equal">
      <formula>1</formula>
    </cfRule>
  </conditionalFormatting>
  <conditionalFormatting sqref="B147">
    <cfRule type="containsText" dxfId="784" priority="1023" operator="containsText" text="MA-CUST">
      <formula>NOT(ISERROR(SEARCH("MA-CUST",B147)))</formula>
    </cfRule>
    <cfRule type="containsText" dxfId="783" priority="1024" operator="containsText" text="MA-MLX">
      <formula>NOT(ISERROR(SEARCH("MA-MLX",B147)))</formula>
    </cfRule>
    <cfRule type="containsText" dxfId="782" priority="1025" operator="containsText" text="CS">
      <formula>NOT(ISERROR(SEARCH("CS",B147)))</formula>
    </cfRule>
  </conditionalFormatting>
  <conditionalFormatting sqref="AC213">
    <cfRule type="cellIs" dxfId="781" priority="1011" operator="equal">
      <formula>0</formula>
    </cfRule>
    <cfRule type="cellIs" dxfId="780" priority="1012" operator="equal">
      <formula>1</formula>
    </cfRule>
  </conditionalFormatting>
  <conditionalFormatting sqref="X213">
    <cfRule type="cellIs" dxfId="779" priority="1013" operator="notBetween">
      <formula>$K213</formula>
      <formula>$L213</formula>
    </cfRule>
  </conditionalFormatting>
  <conditionalFormatting sqref="O213">
    <cfRule type="cellIs" dxfId="778" priority="1014" operator="notBetween">
      <formula>$K213</formula>
      <formula>$L213</formula>
    </cfRule>
  </conditionalFormatting>
  <conditionalFormatting sqref="B213">
    <cfRule type="containsText" dxfId="777" priority="1015" operator="containsText" text="MA-CUST">
      <formula>NOT(ISERROR(SEARCH("MA-CUST",B213)))</formula>
    </cfRule>
    <cfRule type="containsText" dxfId="776" priority="1016" operator="containsText" text="MA-MLX">
      <formula>NOT(ISERROR(SEARCH("MA-MLX",B213)))</formula>
    </cfRule>
    <cfRule type="containsText" dxfId="775" priority="1017" operator="containsText" text="CS">
      <formula>NOT(ISERROR(SEARCH("CS",B213)))</formula>
    </cfRule>
  </conditionalFormatting>
  <conditionalFormatting sqref="AC225">
    <cfRule type="cellIs" dxfId="774" priority="1004" operator="equal">
      <formula>0</formula>
    </cfRule>
    <cfRule type="cellIs" dxfId="773" priority="1005" operator="equal">
      <formula>1</formula>
    </cfRule>
  </conditionalFormatting>
  <conditionalFormatting sqref="X225">
    <cfRule type="cellIs" dxfId="772" priority="1006" operator="notBetween">
      <formula>$K225</formula>
      <formula>$L225</formula>
    </cfRule>
  </conditionalFormatting>
  <conditionalFormatting sqref="O225">
    <cfRule type="cellIs" dxfId="771" priority="1007" operator="notBetween">
      <formula>$K225</formula>
      <formula>$L225</formula>
    </cfRule>
  </conditionalFormatting>
  <conditionalFormatting sqref="B225">
    <cfRule type="containsText" dxfId="770" priority="1008" operator="containsText" text="MA-CUST">
      <formula>NOT(ISERROR(SEARCH("MA-CUST",B225)))</formula>
    </cfRule>
    <cfRule type="containsText" dxfId="769" priority="1009" operator="containsText" text="MA-MLX">
      <formula>NOT(ISERROR(SEARCH("MA-MLX",B225)))</formula>
    </cfRule>
    <cfRule type="containsText" dxfId="768" priority="1010" operator="containsText" text="CS">
      <formula>NOT(ISERROR(SEARCH("CS",B225)))</formula>
    </cfRule>
  </conditionalFormatting>
  <conditionalFormatting sqref="AC224">
    <cfRule type="cellIs" dxfId="767" priority="997" operator="equal">
      <formula>0</formula>
    </cfRule>
    <cfRule type="cellIs" dxfId="766" priority="998" operator="equal">
      <formula>1</formula>
    </cfRule>
  </conditionalFormatting>
  <conditionalFormatting sqref="X224">
    <cfRule type="cellIs" dxfId="765" priority="999" operator="notBetween">
      <formula>$K224</formula>
      <formula>$L224</formula>
    </cfRule>
  </conditionalFormatting>
  <conditionalFormatting sqref="O224">
    <cfRule type="cellIs" dxfId="764" priority="1000" operator="notBetween">
      <formula>$K224</formula>
      <formula>$L224</formula>
    </cfRule>
  </conditionalFormatting>
  <conditionalFormatting sqref="B224">
    <cfRule type="containsText" dxfId="763" priority="1001" operator="containsText" text="MA-CUST">
      <formula>NOT(ISERROR(SEARCH("MA-CUST",B224)))</formula>
    </cfRule>
    <cfRule type="containsText" dxfId="762" priority="1002" operator="containsText" text="MA-MLX">
      <formula>NOT(ISERROR(SEARCH("MA-MLX",B224)))</formula>
    </cfRule>
    <cfRule type="containsText" dxfId="761" priority="1003" operator="containsText" text="CS">
      <formula>NOT(ISERROR(SEARCH("CS",B224)))</formula>
    </cfRule>
  </conditionalFormatting>
  <conditionalFormatting sqref="AC70">
    <cfRule type="cellIs" dxfId="760" priority="990" operator="equal">
      <formula>0</formula>
    </cfRule>
    <cfRule type="cellIs" dxfId="759" priority="991" operator="equal">
      <formula>1</formula>
    </cfRule>
  </conditionalFormatting>
  <conditionalFormatting sqref="X70">
    <cfRule type="cellIs" dxfId="758" priority="992" operator="notBetween">
      <formula>$K70</formula>
      <formula>$L70</formula>
    </cfRule>
  </conditionalFormatting>
  <conditionalFormatting sqref="O70:R70 T70:V70">
    <cfRule type="cellIs" dxfId="757" priority="993" operator="notBetween">
      <formula>$K70</formula>
      <formula>$L70</formula>
    </cfRule>
  </conditionalFormatting>
  <conditionalFormatting sqref="B70">
    <cfRule type="containsText" dxfId="756" priority="994" operator="containsText" text="MA-CUST">
      <formula>NOT(ISERROR(SEARCH("MA-CUST",B70)))</formula>
    </cfRule>
    <cfRule type="containsText" dxfId="755" priority="995" operator="containsText" text="MA-MLX">
      <formula>NOT(ISERROR(SEARCH("MA-MLX",B70)))</formula>
    </cfRule>
    <cfRule type="containsText" dxfId="754" priority="996" operator="containsText" text="CS">
      <formula>NOT(ISERROR(SEARCH("CS",B70)))</formula>
    </cfRule>
  </conditionalFormatting>
  <conditionalFormatting sqref="B76">
    <cfRule type="containsText" dxfId="753" priority="986" operator="containsText" text="MA-CUST">
      <formula>NOT(ISERROR(SEARCH("MA-CUST",B76)))</formula>
    </cfRule>
    <cfRule type="containsText" dxfId="752" priority="987" operator="containsText" text="MA-MLX">
      <formula>NOT(ISERROR(SEARCH("MA-MLX",B76)))</formula>
    </cfRule>
    <cfRule type="containsText" dxfId="751" priority="988" operator="containsText" text="CS">
      <formula>NOT(ISERROR(SEARCH("CS",B76)))</formula>
    </cfRule>
  </conditionalFormatting>
  <conditionalFormatting sqref="X76 O76">
    <cfRule type="cellIs" dxfId="750" priority="989" operator="notBetween">
      <formula>$K76</formula>
      <formula>$L76</formula>
    </cfRule>
  </conditionalFormatting>
  <conditionalFormatting sqref="AC76">
    <cfRule type="cellIs" dxfId="749" priority="984" operator="equal">
      <formula>0</formula>
    </cfRule>
    <cfRule type="cellIs" dxfId="748" priority="985" operator="equal">
      <formula>1</formula>
    </cfRule>
  </conditionalFormatting>
  <conditionalFormatting sqref="AC77">
    <cfRule type="cellIs" dxfId="747" priority="978" operator="equal">
      <formula>0</formula>
    </cfRule>
    <cfRule type="cellIs" dxfId="746" priority="979" operator="equal">
      <formula>1</formula>
    </cfRule>
  </conditionalFormatting>
  <conditionalFormatting sqref="B77">
    <cfRule type="containsText" dxfId="745" priority="980" operator="containsText" text="MA-CUST">
      <formula>NOT(ISERROR(SEARCH("MA-CUST",B77)))</formula>
    </cfRule>
    <cfRule type="containsText" dxfId="744" priority="981" operator="containsText" text="MA-MLX">
      <formula>NOT(ISERROR(SEARCH("MA-MLX",B77)))</formula>
    </cfRule>
    <cfRule type="containsText" dxfId="743" priority="982" operator="containsText" text="CS">
      <formula>NOT(ISERROR(SEARCH("CS",B77)))</formula>
    </cfRule>
  </conditionalFormatting>
  <conditionalFormatting sqref="X78 O78">
    <cfRule type="cellIs" dxfId="742" priority="977" operator="notBetween">
      <formula>$K78</formula>
      <formula>$L78</formula>
    </cfRule>
  </conditionalFormatting>
  <conditionalFormatting sqref="AC78">
    <cfRule type="cellIs" dxfId="741" priority="972" operator="equal">
      <formula>0</formula>
    </cfRule>
    <cfRule type="cellIs" dxfId="740" priority="973" operator="equal">
      <formula>1</formula>
    </cfRule>
  </conditionalFormatting>
  <conditionalFormatting sqref="B78">
    <cfRule type="containsText" dxfId="739" priority="974" operator="containsText" text="MA-CUST">
      <formula>NOT(ISERROR(SEARCH("MA-CUST",B78)))</formula>
    </cfRule>
    <cfRule type="containsText" dxfId="738" priority="975" operator="containsText" text="MA-MLX">
      <formula>NOT(ISERROR(SEARCH("MA-MLX",B78)))</formula>
    </cfRule>
    <cfRule type="containsText" dxfId="737" priority="976" operator="containsText" text="CS">
      <formula>NOT(ISERROR(SEARCH("CS",B78)))</formula>
    </cfRule>
  </conditionalFormatting>
  <conditionalFormatting sqref="X79 O79">
    <cfRule type="cellIs" dxfId="736" priority="971" operator="notBetween">
      <formula>$K79</formula>
      <formula>$L79</formula>
    </cfRule>
  </conditionalFormatting>
  <conditionalFormatting sqref="AC79">
    <cfRule type="cellIs" dxfId="735" priority="966" operator="equal">
      <formula>0</formula>
    </cfRule>
    <cfRule type="cellIs" dxfId="734" priority="967" operator="equal">
      <formula>1</formula>
    </cfRule>
  </conditionalFormatting>
  <conditionalFormatting sqref="B79">
    <cfRule type="containsText" dxfId="733" priority="968" operator="containsText" text="MA-CUST">
      <formula>NOT(ISERROR(SEARCH("MA-CUST",B79)))</formula>
    </cfRule>
    <cfRule type="containsText" dxfId="732" priority="969" operator="containsText" text="MA-MLX">
      <formula>NOT(ISERROR(SEARCH("MA-MLX",B79)))</formula>
    </cfRule>
    <cfRule type="containsText" dxfId="731" priority="970" operator="containsText" text="CS">
      <formula>NOT(ISERROR(SEARCH("CS",B79)))</formula>
    </cfRule>
  </conditionalFormatting>
  <conditionalFormatting sqref="X71 O71">
    <cfRule type="cellIs" dxfId="730" priority="959" operator="notBetween">
      <formula>$K71</formula>
      <formula>$L71</formula>
    </cfRule>
  </conditionalFormatting>
  <conditionalFormatting sqref="AC71">
    <cfRule type="cellIs" dxfId="729" priority="954" operator="equal">
      <formula>0</formula>
    </cfRule>
    <cfRule type="cellIs" dxfId="728" priority="955" operator="equal">
      <formula>1</formula>
    </cfRule>
  </conditionalFormatting>
  <conditionalFormatting sqref="B71">
    <cfRule type="containsText" dxfId="727" priority="956" operator="containsText" text="MA-CUST">
      <formula>NOT(ISERROR(SEARCH("MA-CUST",B71)))</formula>
    </cfRule>
    <cfRule type="containsText" dxfId="726" priority="957" operator="containsText" text="MA-MLX">
      <formula>NOT(ISERROR(SEARCH("MA-MLX",B71)))</formula>
    </cfRule>
    <cfRule type="containsText" dxfId="725" priority="958" operator="containsText" text="CS">
      <formula>NOT(ISERROR(SEARCH("CS",B71)))</formula>
    </cfRule>
  </conditionalFormatting>
  <conditionalFormatting sqref="B74">
    <cfRule type="containsText" dxfId="724" priority="944" operator="containsText" text="MA-CUST">
      <formula>NOT(ISERROR(SEARCH("MA-CUST",B74)))</formula>
    </cfRule>
    <cfRule type="containsText" dxfId="723" priority="945" operator="containsText" text="MA-MLX">
      <formula>NOT(ISERROR(SEARCH("MA-MLX",B74)))</formula>
    </cfRule>
    <cfRule type="containsText" dxfId="722" priority="946" operator="containsText" text="CS">
      <formula>NOT(ISERROR(SEARCH("CS",B74)))</formula>
    </cfRule>
  </conditionalFormatting>
  <conditionalFormatting sqref="X74 O74">
    <cfRule type="cellIs" dxfId="721" priority="947" operator="notBetween">
      <formula>$K74</formula>
      <formula>$L74</formula>
    </cfRule>
  </conditionalFormatting>
  <conditionalFormatting sqref="AC74">
    <cfRule type="cellIs" dxfId="720" priority="942" operator="equal">
      <formula>0</formula>
    </cfRule>
    <cfRule type="cellIs" dxfId="719" priority="943" operator="equal">
      <formula>1</formula>
    </cfRule>
  </conditionalFormatting>
  <conditionalFormatting sqref="B73">
    <cfRule type="containsText" dxfId="718" priority="950" operator="containsText" text="MA-CUST">
      <formula>NOT(ISERROR(SEARCH("MA-CUST",B73)))</formula>
    </cfRule>
    <cfRule type="containsText" dxfId="717" priority="951" operator="containsText" text="MA-MLX">
      <formula>NOT(ISERROR(SEARCH("MA-MLX",B73)))</formula>
    </cfRule>
    <cfRule type="containsText" dxfId="716" priority="952" operator="containsText" text="CS">
      <formula>NOT(ISERROR(SEARCH("CS",B73)))</formula>
    </cfRule>
  </conditionalFormatting>
  <conditionalFormatting sqref="X73 O73">
    <cfRule type="cellIs" dxfId="715" priority="953" operator="notBetween">
      <formula>$K73</formula>
      <formula>$L73</formula>
    </cfRule>
  </conditionalFormatting>
  <conditionalFormatting sqref="AC73">
    <cfRule type="cellIs" dxfId="714" priority="948" operator="equal">
      <formula>0</formula>
    </cfRule>
    <cfRule type="cellIs" dxfId="713" priority="949" operator="equal">
      <formula>1</formula>
    </cfRule>
  </conditionalFormatting>
  <conditionalFormatting sqref="B72">
    <cfRule type="containsText" dxfId="712" priority="938" operator="containsText" text="MA-CUST">
      <formula>NOT(ISERROR(SEARCH("MA-CUST",B72)))</formula>
    </cfRule>
    <cfRule type="containsText" dxfId="711" priority="939" operator="containsText" text="MA-MLX">
      <formula>NOT(ISERROR(SEARCH("MA-MLX",B72)))</formula>
    </cfRule>
    <cfRule type="containsText" dxfId="710" priority="940" operator="containsText" text="CS">
      <formula>NOT(ISERROR(SEARCH("CS",B72)))</formula>
    </cfRule>
  </conditionalFormatting>
  <conditionalFormatting sqref="X72 O72">
    <cfRule type="cellIs" dxfId="709" priority="941" operator="notBetween">
      <formula>$K72</formula>
      <formula>$L72</formula>
    </cfRule>
  </conditionalFormatting>
  <conditionalFormatting sqref="AC72">
    <cfRule type="cellIs" dxfId="708" priority="936" operator="equal">
      <formula>0</formula>
    </cfRule>
    <cfRule type="cellIs" dxfId="707" priority="937" operator="equal">
      <formula>1</formula>
    </cfRule>
  </conditionalFormatting>
  <conditionalFormatting sqref="B59">
    <cfRule type="containsText" dxfId="706" priority="926" operator="containsText" text="MA-CUST">
      <formula>NOT(ISERROR(SEARCH("MA-CUST",B59)))</formula>
    </cfRule>
    <cfRule type="containsText" dxfId="705" priority="927" operator="containsText" text="MA-MLX">
      <formula>NOT(ISERROR(SEARCH("MA-MLX",B59)))</formula>
    </cfRule>
    <cfRule type="containsText" dxfId="704" priority="928" operator="containsText" text="CS">
      <formula>NOT(ISERROR(SEARCH("CS",B59)))</formula>
    </cfRule>
  </conditionalFormatting>
  <conditionalFormatting sqref="X59 O59">
    <cfRule type="cellIs" dxfId="703" priority="929" operator="notBetween">
      <formula>$K59</formula>
      <formula>$L59</formula>
    </cfRule>
  </conditionalFormatting>
  <conditionalFormatting sqref="AC59">
    <cfRule type="cellIs" dxfId="702" priority="924" operator="equal">
      <formula>0</formula>
    </cfRule>
    <cfRule type="cellIs" dxfId="701" priority="925" operator="equal">
      <formula>1</formula>
    </cfRule>
  </conditionalFormatting>
  <conditionalFormatting sqref="B299">
    <cfRule type="containsText" dxfId="700" priority="911" operator="containsText" text="MA-CUST">
      <formula>NOT(ISERROR(SEARCH("MA-CUST",B299)))</formula>
    </cfRule>
    <cfRule type="containsText" dxfId="699" priority="912" operator="containsText" text="MA-MLX">
      <formula>NOT(ISERROR(SEARCH("MA-MLX",B299)))</formula>
    </cfRule>
    <cfRule type="containsText" dxfId="698" priority="913" operator="containsText" text="CS">
      <formula>NOT(ISERROR(SEARCH("CS",B299)))</formula>
    </cfRule>
  </conditionalFormatting>
  <conditionalFormatting sqref="AC299">
    <cfRule type="cellIs" dxfId="697" priority="907" operator="equal">
      <formula>0</formula>
    </cfRule>
    <cfRule type="cellIs" dxfId="696" priority="908" operator="equal">
      <formula>1</formula>
    </cfRule>
  </conditionalFormatting>
  <conditionalFormatting sqref="X299">
    <cfRule type="cellIs" dxfId="695" priority="909" operator="notBetween">
      <formula>$K299</formula>
      <formula>$L299</formula>
    </cfRule>
  </conditionalFormatting>
  <conditionalFormatting sqref="O299:R299 T299:V299">
    <cfRule type="cellIs" dxfId="694" priority="910" operator="notBetween">
      <formula>$K299</formula>
      <formula>$L299</formula>
    </cfRule>
  </conditionalFormatting>
  <conditionalFormatting sqref="B301">
    <cfRule type="containsText" dxfId="693" priority="904" operator="containsText" text="MA-CUST">
      <formula>NOT(ISERROR(SEARCH("MA-CUST",B301)))</formula>
    </cfRule>
    <cfRule type="containsText" dxfId="692" priority="905" operator="containsText" text="MA-MLX">
      <formula>NOT(ISERROR(SEARCH("MA-MLX",B301)))</formula>
    </cfRule>
    <cfRule type="containsText" dxfId="691" priority="906" operator="containsText" text="CS">
      <formula>NOT(ISERROR(SEARCH("CS",B301)))</formula>
    </cfRule>
  </conditionalFormatting>
  <conditionalFormatting sqref="AC301">
    <cfRule type="cellIs" dxfId="690" priority="900" operator="equal">
      <formula>0</formula>
    </cfRule>
    <cfRule type="cellIs" dxfId="689" priority="901" operator="equal">
      <formula>1</formula>
    </cfRule>
  </conditionalFormatting>
  <conditionalFormatting sqref="O301:R301 T301:V301">
    <cfRule type="cellIs" dxfId="688" priority="903" operator="notBetween">
      <formula>$K301</formula>
      <formula>$L301</formula>
    </cfRule>
  </conditionalFormatting>
  <conditionalFormatting sqref="B303">
    <cfRule type="containsText" dxfId="687" priority="897" operator="containsText" text="MA-CUST">
      <formula>NOT(ISERROR(SEARCH("MA-CUST",B303)))</formula>
    </cfRule>
    <cfRule type="containsText" dxfId="686" priority="898" operator="containsText" text="MA-MLX">
      <formula>NOT(ISERROR(SEARCH("MA-MLX",B303)))</formula>
    </cfRule>
    <cfRule type="containsText" dxfId="685" priority="899" operator="containsText" text="CS">
      <formula>NOT(ISERROR(SEARCH("CS",B303)))</formula>
    </cfRule>
  </conditionalFormatting>
  <conditionalFormatting sqref="AC303">
    <cfRule type="cellIs" dxfId="684" priority="893" operator="equal">
      <formula>0</formula>
    </cfRule>
    <cfRule type="cellIs" dxfId="683" priority="894" operator="equal">
      <formula>1</formula>
    </cfRule>
  </conditionalFormatting>
  <conditionalFormatting sqref="X303">
    <cfRule type="cellIs" dxfId="682" priority="895" operator="notBetween">
      <formula>$K303</formula>
      <formula>$L303</formula>
    </cfRule>
  </conditionalFormatting>
  <conditionalFormatting sqref="O303:R303 T303:V303">
    <cfRule type="cellIs" dxfId="681" priority="896" operator="notBetween">
      <formula>$K303</formula>
      <formula>$L303</formula>
    </cfRule>
  </conditionalFormatting>
  <conditionalFormatting sqref="AC300">
    <cfRule type="cellIs" dxfId="680" priority="885" operator="equal">
      <formula>0</formula>
    </cfRule>
    <cfRule type="cellIs" dxfId="679" priority="886" operator="equal">
      <formula>1</formula>
    </cfRule>
  </conditionalFormatting>
  <conditionalFormatting sqref="X300 O300">
    <cfRule type="cellIs" dxfId="678" priority="887" operator="notBetween">
      <formula>$K300</formula>
      <formula>$L300</formula>
    </cfRule>
  </conditionalFormatting>
  <conditionalFormatting sqref="AC300">
    <cfRule type="cellIs" dxfId="677" priority="888" operator="equal">
      <formula>0</formula>
    </cfRule>
    <cfRule type="cellIs" dxfId="676" priority="889" operator="equal">
      <formula>1</formula>
    </cfRule>
  </conditionalFormatting>
  <conditionalFormatting sqref="B300">
    <cfRule type="containsText" dxfId="675" priority="890" operator="containsText" text="MA-CUST">
      <formula>NOT(ISERROR(SEARCH("MA-CUST",B300)))</formula>
    </cfRule>
    <cfRule type="containsText" dxfId="674" priority="891" operator="containsText" text="MA-MLX">
      <formula>NOT(ISERROR(SEARCH("MA-MLX",B300)))</formula>
    </cfRule>
    <cfRule type="containsText" dxfId="673" priority="892" operator="containsText" text="CS">
      <formula>NOT(ISERROR(SEARCH("CS",B300)))</formula>
    </cfRule>
  </conditionalFormatting>
  <conditionalFormatting sqref="AC302">
    <cfRule type="cellIs" dxfId="672" priority="877" operator="equal">
      <formula>0</formula>
    </cfRule>
    <cfRule type="cellIs" dxfId="671" priority="878" operator="equal">
      <formula>1</formula>
    </cfRule>
  </conditionalFormatting>
  <conditionalFormatting sqref="X302 O302">
    <cfRule type="cellIs" dxfId="670" priority="879" operator="notBetween">
      <formula>$K302</formula>
      <formula>$L302</formula>
    </cfRule>
  </conditionalFormatting>
  <conditionalFormatting sqref="AC302">
    <cfRule type="cellIs" dxfId="669" priority="880" operator="equal">
      <formula>0</formula>
    </cfRule>
    <cfRule type="cellIs" dxfId="668" priority="881" operator="equal">
      <formula>1</formula>
    </cfRule>
  </conditionalFormatting>
  <conditionalFormatting sqref="B302">
    <cfRule type="containsText" dxfId="667" priority="882" operator="containsText" text="MA-CUST">
      <formula>NOT(ISERROR(SEARCH("MA-CUST",B302)))</formula>
    </cfRule>
    <cfRule type="containsText" dxfId="666" priority="883" operator="containsText" text="MA-MLX">
      <formula>NOT(ISERROR(SEARCH("MA-MLX",B302)))</formula>
    </cfRule>
    <cfRule type="containsText" dxfId="665" priority="884" operator="containsText" text="CS">
      <formula>NOT(ISERROR(SEARCH("CS",B302)))</formula>
    </cfRule>
  </conditionalFormatting>
  <conditionalFormatting sqref="AC304">
    <cfRule type="cellIs" dxfId="664" priority="869" operator="equal">
      <formula>0</formula>
    </cfRule>
    <cfRule type="cellIs" dxfId="663" priority="870" operator="equal">
      <formula>1</formula>
    </cfRule>
  </conditionalFormatting>
  <conditionalFormatting sqref="X304 O304">
    <cfRule type="cellIs" dxfId="662" priority="871" operator="notBetween">
      <formula>$K304</formula>
      <formula>$L304</formula>
    </cfRule>
  </conditionalFormatting>
  <conditionalFormatting sqref="AC304">
    <cfRule type="cellIs" dxfId="661" priority="872" operator="equal">
      <formula>0</formula>
    </cfRule>
    <cfRule type="cellIs" dxfId="660" priority="873" operator="equal">
      <formula>1</formula>
    </cfRule>
  </conditionalFormatting>
  <conditionalFormatting sqref="B304">
    <cfRule type="containsText" dxfId="659" priority="874" operator="containsText" text="MA-CUST">
      <formula>NOT(ISERROR(SEARCH("MA-CUST",B304)))</formula>
    </cfRule>
    <cfRule type="containsText" dxfId="658" priority="875" operator="containsText" text="MA-MLX">
      <formula>NOT(ISERROR(SEARCH("MA-MLX",B304)))</formula>
    </cfRule>
    <cfRule type="containsText" dxfId="657" priority="876" operator="containsText" text="CS">
      <formula>NOT(ISERROR(SEARCH("CS",B304)))</formula>
    </cfRule>
  </conditionalFormatting>
  <conditionalFormatting sqref="X301">
    <cfRule type="cellIs" dxfId="656" priority="868" operator="notBetween">
      <formula>$K301</formula>
      <formula>$L301</formula>
    </cfRule>
  </conditionalFormatting>
  <conditionalFormatting sqref="AC123">
    <cfRule type="cellIs" dxfId="655" priority="847" operator="equal">
      <formula>0</formula>
    </cfRule>
    <cfRule type="cellIs" dxfId="654" priority="848" operator="equal">
      <formula>1</formula>
    </cfRule>
  </conditionalFormatting>
  <conditionalFormatting sqref="X123">
    <cfRule type="cellIs" dxfId="653" priority="849" operator="notBetween">
      <formula>$K123</formula>
      <formula>$L123</formula>
    </cfRule>
  </conditionalFormatting>
  <conditionalFormatting sqref="O123 Q123:R123 T123:V123">
    <cfRule type="cellIs" dxfId="652" priority="850" operator="notBetween">
      <formula>$K123</formula>
      <formula>$L123</formula>
    </cfRule>
  </conditionalFormatting>
  <conditionalFormatting sqref="B123">
    <cfRule type="containsText" dxfId="651" priority="851" operator="containsText" text="MA-CUST">
      <formula>NOT(ISERROR(SEARCH("MA-CUST",B123)))</formula>
    </cfRule>
    <cfRule type="containsText" dxfId="650" priority="852" operator="containsText" text="MA-MLX">
      <formula>NOT(ISERROR(SEARCH("MA-MLX",B123)))</formula>
    </cfRule>
    <cfRule type="containsText" dxfId="649" priority="853" operator="containsText" text="CS">
      <formula>NOT(ISERROR(SEARCH("CS",B123)))</formula>
    </cfRule>
  </conditionalFormatting>
  <conditionalFormatting sqref="AC124">
    <cfRule type="cellIs" dxfId="648" priority="840" operator="equal">
      <formula>0</formula>
    </cfRule>
    <cfRule type="cellIs" dxfId="647" priority="841" operator="equal">
      <formula>1</formula>
    </cfRule>
  </conditionalFormatting>
  <conditionalFormatting sqref="X124">
    <cfRule type="cellIs" dxfId="646" priority="842" operator="notBetween">
      <formula>$K124</formula>
      <formula>$L124</formula>
    </cfRule>
  </conditionalFormatting>
  <conditionalFormatting sqref="B124">
    <cfRule type="containsText" dxfId="645" priority="844" operator="containsText" text="MA-CUST">
      <formula>NOT(ISERROR(SEARCH("MA-CUST",B124)))</formula>
    </cfRule>
    <cfRule type="containsText" dxfId="644" priority="845" operator="containsText" text="MA-MLX">
      <formula>NOT(ISERROR(SEARCH("MA-MLX",B124)))</formula>
    </cfRule>
    <cfRule type="containsText" dxfId="643" priority="846" operator="containsText" text="CS">
      <formula>NOT(ISERROR(SEARCH("CS",B124)))</formula>
    </cfRule>
  </conditionalFormatting>
  <conditionalFormatting sqref="B305">
    <cfRule type="containsText" dxfId="642" priority="837" operator="containsText" text="MA-CUST">
      <formula>NOT(ISERROR(SEARCH("MA-CUST",B305)))</formula>
    </cfRule>
    <cfRule type="containsText" dxfId="641" priority="838" operator="containsText" text="MA-MLX">
      <formula>NOT(ISERROR(SEARCH("MA-MLX",B305)))</formula>
    </cfRule>
    <cfRule type="containsText" dxfId="640" priority="839" operator="containsText" text="CS">
      <formula>NOT(ISERROR(SEARCH("CS",B305)))</formula>
    </cfRule>
  </conditionalFormatting>
  <conditionalFormatting sqref="AC305">
    <cfRule type="cellIs" dxfId="639" priority="833" operator="equal">
      <formula>0</formula>
    </cfRule>
    <cfRule type="cellIs" dxfId="638" priority="834" operator="equal">
      <formula>1</formula>
    </cfRule>
  </conditionalFormatting>
  <conditionalFormatting sqref="X305">
    <cfRule type="cellIs" dxfId="637" priority="835" operator="notBetween">
      <formula>$K305</formula>
      <formula>$L305</formula>
    </cfRule>
  </conditionalFormatting>
  <conditionalFormatting sqref="O305:R305 T305:V305">
    <cfRule type="cellIs" dxfId="636" priority="836" operator="notBetween">
      <formula>$K305</formula>
      <formula>$L305</formula>
    </cfRule>
  </conditionalFormatting>
  <conditionalFormatting sqref="AC306">
    <cfRule type="cellIs" dxfId="635" priority="825" operator="equal">
      <formula>0</formula>
    </cfRule>
    <cfRule type="cellIs" dxfId="634" priority="826" operator="equal">
      <formula>1</formula>
    </cfRule>
  </conditionalFormatting>
  <conditionalFormatting sqref="X306 O306">
    <cfRule type="cellIs" dxfId="633" priority="827" operator="notBetween">
      <formula>$K306</formula>
      <formula>$L306</formula>
    </cfRule>
  </conditionalFormatting>
  <conditionalFormatting sqref="AC306">
    <cfRule type="cellIs" dxfId="632" priority="828" operator="equal">
      <formula>0</formula>
    </cfRule>
    <cfRule type="cellIs" dxfId="631" priority="829" operator="equal">
      <formula>1</formula>
    </cfRule>
  </conditionalFormatting>
  <conditionalFormatting sqref="B306">
    <cfRule type="containsText" dxfId="630" priority="830" operator="containsText" text="MA-CUST">
      <formula>NOT(ISERROR(SEARCH("MA-CUST",B306)))</formula>
    </cfRule>
    <cfRule type="containsText" dxfId="629" priority="831" operator="containsText" text="MA-MLX">
      <formula>NOT(ISERROR(SEARCH("MA-MLX",B306)))</formula>
    </cfRule>
    <cfRule type="containsText" dxfId="628" priority="832" operator="containsText" text="CS">
      <formula>NOT(ISERROR(SEARCH("CS",B306)))</formula>
    </cfRule>
  </conditionalFormatting>
  <conditionalFormatting sqref="O223">
    <cfRule type="cellIs" dxfId="627" priority="799" operator="notBetween">
      <formula>$K223</formula>
      <formula>$L223</formula>
    </cfRule>
  </conditionalFormatting>
  <conditionalFormatting sqref="X239">
    <cfRule type="cellIs" dxfId="626" priority="805" operator="notBetween">
      <formula>$K239</formula>
      <formula>$L239</formula>
    </cfRule>
  </conditionalFormatting>
  <conditionalFormatting sqref="B239">
    <cfRule type="containsText" dxfId="625" priority="807" operator="containsText" text="MA-CUST">
      <formula>NOT(ISERROR(SEARCH("MA-CUST",B239)))</formula>
    </cfRule>
    <cfRule type="containsText" dxfId="624" priority="808" operator="containsText" text="MA-MLX">
      <formula>NOT(ISERROR(SEARCH("MA-MLX",B239)))</formula>
    </cfRule>
    <cfRule type="containsText" dxfId="623" priority="809" operator="containsText" text="CS">
      <formula>NOT(ISERROR(SEARCH("CS",B239)))</formula>
    </cfRule>
  </conditionalFormatting>
  <conditionalFormatting sqref="AC239">
    <cfRule type="cellIs" dxfId="622" priority="803" operator="equal">
      <formula>0</formula>
    </cfRule>
    <cfRule type="cellIs" dxfId="621" priority="804" operator="equal">
      <formula>1</formula>
    </cfRule>
  </conditionalFormatting>
  <conditionalFormatting sqref="O239">
    <cfRule type="cellIs" dxfId="620" priority="806" operator="notBetween">
      <formula>$K239</formula>
      <formula>$L239</formula>
    </cfRule>
  </conditionalFormatting>
  <conditionalFormatting sqref="AC223">
    <cfRule type="cellIs" dxfId="619" priority="796" operator="equal">
      <formula>0</formula>
    </cfRule>
    <cfRule type="cellIs" dxfId="618" priority="797" operator="equal">
      <formula>1</formula>
    </cfRule>
  </conditionalFormatting>
  <conditionalFormatting sqref="X223">
    <cfRule type="cellIs" dxfId="617" priority="798" operator="notBetween">
      <formula>$K223</formula>
      <formula>$L223</formula>
    </cfRule>
  </conditionalFormatting>
  <conditionalFormatting sqref="B223">
    <cfRule type="containsText" dxfId="616" priority="800" operator="containsText" text="MA-CUST">
      <formula>NOT(ISERROR(SEARCH("MA-CUST",B223)))</formula>
    </cfRule>
    <cfRule type="containsText" dxfId="615" priority="801" operator="containsText" text="MA-MLX">
      <formula>NOT(ISERROR(SEARCH("MA-MLX",B223)))</formula>
    </cfRule>
    <cfRule type="containsText" dxfId="614" priority="802" operator="containsText" text="CS">
      <formula>NOT(ISERROR(SEARCH("CS",B223)))</formula>
    </cfRule>
  </conditionalFormatting>
  <conditionalFormatting sqref="X229">
    <cfRule type="cellIs" dxfId="613" priority="780" operator="notBetween">
      <formula>$K229</formula>
      <formula>$L229</formula>
    </cfRule>
  </conditionalFormatting>
  <conditionalFormatting sqref="AC229">
    <cfRule type="cellIs" dxfId="612" priority="778" operator="equal">
      <formula>0</formula>
    </cfRule>
    <cfRule type="cellIs" dxfId="611" priority="779" operator="equal">
      <formula>1</formula>
    </cfRule>
  </conditionalFormatting>
  <conditionalFormatting sqref="O229">
    <cfRule type="cellIs" dxfId="610" priority="781" operator="notBetween">
      <formula>$K229</formula>
      <formula>$L229</formula>
    </cfRule>
  </conditionalFormatting>
  <conditionalFormatting sqref="B229">
    <cfRule type="containsText" dxfId="609" priority="782" operator="containsText" text="MA-CUST">
      <formula>NOT(ISERROR(SEARCH("MA-CUST",B229)))</formula>
    </cfRule>
    <cfRule type="containsText" dxfId="608" priority="783" operator="containsText" text="MA-MLX">
      <formula>NOT(ISERROR(SEARCH("MA-MLX",B229)))</formula>
    </cfRule>
    <cfRule type="containsText" dxfId="607" priority="784" operator="containsText" text="CS">
      <formula>NOT(ISERROR(SEARCH("CS",B229)))</formula>
    </cfRule>
  </conditionalFormatting>
  <conditionalFormatting sqref="AC18">
    <cfRule type="cellIs" dxfId="606" priority="764" operator="equal">
      <formula>0</formula>
    </cfRule>
    <cfRule type="cellIs" dxfId="605" priority="765" operator="equal">
      <formula>1</formula>
    </cfRule>
  </conditionalFormatting>
  <conditionalFormatting sqref="X18">
    <cfRule type="cellIs" dxfId="604" priority="766" operator="notBetween">
      <formula>$K18</formula>
      <formula>$L18</formula>
    </cfRule>
  </conditionalFormatting>
  <conditionalFormatting sqref="O18">
    <cfRule type="cellIs" dxfId="603" priority="767" operator="notBetween">
      <formula>$K18</formula>
      <formula>$L18</formula>
    </cfRule>
  </conditionalFormatting>
  <conditionalFormatting sqref="B18">
    <cfRule type="containsText" dxfId="602" priority="768" operator="containsText" text="MA-CUST">
      <formula>NOT(ISERROR(SEARCH("MA-CUST",B18)))</formula>
    </cfRule>
    <cfRule type="containsText" dxfId="601" priority="769" operator="containsText" text="MA-MLX">
      <formula>NOT(ISERROR(SEARCH("MA-MLX",B18)))</formula>
    </cfRule>
    <cfRule type="containsText" dxfId="600" priority="770" operator="containsText" text="CS">
      <formula>NOT(ISERROR(SEARCH("CS",B18)))</formula>
    </cfRule>
  </conditionalFormatting>
  <conditionalFormatting sqref="O17">
    <cfRule type="cellIs" dxfId="599" priority="760" operator="notBetween">
      <formula>$K17</formula>
      <formula>$L17</formula>
    </cfRule>
  </conditionalFormatting>
  <conditionalFormatting sqref="X17">
    <cfRule type="cellIs" dxfId="598" priority="759" operator="notBetween">
      <formula>$K17</formula>
      <formula>$L17</formula>
    </cfRule>
  </conditionalFormatting>
  <conditionalFormatting sqref="AC17">
    <cfRule type="cellIs" dxfId="597" priority="757" operator="equal">
      <formula>0</formula>
    </cfRule>
    <cfRule type="cellIs" dxfId="596" priority="758" operator="equal">
      <formula>1</formula>
    </cfRule>
  </conditionalFormatting>
  <conditionalFormatting sqref="B17">
    <cfRule type="containsText" dxfId="595" priority="761" operator="containsText" text="MA-CUST">
      <formula>NOT(ISERROR(SEARCH("MA-CUST",B17)))</formula>
    </cfRule>
    <cfRule type="containsText" dxfId="594" priority="762" operator="containsText" text="MA-MLX">
      <formula>NOT(ISERROR(SEARCH("MA-MLX",B17)))</formula>
    </cfRule>
    <cfRule type="containsText" dxfId="593" priority="763" operator="containsText" text="CS">
      <formula>NOT(ISERROR(SEARCH("CS",B17)))</formula>
    </cfRule>
  </conditionalFormatting>
  <conditionalFormatting sqref="O29:O30 X29:X30">
    <cfRule type="cellIs" dxfId="592" priority="756" operator="notBetween">
      <formula>$K29</formula>
      <formula>$L29</formula>
    </cfRule>
  </conditionalFormatting>
  <conditionalFormatting sqref="AC30">
    <cfRule type="cellIs" dxfId="591" priority="751" operator="equal">
      <formula>0</formula>
    </cfRule>
    <cfRule type="cellIs" dxfId="590" priority="752" operator="equal">
      <formula>1</formula>
    </cfRule>
  </conditionalFormatting>
  <conditionalFormatting sqref="AC29">
    <cfRule type="cellIs" dxfId="589" priority="746" operator="equal">
      <formula>0</formula>
    </cfRule>
    <cfRule type="cellIs" dxfId="588" priority="747" operator="equal">
      <formula>1</formula>
    </cfRule>
  </conditionalFormatting>
  <conditionalFormatting sqref="B29">
    <cfRule type="containsText" dxfId="587" priority="748" operator="containsText" text="MA-CUST">
      <formula>NOT(ISERROR(SEARCH("MA-CUST",B29)))</formula>
    </cfRule>
    <cfRule type="containsText" dxfId="586" priority="749" operator="containsText" text="MA-MLX">
      <formula>NOT(ISERROR(SEARCH("MA-MLX",B29)))</formula>
    </cfRule>
    <cfRule type="containsText" dxfId="585" priority="750" operator="containsText" text="CS">
      <formula>NOT(ISERROR(SEARCH("CS",B29)))</formula>
    </cfRule>
  </conditionalFormatting>
  <conditionalFormatting sqref="B30">
    <cfRule type="containsText" dxfId="584" priority="753" operator="containsText" text="MA-CUST">
      <formula>NOT(ISERROR(SEARCH("MA-CUST",B30)))</formula>
    </cfRule>
    <cfRule type="containsText" dxfId="583" priority="754" operator="containsText" text="MA-MLX">
      <formula>NOT(ISERROR(SEARCH("MA-MLX",B30)))</formula>
    </cfRule>
    <cfRule type="containsText" dxfId="582" priority="755" operator="containsText" text="CS">
      <formula>NOT(ISERROR(SEARCH("CS",B30)))</formula>
    </cfRule>
  </conditionalFormatting>
  <conditionalFormatting sqref="O22 X22">
    <cfRule type="cellIs" dxfId="581" priority="745" operator="notBetween">
      <formula>$K22</formula>
      <formula>$L22</formula>
    </cfRule>
  </conditionalFormatting>
  <conditionalFormatting sqref="AC22">
    <cfRule type="cellIs" dxfId="580" priority="740" operator="equal">
      <formula>0</formula>
    </cfRule>
    <cfRule type="cellIs" dxfId="579" priority="741" operator="equal">
      <formula>1</formula>
    </cfRule>
  </conditionalFormatting>
  <conditionalFormatting sqref="B22">
    <cfRule type="containsText" dxfId="578" priority="742" operator="containsText" text="MA-CUST">
      <formula>NOT(ISERROR(SEARCH("MA-CUST",B22)))</formula>
    </cfRule>
    <cfRule type="containsText" dxfId="577" priority="743" operator="containsText" text="MA-MLX">
      <formula>NOT(ISERROR(SEARCH("MA-MLX",B22)))</formula>
    </cfRule>
    <cfRule type="containsText" dxfId="576" priority="744" operator="containsText" text="CS">
      <formula>NOT(ISERROR(SEARCH("CS",B22)))</formula>
    </cfRule>
  </conditionalFormatting>
  <conditionalFormatting sqref="O23 X23">
    <cfRule type="cellIs" dxfId="575" priority="739" operator="notBetween">
      <formula>$K23</formula>
      <formula>$L23</formula>
    </cfRule>
  </conditionalFormatting>
  <conditionalFormatting sqref="AC23">
    <cfRule type="cellIs" dxfId="574" priority="734" operator="equal">
      <formula>0</formula>
    </cfRule>
    <cfRule type="cellIs" dxfId="573" priority="735" operator="equal">
      <formula>1</formula>
    </cfRule>
  </conditionalFormatting>
  <conditionalFormatting sqref="B23">
    <cfRule type="containsText" dxfId="572" priority="736" operator="containsText" text="MA-CUST">
      <formula>NOT(ISERROR(SEARCH("MA-CUST",B23)))</formula>
    </cfRule>
    <cfRule type="containsText" dxfId="571" priority="737" operator="containsText" text="MA-MLX">
      <formula>NOT(ISERROR(SEARCH("MA-MLX",B23)))</formula>
    </cfRule>
    <cfRule type="containsText" dxfId="570" priority="738" operator="containsText" text="CS">
      <formula>NOT(ISERROR(SEARCH("CS",B23)))</formula>
    </cfRule>
  </conditionalFormatting>
  <conditionalFormatting sqref="O24 X24">
    <cfRule type="cellIs" dxfId="569" priority="733" operator="notBetween">
      <formula>$K24</formula>
      <formula>$L24</formula>
    </cfRule>
  </conditionalFormatting>
  <conditionalFormatting sqref="AC24">
    <cfRule type="cellIs" dxfId="568" priority="728" operator="equal">
      <formula>0</formula>
    </cfRule>
    <cfRule type="cellIs" dxfId="567" priority="729" operator="equal">
      <formula>1</formula>
    </cfRule>
  </conditionalFormatting>
  <conditionalFormatting sqref="B24">
    <cfRule type="containsText" dxfId="566" priority="730" operator="containsText" text="MA-CUST">
      <formula>NOT(ISERROR(SEARCH("MA-CUST",B24)))</formula>
    </cfRule>
    <cfRule type="containsText" dxfId="565" priority="731" operator="containsText" text="MA-MLX">
      <formula>NOT(ISERROR(SEARCH("MA-MLX",B24)))</formula>
    </cfRule>
    <cfRule type="containsText" dxfId="564" priority="732" operator="containsText" text="CS">
      <formula>NOT(ISERROR(SEARCH("CS",B24)))</formula>
    </cfRule>
  </conditionalFormatting>
  <conditionalFormatting sqref="O25 X25">
    <cfRule type="cellIs" dxfId="563" priority="727" operator="notBetween">
      <formula>$K25</formula>
      <formula>$L25</formula>
    </cfRule>
  </conditionalFormatting>
  <conditionalFormatting sqref="AC25">
    <cfRule type="cellIs" dxfId="562" priority="722" operator="equal">
      <formula>0</formula>
    </cfRule>
    <cfRule type="cellIs" dxfId="561" priority="723" operator="equal">
      <formula>1</formula>
    </cfRule>
  </conditionalFormatting>
  <conditionalFormatting sqref="B25">
    <cfRule type="containsText" dxfId="560" priority="724" operator="containsText" text="MA-CUST">
      <formula>NOT(ISERROR(SEARCH("MA-CUST",B25)))</formula>
    </cfRule>
    <cfRule type="containsText" dxfId="559" priority="725" operator="containsText" text="MA-MLX">
      <formula>NOT(ISERROR(SEARCH("MA-MLX",B25)))</formula>
    </cfRule>
    <cfRule type="containsText" dxfId="558" priority="726" operator="containsText" text="CS">
      <formula>NOT(ISERROR(SEARCH("CS",B25)))</formula>
    </cfRule>
  </conditionalFormatting>
  <conditionalFormatting sqref="AC56">
    <cfRule type="cellIs" dxfId="557" priority="709" operator="equal">
      <formula>0</formula>
    </cfRule>
    <cfRule type="cellIs" dxfId="556" priority="710" operator="equal">
      <formula>1</formula>
    </cfRule>
  </conditionalFormatting>
  <conditionalFormatting sqref="X56">
    <cfRule type="cellIs" dxfId="555" priority="711" operator="notBetween">
      <formula>$K56</formula>
      <formula>$L56</formula>
    </cfRule>
  </conditionalFormatting>
  <conditionalFormatting sqref="O56">
    <cfRule type="cellIs" dxfId="554" priority="712" operator="notBetween">
      <formula>$K56</formula>
      <formula>$L56</formula>
    </cfRule>
  </conditionalFormatting>
  <conditionalFormatting sqref="B56">
    <cfRule type="containsText" dxfId="553" priority="713" operator="containsText" text="MA-CUST">
      <formula>NOT(ISERROR(SEARCH("MA-CUST",B56)))</formula>
    </cfRule>
    <cfRule type="containsText" dxfId="552" priority="714" operator="containsText" text="MA-MLX">
      <formula>NOT(ISERROR(SEARCH("MA-MLX",B56)))</formula>
    </cfRule>
    <cfRule type="containsText" dxfId="551" priority="715" operator="containsText" text="CS">
      <formula>NOT(ISERROR(SEARCH("CS",B56)))</formula>
    </cfRule>
  </conditionalFormatting>
  <conditionalFormatting sqref="AC55">
    <cfRule type="cellIs" dxfId="550" priority="702" operator="equal">
      <formula>0</formula>
    </cfRule>
    <cfRule type="cellIs" dxfId="549" priority="703" operator="equal">
      <formula>1</formula>
    </cfRule>
  </conditionalFormatting>
  <conditionalFormatting sqref="X55">
    <cfRule type="cellIs" dxfId="548" priority="704" operator="notBetween">
      <formula>$K55</formula>
      <formula>$L55</formula>
    </cfRule>
  </conditionalFormatting>
  <conditionalFormatting sqref="O55">
    <cfRule type="cellIs" dxfId="547" priority="705" operator="notBetween">
      <formula>$K55</formula>
      <formula>$L55</formula>
    </cfRule>
  </conditionalFormatting>
  <conditionalFormatting sqref="B55">
    <cfRule type="containsText" dxfId="546" priority="706" operator="containsText" text="MA-CUST">
      <formula>NOT(ISERROR(SEARCH("MA-CUST",B55)))</formula>
    </cfRule>
    <cfRule type="containsText" dxfId="545" priority="707" operator="containsText" text="MA-MLX">
      <formula>NOT(ISERROR(SEARCH("MA-MLX",B55)))</formula>
    </cfRule>
    <cfRule type="containsText" dxfId="544" priority="708" operator="containsText" text="CS">
      <formula>NOT(ISERROR(SEARCH("CS",B55)))</formula>
    </cfRule>
  </conditionalFormatting>
  <conditionalFormatting sqref="AC53">
    <cfRule type="cellIs" dxfId="543" priority="695" operator="equal">
      <formula>0</formula>
    </cfRule>
    <cfRule type="cellIs" dxfId="542" priority="696" operator="equal">
      <formula>1</formula>
    </cfRule>
  </conditionalFormatting>
  <conditionalFormatting sqref="X53">
    <cfRule type="cellIs" dxfId="541" priority="697" operator="notBetween">
      <formula>$K53</formula>
      <formula>$L53</formula>
    </cfRule>
  </conditionalFormatting>
  <conditionalFormatting sqref="O53">
    <cfRule type="cellIs" dxfId="540" priority="698" operator="notBetween">
      <formula>$K53</formula>
      <formula>$L53</formula>
    </cfRule>
  </conditionalFormatting>
  <conditionalFormatting sqref="B53">
    <cfRule type="containsText" dxfId="539" priority="699" operator="containsText" text="MA-CUST">
      <formula>NOT(ISERROR(SEARCH("MA-CUST",B53)))</formula>
    </cfRule>
    <cfRule type="containsText" dxfId="538" priority="700" operator="containsText" text="MA-MLX">
      <formula>NOT(ISERROR(SEARCH("MA-MLX",B53)))</formula>
    </cfRule>
    <cfRule type="containsText" dxfId="537" priority="701" operator="containsText" text="CS">
      <formula>NOT(ISERROR(SEARCH("CS",B53)))</formula>
    </cfRule>
  </conditionalFormatting>
  <conditionalFormatting sqref="AC54">
    <cfRule type="cellIs" dxfId="536" priority="688" operator="equal">
      <formula>0</formula>
    </cfRule>
    <cfRule type="cellIs" dxfId="535" priority="689" operator="equal">
      <formula>1</formula>
    </cfRule>
  </conditionalFormatting>
  <conditionalFormatting sqref="X54">
    <cfRule type="cellIs" dxfId="534" priority="690" operator="notBetween">
      <formula>$K54</formula>
      <formula>$L54</formula>
    </cfRule>
  </conditionalFormatting>
  <conditionalFormatting sqref="O54">
    <cfRule type="cellIs" dxfId="533" priority="691" operator="notBetween">
      <formula>$K54</formula>
      <formula>$L54</formula>
    </cfRule>
  </conditionalFormatting>
  <conditionalFormatting sqref="B54">
    <cfRule type="containsText" dxfId="532" priority="692" operator="containsText" text="MA-CUST">
      <formula>NOT(ISERROR(SEARCH("MA-CUST",B54)))</formula>
    </cfRule>
    <cfRule type="containsText" dxfId="531" priority="693" operator="containsText" text="MA-MLX">
      <formula>NOT(ISERROR(SEARCH("MA-MLX",B54)))</formula>
    </cfRule>
    <cfRule type="containsText" dxfId="530" priority="694" operator="containsText" text="CS">
      <formula>NOT(ISERROR(SEARCH("CS",B54)))</formula>
    </cfRule>
  </conditionalFormatting>
  <conditionalFormatting sqref="AC51">
    <cfRule type="cellIs" dxfId="529" priority="681" operator="equal">
      <formula>0</formula>
    </cfRule>
    <cfRule type="cellIs" dxfId="528" priority="682" operator="equal">
      <formula>1</formula>
    </cfRule>
  </conditionalFormatting>
  <conditionalFormatting sqref="X51">
    <cfRule type="cellIs" dxfId="527" priority="683" operator="notBetween">
      <formula>$K51</formula>
      <formula>$L51</formula>
    </cfRule>
  </conditionalFormatting>
  <conditionalFormatting sqref="O51:R51 T51:V51">
    <cfRule type="cellIs" dxfId="526" priority="684" operator="notBetween">
      <formula>$K51</formula>
      <formula>$L51</formula>
    </cfRule>
  </conditionalFormatting>
  <conditionalFormatting sqref="B51">
    <cfRule type="containsText" dxfId="525" priority="685" operator="containsText" text="MA-CUST">
      <formula>NOT(ISERROR(SEARCH("MA-CUST",B51)))</formula>
    </cfRule>
    <cfRule type="containsText" dxfId="524" priority="686" operator="containsText" text="MA-MLX">
      <formula>NOT(ISERROR(SEARCH("MA-MLX",B51)))</formula>
    </cfRule>
    <cfRule type="containsText" dxfId="523" priority="687" operator="containsText" text="CS">
      <formula>NOT(ISERROR(SEARCH("CS",B51)))</formula>
    </cfRule>
  </conditionalFormatting>
  <conditionalFormatting sqref="AC28">
    <cfRule type="cellIs" dxfId="522" priority="668" operator="equal">
      <formula>0</formula>
    </cfRule>
    <cfRule type="cellIs" dxfId="521" priority="669" operator="equal">
      <formula>1</formula>
    </cfRule>
  </conditionalFormatting>
  <conditionalFormatting sqref="O35">
    <cfRule type="cellIs" dxfId="520" priority="660" operator="notBetween">
      <formula>$K35</formula>
      <formula>$L35</formula>
    </cfRule>
  </conditionalFormatting>
  <conditionalFormatting sqref="O28 X28">
    <cfRule type="cellIs" dxfId="519" priority="673" operator="notBetween">
      <formula>$K28</formula>
      <formula>$L28</formula>
    </cfRule>
  </conditionalFormatting>
  <conditionalFormatting sqref="AC228">
    <cfRule type="cellIs" dxfId="518" priority="610" operator="equal">
      <formula>0</formula>
    </cfRule>
    <cfRule type="cellIs" dxfId="517" priority="611" operator="equal">
      <formula>1</formula>
    </cfRule>
  </conditionalFormatting>
  <conditionalFormatting sqref="B28">
    <cfRule type="containsText" dxfId="516" priority="670" operator="containsText" text="MA-CUST">
      <formula>NOT(ISERROR(SEARCH("MA-CUST",B28)))</formula>
    </cfRule>
    <cfRule type="containsText" dxfId="515" priority="671" operator="containsText" text="MA-MLX">
      <formula>NOT(ISERROR(SEARCH("MA-MLX",B28)))</formula>
    </cfRule>
    <cfRule type="containsText" dxfId="514" priority="672" operator="containsText" text="CS">
      <formula>NOT(ISERROR(SEARCH("CS",B28)))</formula>
    </cfRule>
  </conditionalFormatting>
  <conditionalFormatting sqref="X35">
    <cfRule type="cellIs" dxfId="513" priority="663" operator="notBetween">
      <formula>$K35</formula>
      <formula>$L35</formula>
    </cfRule>
  </conditionalFormatting>
  <conditionalFormatting sqref="AC35">
    <cfRule type="cellIs" dxfId="512" priority="661" operator="equal">
      <formula>0</formula>
    </cfRule>
    <cfRule type="cellIs" dxfId="511" priority="662" operator="equal">
      <formula>1</formula>
    </cfRule>
  </conditionalFormatting>
  <conditionalFormatting sqref="B35">
    <cfRule type="containsText" dxfId="510" priority="665" operator="containsText" text="MA-CUST">
      <formula>NOT(ISERROR(SEARCH("MA-CUST",B35)))</formula>
    </cfRule>
    <cfRule type="containsText" dxfId="509" priority="666" operator="containsText" text="MA-MLX">
      <formula>NOT(ISERROR(SEARCH("MA-MLX",B35)))</formula>
    </cfRule>
    <cfRule type="containsText" dxfId="508" priority="667" operator="containsText" text="CS">
      <formula>NOT(ISERROR(SEARCH("CS",B35)))</formula>
    </cfRule>
  </conditionalFormatting>
  <conditionalFormatting sqref="O52">
    <cfRule type="cellIs" dxfId="507" priority="637" operator="notBetween">
      <formula>$K52</formula>
      <formula>$L52</formula>
    </cfRule>
  </conditionalFormatting>
  <conditionalFormatting sqref="X52">
    <cfRule type="cellIs" dxfId="506" priority="640" operator="notBetween">
      <formula>$K52</formula>
      <formula>$L52</formula>
    </cfRule>
  </conditionalFormatting>
  <conditionalFormatting sqref="AC52">
    <cfRule type="cellIs" dxfId="505" priority="638" operator="equal">
      <formula>0</formula>
    </cfRule>
    <cfRule type="cellIs" dxfId="504" priority="639" operator="equal">
      <formula>1</formula>
    </cfRule>
  </conditionalFormatting>
  <conditionalFormatting sqref="B52">
    <cfRule type="containsText" dxfId="503" priority="642" operator="containsText" text="MA-CUST">
      <formula>NOT(ISERROR(SEARCH("MA-CUST",B52)))</formula>
    </cfRule>
    <cfRule type="containsText" dxfId="502" priority="643" operator="containsText" text="MA-MLX">
      <formula>NOT(ISERROR(SEARCH("MA-MLX",B52)))</formula>
    </cfRule>
    <cfRule type="containsText" dxfId="501" priority="644" operator="containsText" text="CS">
      <formula>NOT(ISERROR(SEARCH("CS",B52)))</formula>
    </cfRule>
  </conditionalFormatting>
  <conditionalFormatting sqref="O58">
    <cfRule type="cellIs" dxfId="500" priority="629" operator="notBetween">
      <formula>$K58</formula>
      <formula>$L58</formula>
    </cfRule>
  </conditionalFormatting>
  <conditionalFormatting sqref="X58">
    <cfRule type="cellIs" dxfId="499" priority="632" operator="notBetween">
      <formula>$K58</formula>
      <formula>$L58</formula>
    </cfRule>
  </conditionalFormatting>
  <conditionalFormatting sqref="AC58">
    <cfRule type="cellIs" dxfId="498" priority="630" operator="equal">
      <formula>0</formula>
    </cfRule>
    <cfRule type="cellIs" dxfId="497" priority="631" operator="equal">
      <formula>1</formula>
    </cfRule>
  </conditionalFormatting>
  <conditionalFormatting sqref="B58">
    <cfRule type="containsText" dxfId="496" priority="634" operator="containsText" text="MA-CUST">
      <formula>NOT(ISERROR(SEARCH("MA-CUST",B58)))</formula>
    </cfRule>
    <cfRule type="containsText" dxfId="495" priority="635" operator="containsText" text="MA-MLX">
      <formula>NOT(ISERROR(SEARCH("MA-MLX",B58)))</formula>
    </cfRule>
    <cfRule type="containsText" dxfId="494" priority="636" operator="containsText" text="CS">
      <formula>NOT(ISERROR(SEARCH("CS",B58)))</formula>
    </cfRule>
  </conditionalFormatting>
  <conditionalFormatting sqref="B228">
    <cfRule type="containsText" dxfId="493" priority="612" operator="containsText" text="MA-CUST">
      <formula>NOT(ISERROR(SEARCH("MA-CUST",B228)))</formula>
    </cfRule>
    <cfRule type="containsText" dxfId="492" priority="613" operator="containsText" text="MA-MLX">
      <formula>NOT(ISERROR(SEARCH("MA-MLX",B228)))</formula>
    </cfRule>
    <cfRule type="containsText" dxfId="491" priority="614" operator="containsText" text="CS">
      <formula>NOT(ISERROR(SEARCH("CS",B228)))</formula>
    </cfRule>
  </conditionalFormatting>
  <conditionalFormatting sqref="AC228">
    <cfRule type="cellIs" dxfId="490" priority="615" operator="equal">
      <formula>0</formula>
    </cfRule>
    <cfRule type="cellIs" dxfId="489" priority="616" operator="equal">
      <formula>1</formula>
    </cfRule>
  </conditionalFormatting>
  <conditionalFormatting sqref="X228 O228">
    <cfRule type="cellIs" dxfId="488" priority="617" operator="notBetween">
      <formula>$K228</formula>
      <formula>$L228</formula>
    </cfRule>
  </conditionalFormatting>
  <conditionalFormatting sqref="B228">
    <cfRule type="containsText" dxfId="487" priority="618" operator="containsText" text="MA-CUST">
      <formula>NOT(ISERROR(SEARCH("MA-CUST",B228)))</formula>
    </cfRule>
    <cfRule type="containsText" dxfId="486" priority="619" operator="containsText" text="MA-MLX">
      <formula>NOT(ISERROR(SEARCH("MA-MLX",B228)))</formula>
    </cfRule>
    <cfRule type="containsText" dxfId="485" priority="620" operator="containsText" text="CS">
      <formula>NOT(ISERROR(SEARCH("CS",B228)))</formula>
    </cfRule>
  </conditionalFormatting>
  <conditionalFormatting sqref="AC237">
    <cfRule type="cellIs" dxfId="484" priority="599" operator="equal">
      <formula>0</formula>
    </cfRule>
    <cfRule type="cellIs" dxfId="483" priority="600" operator="equal">
      <formula>1</formula>
    </cfRule>
  </conditionalFormatting>
  <conditionalFormatting sqref="B237">
    <cfRule type="containsText" dxfId="482" priority="601" operator="containsText" text="MA-CUST">
      <formula>NOT(ISERROR(SEARCH("MA-CUST",B237)))</formula>
    </cfRule>
    <cfRule type="containsText" dxfId="481" priority="602" operator="containsText" text="MA-MLX">
      <formula>NOT(ISERROR(SEARCH("MA-MLX",B237)))</formula>
    </cfRule>
    <cfRule type="containsText" dxfId="480" priority="603" operator="containsText" text="CS">
      <formula>NOT(ISERROR(SEARCH("CS",B237)))</formula>
    </cfRule>
  </conditionalFormatting>
  <conditionalFormatting sqref="AC237">
    <cfRule type="cellIs" dxfId="479" priority="604" operator="equal">
      <formula>0</formula>
    </cfRule>
    <cfRule type="cellIs" dxfId="478" priority="605" operator="equal">
      <formula>1</formula>
    </cfRule>
  </conditionalFormatting>
  <conditionalFormatting sqref="X237 O237">
    <cfRule type="cellIs" dxfId="477" priority="606" operator="notBetween">
      <formula>$K237</formula>
      <formula>$L237</formula>
    </cfRule>
  </conditionalFormatting>
  <conditionalFormatting sqref="B237">
    <cfRule type="containsText" dxfId="476" priority="607" operator="containsText" text="MA-CUST">
      <formula>NOT(ISERROR(SEARCH("MA-CUST",B237)))</formula>
    </cfRule>
    <cfRule type="containsText" dxfId="475" priority="608" operator="containsText" text="MA-MLX">
      <formula>NOT(ISERROR(SEARCH("MA-MLX",B237)))</formula>
    </cfRule>
    <cfRule type="containsText" dxfId="474" priority="609" operator="containsText" text="CS">
      <formula>NOT(ISERROR(SEARCH("CS",B237)))</formula>
    </cfRule>
  </conditionalFormatting>
  <conditionalFormatting sqref="AC9">
    <cfRule type="cellIs" dxfId="473" priority="592" operator="equal">
      <formula>0</formula>
    </cfRule>
    <cfRule type="cellIs" dxfId="472" priority="593" operator="equal">
      <formula>1</formula>
    </cfRule>
  </conditionalFormatting>
  <conditionalFormatting sqref="X9">
    <cfRule type="cellIs" dxfId="471" priority="594" operator="notBetween">
      <formula>$K9</formula>
      <formula>$L9</formula>
    </cfRule>
  </conditionalFormatting>
  <conditionalFormatting sqref="O9">
    <cfRule type="cellIs" dxfId="470" priority="595" operator="notBetween">
      <formula>$K9</formula>
      <formula>$L9</formula>
    </cfRule>
  </conditionalFormatting>
  <conditionalFormatting sqref="B9">
    <cfRule type="containsText" dxfId="469" priority="596" operator="containsText" text="MA-CUST">
      <formula>NOT(ISERROR(SEARCH("MA-CUST",B9)))</formula>
    </cfRule>
    <cfRule type="containsText" dxfId="468" priority="597" operator="containsText" text="MA-MLX">
      <formula>NOT(ISERROR(SEARCH("MA-MLX",B9)))</formula>
    </cfRule>
    <cfRule type="containsText" dxfId="467" priority="598" operator="containsText" text="CS">
      <formula>NOT(ISERROR(SEARCH("CS",B9)))</formula>
    </cfRule>
  </conditionalFormatting>
  <conditionalFormatting sqref="AC19">
    <cfRule type="cellIs" dxfId="466" priority="585" operator="equal">
      <formula>0</formula>
    </cfRule>
    <cfRule type="cellIs" dxfId="465" priority="586" operator="equal">
      <formula>1</formula>
    </cfRule>
  </conditionalFormatting>
  <conditionalFormatting sqref="X19">
    <cfRule type="cellIs" dxfId="464" priority="587" operator="notBetween">
      <formula>$K19</formula>
      <formula>$L19</formula>
    </cfRule>
  </conditionalFormatting>
  <conditionalFormatting sqref="O19">
    <cfRule type="cellIs" dxfId="463" priority="588" operator="notBetween">
      <formula>$K19</formula>
      <formula>$L19</formula>
    </cfRule>
  </conditionalFormatting>
  <conditionalFormatting sqref="B19">
    <cfRule type="containsText" dxfId="462" priority="589" operator="containsText" text="MA-CUST">
      <formula>NOT(ISERROR(SEARCH("MA-CUST",B19)))</formula>
    </cfRule>
    <cfRule type="containsText" dxfId="461" priority="590" operator="containsText" text="MA-MLX">
      <formula>NOT(ISERROR(SEARCH("MA-MLX",B19)))</formula>
    </cfRule>
    <cfRule type="containsText" dxfId="460" priority="591" operator="containsText" text="CS">
      <formula>NOT(ISERROR(SEARCH("CS",B19)))</formula>
    </cfRule>
  </conditionalFormatting>
  <conditionalFormatting sqref="B241">
    <cfRule type="containsText" dxfId="459" priority="582" operator="containsText" text="MA-CUST">
      <formula>NOT(ISERROR(SEARCH("MA-CUST",B241)))</formula>
    </cfRule>
    <cfRule type="containsText" dxfId="458" priority="583" operator="containsText" text="MA-MLX">
      <formula>NOT(ISERROR(SEARCH("MA-MLX",B241)))</formula>
    </cfRule>
    <cfRule type="containsText" dxfId="457" priority="584" operator="containsText" text="CS">
      <formula>NOT(ISERROR(SEARCH("CS",B241)))</formula>
    </cfRule>
  </conditionalFormatting>
  <conditionalFormatting sqref="AC241">
    <cfRule type="cellIs" dxfId="456" priority="578" operator="equal">
      <formula>0</formula>
    </cfRule>
    <cfRule type="cellIs" dxfId="455" priority="579" operator="equal">
      <formula>1</formula>
    </cfRule>
  </conditionalFormatting>
  <conditionalFormatting sqref="X241">
    <cfRule type="cellIs" dxfId="454" priority="580" operator="notBetween">
      <formula>$K241</formula>
      <formula>$L241</formula>
    </cfRule>
  </conditionalFormatting>
  <conditionalFormatting sqref="O241:R241 T241:V241">
    <cfRule type="cellIs" dxfId="453" priority="581" operator="notBetween">
      <formula>$K241</formula>
      <formula>$L241</formula>
    </cfRule>
  </conditionalFormatting>
  <conditionalFormatting sqref="X242">
    <cfRule type="cellIs" dxfId="452" priority="573" operator="notBetween">
      <formula>$K242</formula>
      <formula>$L242</formula>
    </cfRule>
  </conditionalFormatting>
  <conditionalFormatting sqref="AC242">
    <cfRule type="cellIs" dxfId="451" priority="571" operator="equal">
      <formula>0</formula>
    </cfRule>
    <cfRule type="cellIs" dxfId="450" priority="572" operator="equal">
      <formula>1</formula>
    </cfRule>
  </conditionalFormatting>
  <conditionalFormatting sqref="O242">
    <cfRule type="cellIs" dxfId="449" priority="574" operator="notBetween">
      <formula>$K242</formula>
      <formula>$L242</formula>
    </cfRule>
  </conditionalFormatting>
  <conditionalFormatting sqref="B242">
    <cfRule type="containsText" dxfId="448" priority="575" operator="containsText" text="MA-CUST">
      <formula>NOT(ISERROR(SEARCH("MA-CUST",B242)))</formula>
    </cfRule>
    <cfRule type="containsText" dxfId="447" priority="576" operator="containsText" text="MA-MLX">
      <formula>NOT(ISERROR(SEARCH("MA-MLX",B242)))</formula>
    </cfRule>
    <cfRule type="containsText" dxfId="446" priority="577" operator="containsText" text="CS">
      <formula>NOT(ISERROR(SEARCH("CS",B242)))</formula>
    </cfRule>
  </conditionalFormatting>
  <conditionalFormatting sqref="X243">
    <cfRule type="cellIs" dxfId="445" priority="566" operator="notBetween">
      <formula>$K243</formula>
      <formula>$L243</formula>
    </cfRule>
  </conditionalFormatting>
  <conditionalFormatting sqref="AC243">
    <cfRule type="cellIs" dxfId="444" priority="564" operator="equal">
      <formula>0</formula>
    </cfRule>
    <cfRule type="cellIs" dxfId="443" priority="565" operator="equal">
      <formula>1</formula>
    </cfRule>
  </conditionalFormatting>
  <conditionalFormatting sqref="O243">
    <cfRule type="cellIs" dxfId="442" priority="567" operator="notBetween">
      <formula>$K243</formula>
      <formula>$L243</formula>
    </cfRule>
  </conditionalFormatting>
  <conditionalFormatting sqref="B243">
    <cfRule type="containsText" dxfId="441" priority="568" operator="containsText" text="MA-CUST">
      <formula>NOT(ISERROR(SEARCH("MA-CUST",B243)))</formula>
    </cfRule>
    <cfRule type="containsText" dxfId="440" priority="569" operator="containsText" text="MA-MLX">
      <formula>NOT(ISERROR(SEARCH("MA-MLX",B243)))</formula>
    </cfRule>
    <cfRule type="containsText" dxfId="439" priority="570" operator="containsText" text="CS">
      <formula>NOT(ISERROR(SEARCH("CS",B243)))</formula>
    </cfRule>
  </conditionalFormatting>
  <conditionalFormatting sqref="X238">
    <cfRule type="cellIs" dxfId="438" priority="559" operator="notBetween">
      <formula>$K238</formula>
      <formula>$L238</formula>
    </cfRule>
  </conditionalFormatting>
  <conditionalFormatting sqref="B238">
    <cfRule type="containsText" dxfId="437" priority="561" operator="containsText" text="MA-CUST">
      <formula>NOT(ISERROR(SEARCH("MA-CUST",B238)))</formula>
    </cfRule>
    <cfRule type="containsText" dxfId="436" priority="562" operator="containsText" text="MA-MLX">
      <formula>NOT(ISERROR(SEARCH("MA-MLX",B238)))</formula>
    </cfRule>
    <cfRule type="containsText" dxfId="435" priority="563" operator="containsText" text="CS">
      <formula>NOT(ISERROR(SEARCH("CS",B238)))</formula>
    </cfRule>
  </conditionalFormatting>
  <conditionalFormatting sqref="AC238">
    <cfRule type="cellIs" dxfId="434" priority="557" operator="equal">
      <formula>0</formula>
    </cfRule>
    <cfRule type="cellIs" dxfId="433" priority="558" operator="equal">
      <formula>1</formula>
    </cfRule>
  </conditionalFormatting>
  <conditionalFormatting sqref="O238">
    <cfRule type="cellIs" dxfId="432" priority="560" operator="notBetween">
      <formula>$K238</formula>
      <formula>$L238</formula>
    </cfRule>
  </conditionalFormatting>
  <conditionalFormatting sqref="AC12">
    <cfRule type="cellIs" dxfId="431" priority="550" operator="equal">
      <formula>0</formula>
    </cfRule>
    <cfRule type="cellIs" dxfId="430" priority="551" operator="equal">
      <formula>1</formula>
    </cfRule>
  </conditionalFormatting>
  <conditionalFormatting sqref="X12">
    <cfRule type="cellIs" dxfId="429" priority="552" operator="notBetween">
      <formula>$K12</formula>
      <formula>$L12</formula>
    </cfRule>
  </conditionalFormatting>
  <conditionalFormatting sqref="B12">
    <cfRule type="containsText" dxfId="428" priority="554" operator="containsText" text="MA-CUST">
      <formula>NOT(ISERROR(SEARCH("MA-CUST",B12)))</formula>
    </cfRule>
    <cfRule type="containsText" dxfId="427" priority="555" operator="containsText" text="MA-MLX">
      <formula>NOT(ISERROR(SEARCH("MA-MLX",B12)))</formula>
    </cfRule>
    <cfRule type="containsText" dxfId="426" priority="556" operator="containsText" text="CS">
      <formula>NOT(ISERROR(SEARCH("CS",B12)))</formula>
    </cfRule>
  </conditionalFormatting>
  <conditionalFormatting sqref="O12">
    <cfRule type="cellIs" dxfId="425" priority="549" operator="notBetween">
      <formula>$K12</formula>
      <formula>$L12</formula>
    </cfRule>
  </conditionalFormatting>
  <conditionalFormatting sqref="AC132 AC134">
    <cfRule type="cellIs" dxfId="424" priority="542" operator="equal">
      <formula>0</formula>
    </cfRule>
    <cfRule type="cellIs" dxfId="423" priority="543" operator="equal">
      <formula>1</formula>
    </cfRule>
  </conditionalFormatting>
  <conditionalFormatting sqref="X132 X134">
    <cfRule type="cellIs" dxfId="422" priority="544" operator="notBetween">
      <formula>$K132</formula>
      <formula>$L132</formula>
    </cfRule>
  </conditionalFormatting>
  <conditionalFormatting sqref="O132:R132 O134 T132:V132">
    <cfRule type="cellIs" dxfId="421" priority="545" operator="notBetween">
      <formula>$K132</formula>
      <formula>$L132</formula>
    </cfRule>
  </conditionalFormatting>
  <conditionalFormatting sqref="B134 B132">
    <cfRule type="containsText" dxfId="420" priority="546" operator="containsText" text="MA-CUST">
      <formula>NOT(ISERROR(SEARCH("MA-CUST",B132)))</formula>
    </cfRule>
    <cfRule type="containsText" dxfId="419" priority="547" operator="containsText" text="MA-MLX">
      <formula>NOT(ISERROR(SEARCH("MA-MLX",B132)))</formula>
    </cfRule>
    <cfRule type="containsText" dxfId="418" priority="548" operator="containsText" text="CS">
      <formula>NOT(ISERROR(SEARCH("CS",B132)))</formula>
    </cfRule>
  </conditionalFormatting>
  <conditionalFormatting sqref="O133">
    <cfRule type="cellIs" dxfId="417" priority="538" operator="notBetween">
      <formula>$K133</formula>
      <formula>$L133</formula>
    </cfRule>
  </conditionalFormatting>
  <conditionalFormatting sqref="AC133">
    <cfRule type="cellIs" dxfId="416" priority="535" operator="equal">
      <formula>0</formula>
    </cfRule>
    <cfRule type="cellIs" dxfId="415" priority="536" operator="equal">
      <formula>1</formula>
    </cfRule>
  </conditionalFormatting>
  <conditionalFormatting sqref="X133">
    <cfRule type="cellIs" dxfId="414" priority="537" operator="notBetween">
      <formula>$K133</formula>
      <formula>$L133</formula>
    </cfRule>
  </conditionalFormatting>
  <conditionalFormatting sqref="B133">
    <cfRule type="containsText" dxfId="413" priority="539" operator="containsText" text="MA-CUST">
      <formula>NOT(ISERROR(SEARCH("MA-CUST",B133)))</formula>
    </cfRule>
    <cfRule type="containsText" dxfId="412" priority="540" operator="containsText" text="MA-MLX">
      <formula>NOT(ISERROR(SEARCH("MA-MLX",B133)))</formula>
    </cfRule>
    <cfRule type="containsText" dxfId="411" priority="541" operator="containsText" text="CS">
      <formula>NOT(ISERROR(SEARCH("CS",B133)))</formula>
    </cfRule>
  </conditionalFormatting>
  <conditionalFormatting sqref="AC135">
    <cfRule type="cellIs" dxfId="410" priority="528" operator="equal">
      <formula>0</formula>
    </cfRule>
    <cfRule type="cellIs" dxfId="409" priority="529" operator="equal">
      <formula>1</formula>
    </cfRule>
  </conditionalFormatting>
  <conditionalFormatting sqref="X135">
    <cfRule type="cellIs" dxfId="408" priority="530" operator="notBetween">
      <formula>$K135</formula>
      <formula>$L135</formula>
    </cfRule>
  </conditionalFormatting>
  <conditionalFormatting sqref="O135">
    <cfRule type="cellIs" dxfId="407" priority="531" operator="notBetween">
      <formula>$K135</formula>
      <formula>$L135</formula>
    </cfRule>
  </conditionalFormatting>
  <conditionalFormatting sqref="B135">
    <cfRule type="containsText" dxfId="406" priority="532" operator="containsText" text="MA-CUST">
      <formula>NOT(ISERROR(SEARCH("MA-CUST",B135)))</formula>
    </cfRule>
    <cfRule type="containsText" dxfId="405" priority="533" operator="containsText" text="MA-MLX">
      <formula>NOT(ISERROR(SEARCH("MA-MLX",B135)))</formula>
    </cfRule>
    <cfRule type="containsText" dxfId="404" priority="534" operator="containsText" text="CS">
      <formula>NOT(ISERROR(SEARCH("CS",B135)))</formula>
    </cfRule>
  </conditionalFormatting>
  <conditionalFormatting sqref="AC136">
    <cfRule type="cellIs" dxfId="403" priority="521" operator="equal">
      <formula>0</formula>
    </cfRule>
    <cfRule type="cellIs" dxfId="402" priority="522" operator="equal">
      <formula>1</formula>
    </cfRule>
  </conditionalFormatting>
  <conditionalFormatting sqref="X136">
    <cfRule type="cellIs" dxfId="401" priority="523" operator="notBetween">
      <formula>$K136</formula>
      <formula>$L136</formula>
    </cfRule>
  </conditionalFormatting>
  <conditionalFormatting sqref="O136">
    <cfRule type="cellIs" dxfId="400" priority="524" operator="notBetween">
      <formula>$K136</formula>
      <formula>$L136</formula>
    </cfRule>
  </conditionalFormatting>
  <conditionalFormatting sqref="B136">
    <cfRule type="containsText" dxfId="399" priority="525" operator="containsText" text="MA-CUST">
      <formula>NOT(ISERROR(SEARCH("MA-CUST",B136)))</formula>
    </cfRule>
    <cfRule type="containsText" dxfId="398" priority="526" operator="containsText" text="MA-MLX">
      <formula>NOT(ISERROR(SEARCH("MA-MLX",B136)))</formula>
    </cfRule>
    <cfRule type="containsText" dxfId="397" priority="527" operator="containsText" text="CS">
      <formula>NOT(ISERROR(SEARCH("CS",B136)))</formula>
    </cfRule>
  </conditionalFormatting>
  <conditionalFormatting sqref="O139 X139">
    <cfRule type="cellIs" dxfId="396" priority="515" operator="notBetween">
      <formula>$K139</formula>
      <formula>$L139</formula>
    </cfRule>
  </conditionalFormatting>
  <conditionalFormatting sqref="AC139">
    <cfRule type="cellIs" dxfId="395" priority="516" operator="equal">
      <formula>0</formula>
    </cfRule>
    <cfRule type="cellIs" dxfId="394" priority="517" operator="equal">
      <formula>1</formula>
    </cfRule>
  </conditionalFormatting>
  <conditionalFormatting sqref="B139">
    <cfRule type="containsText" dxfId="393" priority="518" operator="containsText" text="MA-CUST">
      <formula>NOT(ISERROR(SEARCH("MA-CUST",B139)))</formula>
    </cfRule>
    <cfRule type="containsText" dxfId="392" priority="519" operator="containsText" text="MA-MLX">
      <formula>NOT(ISERROR(SEARCH("MA-MLX",B139)))</formula>
    </cfRule>
    <cfRule type="containsText" dxfId="391" priority="520" operator="containsText" text="CS">
      <formula>NOT(ISERROR(SEARCH("CS",B139)))</formula>
    </cfRule>
  </conditionalFormatting>
  <conditionalFormatting sqref="AC139">
    <cfRule type="cellIs" dxfId="390" priority="510" operator="equal">
      <formula>0</formula>
    </cfRule>
    <cfRule type="cellIs" dxfId="389" priority="511" operator="equal">
      <formula>1</formula>
    </cfRule>
  </conditionalFormatting>
  <conditionalFormatting sqref="B139">
    <cfRule type="containsText" dxfId="388" priority="512" operator="containsText" text="MA-CUST">
      <formula>NOT(ISERROR(SEARCH("MA-CUST",B139)))</formula>
    </cfRule>
    <cfRule type="containsText" dxfId="387" priority="513" operator="containsText" text="MA-MLX">
      <formula>NOT(ISERROR(SEARCH("MA-MLX",B139)))</formula>
    </cfRule>
    <cfRule type="containsText" dxfId="386" priority="514" operator="containsText" text="CS">
      <formula>NOT(ISERROR(SEARCH("CS",B139)))</formula>
    </cfRule>
  </conditionalFormatting>
  <conditionalFormatting sqref="O140 X140">
    <cfRule type="cellIs" dxfId="385" priority="504" operator="notBetween">
      <formula>$K140</formula>
      <formula>$L140</formula>
    </cfRule>
  </conditionalFormatting>
  <conditionalFormatting sqref="AC140">
    <cfRule type="cellIs" dxfId="384" priority="505" operator="equal">
      <formula>0</formula>
    </cfRule>
    <cfRule type="cellIs" dxfId="383" priority="506" operator="equal">
      <formula>1</formula>
    </cfRule>
  </conditionalFormatting>
  <conditionalFormatting sqref="B140">
    <cfRule type="containsText" dxfId="382" priority="507" operator="containsText" text="MA-CUST">
      <formula>NOT(ISERROR(SEARCH("MA-CUST",B140)))</formula>
    </cfRule>
    <cfRule type="containsText" dxfId="381" priority="508" operator="containsText" text="MA-MLX">
      <formula>NOT(ISERROR(SEARCH("MA-MLX",B140)))</formula>
    </cfRule>
    <cfRule type="containsText" dxfId="380" priority="509" operator="containsText" text="CS">
      <formula>NOT(ISERROR(SEARCH("CS",B140)))</formula>
    </cfRule>
  </conditionalFormatting>
  <conditionalFormatting sqref="AC140">
    <cfRule type="cellIs" dxfId="379" priority="499" operator="equal">
      <formula>0</formula>
    </cfRule>
    <cfRule type="cellIs" dxfId="378" priority="500" operator="equal">
      <formula>1</formula>
    </cfRule>
  </conditionalFormatting>
  <conditionalFormatting sqref="B140">
    <cfRule type="containsText" dxfId="377" priority="501" operator="containsText" text="MA-CUST">
      <formula>NOT(ISERROR(SEARCH("MA-CUST",B140)))</formula>
    </cfRule>
    <cfRule type="containsText" dxfId="376" priority="502" operator="containsText" text="MA-MLX">
      <formula>NOT(ISERROR(SEARCH("MA-MLX",B140)))</formula>
    </cfRule>
    <cfRule type="containsText" dxfId="375" priority="503" operator="containsText" text="CS">
      <formula>NOT(ISERROR(SEARCH("CS",B140)))</formula>
    </cfRule>
  </conditionalFormatting>
  <conditionalFormatting sqref="B75">
    <cfRule type="containsText" dxfId="374" priority="495" operator="containsText" text="MA-CUST">
      <formula>NOT(ISERROR(SEARCH("MA-CUST",B75)))</formula>
    </cfRule>
    <cfRule type="containsText" dxfId="373" priority="496" operator="containsText" text="MA-MLX">
      <formula>NOT(ISERROR(SEARCH("MA-MLX",B75)))</formula>
    </cfRule>
    <cfRule type="containsText" dxfId="372" priority="497" operator="containsText" text="CS">
      <formula>NOT(ISERROR(SEARCH("CS",B75)))</formula>
    </cfRule>
  </conditionalFormatting>
  <conditionalFormatting sqref="X75 O75">
    <cfRule type="cellIs" dxfId="371" priority="498" operator="notBetween">
      <formula>$K75</formula>
      <formula>$L75</formula>
    </cfRule>
  </conditionalFormatting>
  <conditionalFormatting sqref="AC75">
    <cfRule type="cellIs" dxfId="370" priority="493" operator="equal">
      <formula>0</formula>
    </cfRule>
    <cfRule type="cellIs" dxfId="369" priority="494" operator="equal">
      <formula>1</formula>
    </cfRule>
  </conditionalFormatting>
  <conditionalFormatting sqref="AC64">
    <cfRule type="cellIs" dxfId="368" priority="454" operator="equal">
      <formula>0</formula>
    </cfRule>
    <cfRule type="cellIs" dxfId="367" priority="455" operator="equal">
      <formula>1</formula>
    </cfRule>
  </conditionalFormatting>
  <conditionalFormatting sqref="X64">
    <cfRule type="cellIs" dxfId="366" priority="456" operator="notBetween">
      <formula>$K64</formula>
      <formula>$L64</formula>
    </cfRule>
  </conditionalFormatting>
  <conditionalFormatting sqref="O64:R64 T64:V64">
    <cfRule type="cellIs" dxfId="365" priority="457" operator="notBetween">
      <formula>$K64</formula>
      <formula>$L64</formula>
    </cfRule>
  </conditionalFormatting>
  <conditionalFormatting sqref="B64">
    <cfRule type="containsText" dxfId="364" priority="458" operator="containsText" text="MA-CUST">
      <formula>NOT(ISERROR(SEARCH("MA-CUST",B64)))</formula>
    </cfRule>
    <cfRule type="containsText" dxfId="363" priority="459" operator="containsText" text="MA-MLX">
      <formula>NOT(ISERROR(SEARCH("MA-MLX",B64)))</formula>
    </cfRule>
    <cfRule type="containsText" dxfId="362" priority="460" operator="containsText" text="CS">
      <formula>NOT(ISERROR(SEARCH("CS",B64)))</formula>
    </cfRule>
  </conditionalFormatting>
  <conditionalFormatting sqref="AC69">
    <cfRule type="cellIs" dxfId="361" priority="447" operator="equal">
      <formula>0</formula>
    </cfRule>
    <cfRule type="cellIs" dxfId="360" priority="448" operator="equal">
      <formula>1</formula>
    </cfRule>
  </conditionalFormatting>
  <conditionalFormatting sqref="X69">
    <cfRule type="cellIs" dxfId="359" priority="449" operator="notBetween">
      <formula>$K69</formula>
      <formula>$L69</formula>
    </cfRule>
  </conditionalFormatting>
  <conditionalFormatting sqref="O69">
    <cfRule type="cellIs" dxfId="358" priority="450" operator="notBetween">
      <formula>$K69</formula>
      <formula>$L69</formula>
    </cfRule>
  </conditionalFormatting>
  <conditionalFormatting sqref="B69">
    <cfRule type="containsText" dxfId="357" priority="451" operator="containsText" text="MA-CUST">
      <formula>NOT(ISERROR(SEARCH("MA-CUST",B69)))</formula>
    </cfRule>
    <cfRule type="containsText" dxfId="356" priority="452" operator="containsText" text="MA-MLX">
      <formula>NOT(ISERROR(SEARCH("MA-MLX",B69)))</formula>
    </cfRule>
    <cfRule type="containsText" dxfId="355" priority="453" operator="containsText" text="CS">
      <formula>NOT(ISERROR(SEARCH("CS",B69)))</formula>
    </cfRule>
  </conditionalFormatting>
  <conditionalFormatting sqref="X67:X68 O67:O68">
    <cfRule type="cellIs" dxfId="354" priority="446" operator="notBetween">
      <formula>$K67</formula>
      <formula>$L67</formula>
    </cfRule>
  </conditionalFormatting>
  <conditionalFormatting sqref="AC66">
    <cfRule type="cellIs" dxfId="353" priority="439" operator="equal">
      <formula>0</formula>
    </cfRule>
    <cfRule type="cellIs" dxfId="352" priority="440" operator="equal">
      <formula>1</formula>
    </cfRule>
  </conditionalFormatting>
  <conditionalFormatting sqref="X66">
    <cfRule type="cellIs" dxfId="351" priority="441" operator="notBetween">
      <formula>$K66</formula>
      <formula>$L66</formula>
    </cfRule>
  </conditionalFormatting>
  <conditionalFormatting sqref="O66">
    <cfRule type="cellIs" dxfId="350" priority="442" operator="notBetween">
      <formula>$K66</formula>
      <formula>$L66</formula>
    </cfRule>
  </conditionalFormatting>
  <conditionalFormatting sqref="B66">
    <cfRule type="containsText" dxfId="349" priority="443" operator="containsText" text="MA-CUST">
      <formula>NOT(ISERROR(SEARCH("MA-CUST",B66)))</formula>
    </cfRule>
    <cfRule type="containsText" dxfId="348" priority="444" operator="containsText" text="MA-MLX">
      <formula>NOT(ISERROR(SEARCH("MA-MLX",B66)))</formula>
    </cfRule>
    <cfRule type="containsText" dxfId="347" priority="445" operator="containsText" text="CS">
      <formula>NOT(ISERROR(SEARCH("CS",B66)))</formula>
    </cfRule>
  </conditionalFormatting>
  <conditionalFormatting sqref="AC67:AC68">
    <cfRule type="cellIs" dxfId="346" priority="434" operator="equal">
      <formula>0</formula>
    </cfRule>
    <cfRule type="cellIs" dxfId="345" priority="435" operator="equal">
      <formula>1</formula>
    </cfRule>
  </conditionalFormatting>
  <conditionalFormatting sqref="B67:B68">
    <cfRule type="containsText" dxfId="344" priority="436" operator="containsText" text="MA-CUST">
      <formula>NOT(ISERROR(SEARCH("MA-CUST",B67)))</formula>
    </cfRule>
    <cfRule type="containsText" dxfId="343" priority="437" operator="containsText" text="MA-MLX">
      <formula>NOT(ISERROR(SEARCH("MA-MLX",B67)))</formula>
    </cfRule>
    <cfRule type="containsText" dxfId="342" priority="438" operator="containsText" text="CS">
      <formula>NOT(ISERROR(SEARCH("CS",B67)))</formula>
    </cfRule>
  </conditionalFormatting>
  <conditionalFormatting sqref="AC68">
    <cfRule type="cellIs" dxfId="341" priority="429" operator="equal">
      <formula>0</formula>
    </cfRule>
    <cfRule type="cellIs" dxfId="340" priority="430" operator="equal">
      <formula>1</formula>
    </cfRule>
  </conditionalFormatting>
  <conditionalFormatting sqref="B68">
    <cfRule type="containsText" dxfId="339" priority="431" operator="containsText" text="MA-CUST">
      <formula>NOT(ISERROR(SEARCH("MA-CUST",B68)))</formula>
    </cfRule>
    <cfRule type="containsText" dxfId="338" priority="432" operator="containsText" text="MA-MLX">
      <formula>NOT(ISERROR(SEARCH("MA-MLX",B68)))</formula>
    </cfRule>
    <cfRule type="containsText" dxfId="337" priority="433" operator="containsText" text="CS">
      <formula>NOT(ISERROR(SEARCH("CS",B68)))</formula>
    </cfRule>
  </conditionalFormatting>
  <conditionalFormatting sqref="X65 O65">
    <cfRule type="cellIs" dxfId="336" priority="428" operator="notBetween">
      <formula>$K65</formula>
      <formula>$L65</formula>
    </cfRule>
  </conditionalFormatting>
  <conditionalFormatting sqref="AC65">
    <cfRule type="cellIs" dxfId="335" priority="423" operator="equal">
      <formula>0</formula>
    </cfRule>
    <cfRule type="cellIs" dxfId="334" priority="424" operator="equal">
      <formula>1</formula>
    </cfRule>
  </conditionalFormatting>
  <conditionalFormatting sqref="B65">
    <cfRule type="containsText" dxfId="333" priority="425" operator="containsText" text="MA-CUST">
      <formula>NOT(ISERROR(SEARCH("MA-CUST",B65)))</formula>
    </cfRule>
    <cfRule type="containsText" dxfId="332" priority="426" operator="containsText" text="MA-MLX">
      <formula>NOT(ISERROR(SEARCH("MA-MLX",B65)))</formula>
    </cfRule>
    <cfRule type="containsText" dxfId="331" priority="427" operator="containsText" text="CS">
      <formula>NOT(ISERROR(SEARCH("CS",B65)))</formula>
    </cfRule>
  </conditionalFormatting>
  <conditionalFormatting sqref="O116">
    <cfRule type="cellIs" dxfId="330" priority="422" operator="notBetween">
      <formula>$K116</formula>
      <formula>$L116</formula>
    </cfRule>
  </conditionalFormatting>
  <conditionalFormatting sqref="O118">
    <cfRule type="cellIs" dxfId="329" priority="420" operator="notBetween">
      <formula>$K118</formula>
      <formula>$L118</formula>
    </cfRule>
  </conditionalFormatting>
  <conditionalFormatting sqref="O122">
    <cfRule type="cellIs" dxfId="328" priority="419" operator="notBetween">
      <formula>$K122</formula>
      <formula>$L122</formula>
    </cfRule>
  </conditionalFormatting>
  <conditionalFormatting sqref="O120">
    <cfRule type="cellIs" dxfId="327" priority="418" operator="notBetween">
      <formula>$K120</formula>
      <formula>$L120</formula>
    </cfRule>
  </conditionalFormatting>
  <conditionalFormatting sqref="O124">
    <cfRule type="cellIs" dxfId="326" priority="417" operator="notBetween">
      <formula>$K124</formula>
      <formula>$L124</formula>
    </cfRule>
  </conditionalFormatting>
  <conditionalFormatting sqref="P171:R171 P173:R173 P175:R175 P177:R177 P179:R179 P181:R181 P183:R183 P185:R185 P187:R187 P189:R189 P191:R191 T171:V171 T173:V173 T175:V175 T177:V177 T179:V179 T181:V181 T183:V183 T185:V185 T187:V187 T189:V189 T191:V191">
    <cfRule type="cellIs" dxfId="325" priority="416" operator="notBetween">
      <formula>$K171</formula>
      <formula>$L171</formula>
    </cfRule>
  </conditionalFormatting>
  <conditionalFormatting sqref="X170:X171">
    <cfRule type="cellIs" dxfId="324" priority="411" operator="notBetween">
      <formula>$K170</formula>
      <formula>$L170</formula>
    </cfRule>
  </conditionalFormatting>
  <conditionalFormatting sqref="AC176:AC177">
    <cfRule type="cellIs" dxfId="323" priority="397" operator="equal">
      <formula>0</formula>
    </cfRule>
    <cfRule type="cellIs" dxfId="322" priority="398" operator="equal">
      <formula>1</formula>
    </cfRule>
  </conditionalFormatting>
  <conditionalFormatting sqref="X182:X183">
    <cfRule type="cellIs" dxfId="321" priority="387" operator="notBetween">
      <formula>$K182</formula>
      <formula>$L182</formula>
    </cfRule>
  </conditionalFormatting>
  <conditionalFormatting sqref="O182:R182 O183 T182:V182">
    <cfRule type="cellIs" dxfId="320" priority="388" operator="notBetween">
      <formula>$K182</formula>
      <formula>$L182</formula>
    </cfRule>
  </conditionalFormatting>
  <conditionalFormatting sqref="AC174:AC175">
    <cfRule type="cellIs" dxfId="319" priority="401" operator="equal">
      <formula>0</formula>
    </cfRule>
    <cfRule type="cellIs" dxfId="318" priority="402" operator="equal">
      <formula>1</formula>
    </cfRule>
  </conditionalFormatting>
  <conditionalFormatting sqref="X174:X175">
    <cfRule type="cellIs" dxfId="317" priority="403" operator="notBetween">
      <formula>$K174</formula>
      <formula>$L174</formula>
    </cfRule>
  </conditionalFormatting>
  <conditionalFormatting sqref="X176:X177">
    <cfRule type="cellIs" dxfId="316" priority="399" operator="notBetween">
      <formula>$K176</formula>
      <formula>$L176</formula>
    </cfRule>
  </conditionalFormatting>
  <conditionalFormatting sqref="O170:R170 O171 T170:V170">
    <cfRule type="cellIs" dxfId="315" priority="412" operator="notBetween">
      <formula>$K170</formula>
      <formula>$L170</formula>
    </cfRule>
  </conditionalFormatting>
  <conditionalFormatting sqref="AC180:AC181">
    <cfRule type="cellIs" dxfId="314" priority="389" operator="equal">
      <formula>0</formula>
    </cfRule>
    <cfRule type="cellIs" dxfId="313" priority="390" operator="equal">
      <formula>1</formula>
    </cfRule>
  </conditionalFormatting>
  <conditionalFormatting sqref="O176:R176 O177 T176:V176">
    <cfRule type="cellIs" dxfId="312" priority="400" operator="notBetween">
      <formula>$K176</formula>
      <formula>$L176</formula>
    </cfRule>
  </conditionalFormatting>
  <conditionalFormatting sqref="X180:X181">
    <cfRule type="cellIs" dxfId="311" priority="391" operator="notBetween">
      <formula>$K180</formula>
      <formula>$L180</formula>
    </cfRule>
  </conditionalFormatting>
  <conditionalFormatting sqref="O180:R180 O181 T180:V180">
    <cfRule type="cellIs" dxfId="310" priority="392" operator="notBetween">
      <formula>$K180</formula>
      <formula>$L180</formula>
    </cfRule>
  </conditionalFormatting>
  <conditionalFormatting sqref="AC184:AC185">
    <cfRule type="cellIs" dxfId="309" priority="381" operator="equal">
      <formula>0</formula>
    </cfRule>
    <cfRule type="cellIs" dxfId="308" priority="382" operator="equal">
      <formula>1</formula>
    </cfRule>
  </conditionalFormatting>
  <conditionalFormatting sqref="O172:R172 O173 T172:V172">
    <cfRule type="cellIs" dxfId="307" priority="408" operator="notBetween">
      <formula>$K172</formula>
      <formula>$L172</formula>
    </cfRule>
  </conditionalFormatting>
  <conditionalFormatting sqref="X172:X173">
    <cfRule type="cellIs" dxfId="306" priority="407" operator="notBetween">
      <formula>$K172</formula>
      <formula>$L172</formula>
    </cfRule>
  </conditionalFormatting>
  <conditionalFormatting sqref="O186:R186 O187 T186:V186">
    <cfRule type="cellIs" dxfId="305" priority="380" operator="notBetween">
      <formula>$K186</formula>
      <formula>$L186</formula>
    </cfRule>
  </conditionalFormatting>
  <conditionalFormatting sqref="O178:R178 O179 T178:V178">
    <cfRule type="cellIs" dxfId="304" priority="396" operator="notBetween">
      <formula>$K178</formula>
      <formula>$L178</formula>
    </cfRule>
  </conditionalFormatting>
  <conditionalFormatting sqref="O190:R190 O191 T190:V190">
    <cfRule type="cellIs" dxfId="303" priority="372" operator="notBetween">
      <formula>$K190</formula>
      <formula>$L190</formula>
    </cfRule>
  </conditionalFormatting>
  <conditionalFormatting sqref="O184:R184 O185 T184:V184">
    <cfRule type="cellIs" dxfId="302" priority="384" operator="notBetween">
      <formula>$K184</formula>
      <formula>$L184</formula>
    </cfRule>
  </conditionalFormatting>
  <conditionalFormatting sqref="X184:X185">
    <cfRule type="cellIs" dxfId="301" priority="383" operator="notBetween">
      <formula>$K184</formula>
      <formula>$L184</formula>
    </cfRule>
  </conditionalFormatting>
  <conditionalFormatting sqref="AC178:AC179">
    <cfRule type="cellIs" dxfId="300" priority="393" operator="equal">
      <formula>0</formula>
    </cfRule>
    <cfRule type="cellIs" dxfId="299" priority="394" operator="equal">
      <formula>1</formula>
    </cfRule>
  </conditionalFormatting>
  <conditionalFormatting sqref="O174:R174 O175 T174:V174">
    <cfRule type="cellIs" dxfId="298" priority="404" operator="notBetween">
      <formula>$K174</formula>
      <formula>$L174</formula>
    </cfRule>
  </conditionalFormatting>
  <conditionalFormatting sqref="AC182:AC183">
    <cfRule type="cellIs" dxfId="297" priority="385" operator="equal">
      <formula>0</formula>
    </cfRule>
    <cfRule type="cellIs" dxfId="296" priority="386" operator="equal">
      <formula>1</formula>
    </cfRule>
  </conditionalFormatting>
  <conditionalFormatting sqref="X178:X179">
    <cfRule type="cellIs" dxfId="295" priority="395" operator="notBetween">
      <formula>$K178</formula>
      <formula>$L178</formula>
    </cfRule>
  </conditionalFormatting>
  <conditionalFormatting sqref="B170:B191">
    <cfRule type="containsText" dxfId="294" priority="413" operator="containsText" text="MA-CUST">
      <formula>NOT(ISERROR(SEARCH("MA-CUST",B170)))</formula>
    </cfRule>
    <cfRule type="containsText" dxfId="293" priority="414" operator="containsText" text="MA-MLX">
      <formula>NOT(ISERROR(SEARCH("MA-MLX",B170)))</formula>
    </cfRule>
    <cfRule type="containsText" dxfId="292" priority="415" operator="containsText" text="CS">
      <formula>NOT(ISERROR(SEARCH("CS",B170)))</formula>
    </cfRule>
  </conditionalFormatting>
  <conditionalFormatting sqref="AC172:AC173">
    <cfRule type="cellIs" dxfId="291" priority="405" operator="equal">
      <formula>0</formula>
    </cfRule>
    <cfRule type="cellIs" dxfId="290" priority="406" operator="equal">
      <formula>1</formula>
    </cfRule>
  </conditionalFormatting>
  <conditionalFormatting sqref="AC190:AC191">
    <cfRule type="cellIs" dxfId="289" priority="369" operator="equal">
      <formula>0</formula>
    </cfRule>
    <cfRule type="cellIs" dxfId="288" priority="370" operator="equal">
      <formula>1</formula>
    </cfRule>
  </conditionalFormatting>
  <conditionalFormatting sqref="X190:X191">
    <cfRule type="cellIs" dxfId="287" priority="371" operator="notBetween">
      <formula>$K190</formula>
      <formula>$L190</formula>
    </cfRule>
  </conditionalFormatting>
  <conditionalFormatting sqref="AC188:AC189">
    <cfRule type="cellIs" dxfId="286" priority="373" operator="equal">
      <formula>0</formula>
    </cfRule>
    <cfRule type="cellIs" dxfId="285" priority="374" operator="equal">
      <formula>1</formula>
    </cfRule>
  </conditionalFormatting>
  <conditionalFormatting sqref="X188:X189">
    <cfRule type="cellIs" dxfId="284" priority="375" operator="notBetween">
      <formula>$K188</formula>
      <formula>$L188</formula>
    </cfRule>
  </conditionalFormatting>
  <conditionalFormatting sqref="O188:R188 O189 T188:V188">
    <cfRule type="cellIs" dxfId="283" priority="376" operator="notBetween">
      <formula>$K188</formula>
      <formula>$L188</formula>
    </cfRule>
  </conditionalFormatting>
  <conditionalFormatting sqref="AC186:AC187">
    <cfRule type="cellIs" dxfId="282" priority="377" operator="equal">
      <formula>0</formula>
    </cfRule>
    <cfRule type="cellIs" dxfId="281" priority="378" operator="equal">
      <formula>1</formula>
    </cfRule>
  </conditionalFormatting>
  <conditionalFormatting sqref="X186:X187">
    <cfRule type="cellIs" dxfId="280" priority="379" operator="notBetween">
      <formula>$K186</formula>
      <formula>$L186</formula>
    </cfRule>
  </conditionalFormatting>
  <conditionalFormatting sqref="AC170:AC171">
    <cfRule type="cellIs" dxfId="279" priority="409" operator="equal">
      <formula>0</formula>
    </cfRule>
    <cfRule type="cellIs" dxfId="278" priority="410" operator="equal">
      <formula>1</formula>
    </cfRule>
  </conditionalFormatting>
  <conditionalFormatting sqref="AC296">
    <cfRule type="cellIs" dxfId="277" priority="357" operator="equal">
      <formula>0</formula>
    </cfRule>
    <cfRule type="cellIs" dxfId="276" priority="358" operator="equal">
      <formula>1</formula>
    </cfRule>
  </conditionalFormatting>
  <conditionalFormatting sqref="X296">
    <cfRule type="cellIs" dxfId="275" priority="359" operator="notBetween">
      <formula>$K296</formula>
      <formula>$L296</formula>
    </cfRule>
  </conditionalFormatting>
  <conditionalFormatting sqref="O296:R296 T296:V296">
    <cfRule type="cellIs" dxfId="274" priority="360" operator="notBetween">
      <formula>$K296</formula>
      <formula>$L296</formula>
    </cfRule>
  </conditionalFormatting>
  <conditionalFormatting sqref="AC293">
    <cfRule type="cellIs" dxfId="273" priority="361" operator="equal">
      <formula>0</formula>
    </cfRule>
    <cfRule type="cellIs" dxfId="272" priority="362" operator="equal">
      <formula>1</formula>
    </cfRule>
  </conditionalFormatting>
  <conditionalFormatting sqref="X293">
    <cfRule type="cellIs" dxfId="271" priority="363" operator="notBetween">
      <formula>$K293</formula>
      <formula>$L293</formula>
    </cfRule>
  </conditionalFormatting>
  <conditionalFormatting sqref="O293:R293 T293:V293">
    <cfRule type="cellIs" dxfId="270" priority="364" operator="notBetween">
      <formula>$K293</formula>
      <formula>$L293</formula>
    </cfRule>
  </conditionalFormatting>
  <conditionalFormatting sqref="B293">
    <cfRule type="containsText" dxfId="269" priority="365" operator="containsText" text="MA-CUST">
      <formula>NOT(ISERROR(SEARCH("MA-CUST",B293)))</formula>
    </cfRule>
    <cfRule type="containsText" dxfId="268" priority="366" operator="containsText" text="MA-MLX">
      <formula>NOT(ISERROR(SEARCH("MA-MLX",B293)))</formula>
    </cfRule>
    <cfRule type="containsText" dxfId="267" priority="367" operator="containsText" text="CS">
      <formula>NOT(ISERROR(SEARCH("CS",B293)))</formula>
    </cfRule>
  </conditionalFormatting>
  <conditionalFormatting sqref="P294:R294 T294">
    <cfRule type="cellIs" dxfId="266" priority="356" operator="notBetween">
      <formula>$K294</formula>
      <formula>$L294</formula>
    </cfRule>
  </conditionalFormatting>
  <conditionalFormatting sqref="AC294">
    <cfRule type="cellIs" dxfId="265" priority="349" operator="equal">
      <formula>0</formula>
    </cfRule>
    <cfRule type="cellIs" dxfId="264" priority="350" operator="equal">
      <formula>1</formula>
    </cfRule>
  </conditionalFormatting>
  <conditionalFormatting sqref="X294">
    <cfRule type="cellIs" dxfId="263" priority="351" operator="notBetween">
      <formula>$K294</formula>
      <formula>$L294</formula>
    </cfRule>
  </conditionalFormatting>
  <conditionalFormatting sqref="O294">
    <cfRule type="cellIs" dxfId="262" priority="352" operator="notBetween">
      <formula>$K294</formula>
      <formula>$L294</formula>
    </cfRule>
  </conditionalFormatting>
  <conditionalFormatting sqref="B294">
    <cfRule type="containsText" dxfId="261" priority="353" operator="containsText" text="MA-CUST">
      <formula>NOT(ISERROR(SEARCH("MA-CUST",B294)))</formula>
    </cfRule>
    <cfRule type="containsText" dxfId="260" priority="354" operator="containsText" text="MA-MLX">
      <formula>NOT(ISERROR(SEARCH("MA-MLX",B294)))</formula>
    </cfRule>
    <cfRule type="containsText" dxfId="259" priority="355" operator="containsText" text="CS">
      <formula>NOT(ISERROR(SEARCH("CS",B294)))</formula>
    </cfRule>
  </conditionalFormatting>
  <conditionalFormatting sqref="AC298">
    <cfRule type="cellIs" dxfId="258" priority="340" operator="equal">
      <formula>0</formula>
    </cfRule>
    <cfRule type="cellIs" dxfId="257" priority="341" operator="equal">
      <formula>1</formula>
    </cfRule>
  </conditionalFormatting>
  <conditionalFormatting sqref="X297:X298 O297:O298">
    <cfRule type="cellIs" dxfId="256" priority="342" operator="notBetween">
      <formula>$K297</formula>
      <formula>$L297</formula>
    </cfRule>
  </conditionalFormatting>
  <conditionalFormatting sqref="AC297:AC298">
    <cfRule type="cellIs" dxfId="255" priority="343" operator="equal">
      <formula>0</formula>
    </cfRule>
    <cfRule type="cellIs" dxfId="254" priority="344" operator="equal">
      <formula>1</formula>
    </cfRule>
  </conditionalFormatting>
  <conditionalFormatting sqref="P297:R298 T297:T298">
    <cfRule type="cellIs" dxfId="253" priority="345" operator="notBetween">
      <formula>$K297</formula>
      <formula>$L297</formula>
    </cfRule>
  </conditionalFormatting>
  <conditionalFormatting sqref="B297:B298">
    <cfRule type="containsText" dxfId="252" priority="346" operator="containsText" text="MA-CUST">
      <formula>NOT(ISERROR(SEARCH("MA-CUST",B297)))</formula>
    </cfRule>
    <cfRule type="containsText" dxfId="251" priority="347" operator="containsText" text="MA-MLX">
      <formula>NOT(ISERROR(SEARCH("MA-MLX",B297)))</formula>
    </cfRule>
    <cfRule type="containsText" dxfId="250" priority="348" operator="containsText" text="CS">
      <formula>NOT(ISERROR(SEARCH("CS",B297)))</formula>
    </cfRule>
  </conditionalFormatting>
  <conditionalFormatting sqref="P295:R295 T295">
    <cfRule type="cellIs" dxfId="249" priority="339" operator="notBetween">
      <formula>$K295</formula>
      <formula>$L295</formula>
    </cfRule>
  </conditionalFormatting>
  <conditionalFormatting sqref="AC295">
    <cfRule type="cellIs" dxfId="248" priority="331" operator="equal">
      <formula>0</formula>
    </cfRule>
    <cfRule type="cellIs" dxfId="247" priority="332" operator="equal">
      <formula>1</formula>
    </cfRule>
  </conditionalFormatting>
  <conditionalFormatting sqref="X295 O295">
    <cfRule type="cellIs" dxfId="246" priority="333" operator="notBetween">
      <formula>$K295</formula>
      <formula>$L295</formula>
    </cfRule>
  </conditionalFormatting>
  <conditionalFormatting sqref="AC295">
    <cfRule type="cellIs" dxfId="245" priority="334" operator="equal">
      <formula>0</formula>
    </cfRule>
    <cfRule type="cellIs" dxfId="244" priority="335" operator="equal">
      <formula>1</formula>
    </cfRule>
  </conditionalFormatting>
  <conditionalFormatting sqref="B295">
    <cfRule type="containsText" dxfId="243" priority="336" operator="containsText" text="MA-CUST">
      <formula>NOT(ISERROR(SEARCH("MA-CUST",B295)))</formula>
    </cfRule>
    <cfRule type="containsText" dxfId="242" priority="337" operator="containsText" text="MA-MLX">
      <formula>NOT(ISERROR(SEARCH("MA-MLX",B295)))</formula>
    </cfRule>
    <cfRule type="containsText" dxfId="241" priority="338" operator="containsText" text="CS">
      <formula>NOT(ISERROR(SEARCH("CS",B295)))</formula>
    </cfRule>
  </conditionalFormatting>
  <conditionalFormatting sqref="P8:R8 T8">
    <cfRule type="cellIs" dxfId="240" priority="330" operator="notBetween">
      <formula>$K8</formula>
      <formula>$L8</formula>
    </cfRule>
  </conditionalFormatting>
  <conditionalFormatting sqref="AC8">
    <cfRule type="cellIs" dxfId="239" priority="323" operator="equal">
      <formula>0</formula>
    </cfRule>
    <cfRule type="cellIs" dxfId="238" priority="324" operator="equal">
      <formula>1</formula>
    </cfRule>
  </conditionalFormatting>
  <conditionalFormatting sqref="X8">
    <cfRule type="cellIs" dxfId="237" priority="325" operator="notBetween">
      <formula>$K8</formula>
      <formula>$L8</formula>
    </cfRule>
  </conditionalFormatting>
  <conditionalFormatting sqref="O8">
    <cfRule type="cellIs" dxfId="236" priority="326" operator="notBetween">
      <formula>$K8</formula>
      <formula>$L8</formula>
    </cfRule>
  </conditionalFormatting>
  <conditionalFormatting sqref="B8">
    <cfRule type="containsText" dxfId="235" priority="327" operator="containsText" text="MA-CUST">
      <formula>NOT(ISERROR(SEARCH("MA-CUST",B8)))</formula>
    </cfRule>
    <cfRule type="containsText" dxfId="234" priority="328" operator="containsText" text="MA-MLX">
      <formula>NOT(ISERROR(SEARCH("MA-MLX",B8)))</formula>
    </cfRule>
    <cfRule type="containsText" dxfId="233" priority="329" operator="containsText" text="CS">
      <formula>NOT(ISERROR(SEARCH("CS",B8)))</formula>
    </cfRule>
  </conditionalFormatting>
  <conditionalFormatting sqref="P121">
    <cfRule type="cellIs" dxfId="232" priority="320" operator="notBetween">
      <formula>$K121</formula>
      <formula>$L121</formula>
    </cfRule>
  </conditionalFormatting>
  <conditionalFormatting sqref="P119">
    <cfRule type="cellIs" dxfId="231" priority="321" operator="notBetween">
      <formula>$K119</formula>
      <formula>$L119</formula>
    </cfRule>
  </conditionalFormatting>
  <conditionalFormatting sqref="P117">
    <cfRule type="cellIs" dxfId="230" priority="322" operator="notBetween">
      <formula>$K117</formula>
      <formula>$L117</formula>
    </cfRule>
  </conditionalFormatting>
  <conditionalFormatting sqref="P123">
    <cfRule type="cellIs" dxfId="229" priority="319" operator="notBetween">
      <formula>$K123</formula>
      <formula>$L123</formula>
    </cfRule>
  </conditionalFormatting>
  <conditionalFormatting sqref="P116">
    <cfRule type="cellIs" dxfId="228" priority="318" operator="notBetween">
      <formula>$K116</formula>
      <formula>$L116</formula>
    </cfRule>
  </conditionalFormatting>
  <conditionalFormatting sqref="P118">
    <cfRule type="cellIs" dxfId="227" priority="317" operator="notBetween">
      <formula>$K118</formula>
      <formula>$L118</formula>
    </cfRule>
  </conditionalFormatting>
  <conditionalFormatting sqref="P122">
    <cfRule type="cellIs" dxfId="226" priority="316" operator="notBetween">
      <formula>$K122</formula>
      <formula>$L122</formula>
    </cfRule>
  </conditionalFormatting>
  <conditionalFormatting sqref="P120">
    <cfRule type="cellIs" dxfId="225" priority="315" operator="notBetween">
      <formula>$K120</formula>
      <formula>$L120</formula>
    </cfRule>
  </conditionalFormatting>
  <conditionalFormatting sqref="P124">
    <cfRule type="cellIs" dxfId="224" priority="314" operator="notBetween">
      <formula>$K124</formula>
      <formula>$L124</formula>
    </cfRule>
  </conditionalFormatting>
  <conditionalFormatting sqref="S150 S217 S221 S137 S152 S154 S21:S26">
    <cfRule type="cellIs" dxfId="223" priority="155" operator="notBetween">
      <formula>$K21</formula>
      <formula>$L21</formula>
    </cfRule>
  </conditionalFormatting>
  <conditionalFormatting sqref="S284">
    <cfRule type="cellIs" dxfId="222" priority="156" operator="notBetween">
      <formula>$K284</formula>
      <formula>$L284</formula>
    </cfRule>
  </conditionalFormatting>
  <conditionalFormatting sqref="S266">
    <cfRule type="cellIs" dxfId="221" priority="157" operator="notBetween">
      <formula>$K266</formula>
      <formula>$L266</formula>
    </cfRule>
  </conditionalFormatting>
  <conditionalFormatting sqref="S264">
    <cfRule type="cellIs" dxfId="220" priority="158" operator="notBetween">
      <formula>$K264</formula>
      <formula>$L264</formula>
    </cfRule>
  </conditionalFormatting>
  <conditionalFormatting sqref="S6">
    <cfRule type="cellIs" dxfId="219" priority="159" operator="notBetween">
      <formula>$K6</formula>
      <formula>$L6</formula>
    </cfRule>
  </conditionalFormatting>
  <conditionalFormatting sqref="S4:S5 S7 S28:S33 S35:S36 S38:S40 S42:S45 S47:S50 S52:S56 S58:S63 S65:S69 S71:S79 S81:S82 S84 S86 S88 S90 S92 S94 S96 S98 S100 S102 S104 S106 S108 S110 S112 S114 S116 S118 S120 S122 S124 S126:S127 S129:S131 S133:S136 S138:S141 S143:S144 S146:S147 S149 S151 S153 S155 S157 S159 S161 S163 S165 S167 S169 S193 S207:S208 S210 S212:S216 S218:S220 S222:S226 S228:S235 S242:S243 S245:S251 S253:S259 S261 S263 S265 S267 S269 S271 S273 S275 S277 S279 S281 S283 S285:S286 S288:S289 S291:S292 S300 S302 S304 S306 S308 S310:S311 S313:S314 S316:S318 S9:S19 S237:S240 S195 S197 S199">
    <cfRule type="cellIs" dxfId="218" priority="160" operator="notBetween">
      <formula>$K4</formula>
      <formula>$L4</formula>
    </cfRule>
  </conditionalFormatting>
  <conditionalFormatting sqref="S315">
    <cfRule type="cellIs" dxfId="217" priority="161" operator="notBetween">
      <formula>$K315</formula>
      <formula>$L315</formula>
    </cfRule>
  </conditionalFormatting>
  <conditionalFormatting sqref="S312">
    <cfRule type="cellIs" dxfId="216" priority="162" operator="notBetween">
      <formula>$K312</formula>
      <formula>$L312</formula>
    </cfRule>
  </conditionalFormatting>
  <conditionalFormatting sqref="S309">
    <cfRule type="cellIs" dxfId="215" priority="163" operator="notBetween">
      <formula>$K309</formula>
      <formula>$L309</formula>
    </cfRule>
  </conditionalFormatting>
  <conditionalFormatting sqref="S307">
    <cfRule type="cellIs" dxfId="214" priority="164" operator="notBetween">
      <formula>$K307</formula>
      <formula>$L307</formula>
    </cfRule>
  </conditionalFormatting>
  <conditionalFormatting sqref="S290">
    <cfRule type="cellIs" dxfId="213" priority="165" operator="notBetween">
      <formula>$K290</formula>
      <formula>$L290</formula>
    </cfRule>
  </conditionalFormatting>
  <conditionalFormatting sqref="S200">
    <cfRule type="cellIs" dxfId="212" priority="166" operator="notBetween">
      <formula>$K200</formula>
      <formula>$L200</formula>
    </cfRule>
  </conditionalFormatting>
  <conditionalFormatting sqref="S198">
    <cfRule type="cellIs" dxfId="211" priority="167" operator="notBetween">
      <formula>$K198</formula>
      <formula>$L198</formula>
    </cfRule>
  </conditionalFormatting>
  <conditionalFormatting sqref="S196">
    <cfRule type="cellIs" dxfId="210" priority="168" operator="notBetween">
      <formula>$K196</formula>
      <formula>$L196</formula>
    </cfRule>
  </conditionalFormatting>
  <conditionalFormatting sqref="S194">
    <cfRule type="cellIs" dxfId="209" priority="169" operator="notBetween">
      <formula>$K194</formula>
      <formula>$L194</formula>
    </cfRule>
  </conditionalFormatting>
  <conditionalFormatting sqref="S192">
    <cfRule type="cellIs" dxfId="208" priority="170" operator="notBetween">
      <formula>$K192</formula>
      <formula>$L192</formula>
    </cfRule>
  </conditionalFormatting>
  <conditionalFormatting sqref="S262">
    <cfRule type="cellIs" dxfId="207" priority="171" operator="notBetween">
      <formula>$K262</formula>
      <formula>$L262</formula>
    </cfRule>
  </conditionalFormatting>
  <conditionalFormatting sqref="S260">
    <cfRule type="cellIs" dxfId="206" priority="172" operator="notBetween">
      <formula>$K260</formula>
      <formula>$L260</formula>
    </cfRule>
  </conditionalFormatting>
  <conditionalFormatting sqref="S244">
    <cfRule type="cellIs" dxfId="205" priority="173" operator="notBetween">
      <formula>$K244</formula>
      <formula>$L244</formula>
    </cfRule>
  </conditionalFormatting>
  <conditionalFormatting sqref="S227">
    <cfRule type="cellIs" dxfId="204" priority="174" operator="notBetween">
      <formula>$K227</formula>
      <formula>$L227</formula>
    </cfRule>
  </conditionalFormatting>
  <conditionalFormatting sqref="S211">
    <cfRule type="cellIs" dxfId="203" priority="175" operator="notBetween">
      <formula>$K211</formula>
      <formula>$L211</formula>
    </cfRule>
  </conditionalFormatting>
  <conditionalFormatting sqref="S209">
    <cfRule type="cellIs" dxfId="202" priority="176" operator="notBetween">
      <formula>$K209</formula>
      <formula>$L209</formula>
    </cfRule>
  </conditionalFormatting>
  <conditionalFormatting sqref="S206">
    <cfRule type="cellIs" dxfId="201" priority="177" operator="notBetween">
      <formula>$K206</formula>
      <formula>$L206</formula>
    </cfRule>
  </conditionalFormatting>
  <conditionalFormatting sqref="S148">
    <cfRule type="cellIs" dxfId="200" priority="180" operator="notBetween">
      <formula>$K148</formula>
      <formula>$L148</formula>
    </cfRule>
  </conditionalFormatting>
  <conditionalFormatting sqref="S128">
    <cfRule type="cellIs" dxfId="199" priority="181" operator="notBetween">
      <formula>$K128</formula>
      <formula>$L128</formula>
    </cfRule>
  </conditionalFormatting>
  <conditionalFormatting sqref="S121">
    <cfRule type="cellIs" dxfId="198" priority="182" operator="notBetween">
      <formula>$K121</formula>
      <formula>$L121</formula>
    </cfRule>
  </conditionalFormatting>
  <conditionalFormatting sqref="S119">
    <cfRule type="cellIs" dxfId="197" priority="183" operator="notBetween">
      <formula>$K119</formula>
      <formula>$L119</formula>
    </cfRule>
  </conditionalFormatting>
  <conditionalFormatting sqref="S117">
    <cfRule type="cellIs" dxfId="196" priority="184" operator="notBetween">
      <formula>$K117</formula>
      <formula>$L117</formula>
    </cfRule>
  </conditionalFormatting>
  <conditionalFormatting sqref="S115">
    <cfRule type="cellIs" dxfId="195" priority="185" operator="notBetween">
      <formula>$K115</formula>
      <formula>$L115</formula>
    </cfRule>
  </conditionalFormatting>
  <conditionalFormatting sqref="S113">
    <cfRule type="cellIs" dxfId="194" priority="186" operator="notBetween">
      <formula>$K113</formula>
      <formula>$L113</formula>
    </cfRule>
  </conditionalFormatting>
  <conditionalFormatting sqref="S168">
    <cfRule type="cellIs" dxfId="193" priority="187" operator="notBetween">
      <formula>$K168</formula>
      <formula>$L168</formula>
    </cfRule>
  </conditionalFormatting>
  <conditionalFormatting sqref="S166">
    <cfRule type="cellIs" dxfId="192" priority="188" operator="notBetween">
      <formula>$K166</formula>
      <formula>$L166</formula>
    </cfRule>
  </conditionalFormatting>
  <conditionalFormatting sqref="S164">
    <cfRule type="cellIs" dxfId="191" priority="189" operator="notBetween">
      <formula>$K164</formula>
      <formula>$L164</formula>
    </cfRule>
  </conditionalFormatting>
  <conditionalFormatting sqref="S162">
    <cfRule type="cellIs" dxfId="190" priority="190" operator="notBetween">
      <formula>$K162</formula>
      <formula>$L162</formula>
    </cfRule>
  </conditionalFormatting>
  <conditionalFormatting sqref="S160">
    <cfRule type="cellIs" dxfId="189" priority="191" operator="notBetween">
      <formula>$K160</formula>
      <formula>$L160</formula>
    </cfRule>
  </conditionalFormatting>
  <conditionalFormatting sqref="S158">
    <cfRule type="cellIs" dxfId="188" priority="192" operator="notBetween">
      <formula>$K158</formula>
      <formula>$L158</formula>
    </cfRule>
  </conditionalFormatting>
  <conditionalFormatting sqref="S156">
    <cfRule type="cellIs" dxfId="187" priority="193" operator="notBetween">
      <formula>$K156</formula>
      <formula>$L156</formula>
    </cfRule>
  </conditionalFormatting>
  <conditionalFormatting sqref="S111">
    <cfRule type="cellIs" dxfId="186" priority="194" operator="notBetween">
      <formula>$K111</formula>
      <formula>$L111</formula>
    </cfRule>
  </conditionalFormatting>
  <conditionalFormatting sqref="S109">
    <cfRule type="cellIs" dxfId="185" priority="195" operator="notBetween">
      <formula>$K109</formula>
      <formula>$L109</formula>
    </cfRule>
  </conditionalFormatting>
  <conditionalFormatting sqref="S107">
    <cfRule type="cellIs" dxfId="184" priority="196" operator="notBetween">
      <formula>$K107</formula>
      <formula>$L107</formula>
    </cfRule>
  </conditionalFormatting>
  <conditionalFormatting sqref="S105">
    <cfRule type="cellIs" dxfId="183" priority="197" operator="notBetween">
      <formula>$K105</formula>
      <formula>$L105</formula>
    </cfRule>
  </conditionalFormatting>
  <conditionalFormatting sqref="S103">
    <cfRule type="cellIs" dxfId="182" priority="198" operator="notBetween">
      <formula>$K103</formula>
      <formula>$L103</formula>
    </cfRule>
  </conditionalFormatting>
  <conditionalFormatting sqref="S101">
    <cfRule type="cellIs" dxfId="181" priority="199" operator="notBetween">
      <formula>$K101</formula>
      <formula>$L101</formula>
    </cfRule>
  </conditionalFormatting>
  <conditionalFormatting sqref="S99">
    <cfRule type="cellIs" dxfId="180" priority="200" operator="notBetween">
      <formula>$K99</formula>
      <formula>$L99</formula>
    </cfRule>
  </conditionalFormatting>
  <conditionalFormatting sqref="S97">
    <cfRule type="cellIs" dxfId="179" priority="201" operator="notBetween">
      <formula>$K97</formula>
      <formula>$L97</formula>
    </cfRule>
  </conditionalFormatting>
  <conditionalFormatting sqref="S95">
    <cfRule type="cellIs" dxfId="178" priority="202" operator="notBetween">
      <formula>$K95</formula>
      <formula>$L95</formula>
    </cfRule>
  </conditionalFormatting>
  <conditionalFormatting sqref="S93">
    <cfRule type="cellIs" dxfId="177" priority="203" operator="notBetween">
      <formula>$K93</formula>
      <formula>$L93</formula>
    </cfRule>
  </conditionalFormatting>
  <conditionalFormatting sqref="S91">
    <cfRule type="cellIs" dxfId="176" priority="204" operator="notBetween">
      <formula>$K91</formula>
      <formula>$L91</formula>
    </cfRule>
  </conditionalFormatting>
  <conditionalFormatting sqref="S89">
    <cfRule type="cellIs" dxfId="175" priority="205" operator="notBetween">
      <formula>$K89</formula>
      <formula>$L89</formula>
    </cfRule>
  </conditionalFormatting>
  <conditionalFormatting sqref="S87">
    <cfRule type="cellIs" dxfId="174" priority="206" operator="notBetween">
      <formula>$K87</formula>
      <formula>$L87</formula>
    </cfRule>
  </conditionalFormatting>
  <conditionalFormatting sqref="S85">
    <cfRule type="cellIs" dxfId="173" priority="207" operator="notBetween">
      <formula>$K85</formula>
      <formula>$L85</formula>
    </cfRule>
  </conditionalFormatting>
  <conditionalFormatting sqref="S83">
    <cfRule type="cellIs" dxfId="172" priority="208" operator="notBetween">
      <formula>$K83</formula>
      <formula>$L83</formula>
    </cfRule>
  </conditionalFormatting>
  <conditionalFormatting sqref="S57">
    <cfRule type="cellIs" dxfId="171" priority="209" operator="notBetween">
      <formula>$K57</formula>
      <formula>$L57</formula>
    </cfRule>
  </conditionalFormatting>
  <conditionalFormatting sqref="S125">
    <cfRule type="cellIs" dxfId="170" priority="154" operator="notBetween">
      <formula>$K125</formula>
      <formula>$L125</formula>
    </cfRule>
  </conditionalFormatting>
  <conditionalFormatting sqref="S252">
    <cfRule type="cellIs" dxfId="169" priority="153" operator="notBetween">
      <formula>$K252</formula>
      <formula>$L252</formula>
    </cfRule>
  </conditionalFormatting>
  <conditionalFormatting sqref="S274">
    <cfRule type="cellIs" dxfId="168" priority="149" operator="notBetween">
      <formula>$K274</formula>
      <formula>$L274</formula>
    </cfRule>
  </conditionalFormatting>
  <conditionalFormatting sqref="S272">
    <cfRule type="cellIs" dxfId="167" priority="150" operator="notBetween">
      <formula>$K272</formula>
      <formula>$L272</formula>
    </cfRule>
  </conditionalFormatting>
  <conditionalFormatting sqref="S270">
    <cfRule type="cellIs" dxfId="166" priority="151" operator="notBetween">
      <formula>$K270</formula>
      <formula>$L270</formula>
    </cfRule>
  </conditionalFormatting>
  <conditionalFormatting sqref="S268">
    <cfRule type="cellIs" dxfId="165" priority="152" operator="notBetween">
      <formula>$K268</formula>
      <formula>$L268</formula>
    </cfRule>
  </conditionalFormatting>
  <conditionalFormatting sqref="S282">
    <cfRule type="cellIs" dxfId="164" priority="145" operator="notBetween">
      <formula>$K282</formula>
      <formula>$L282</formula>
    </cfRule>
  </conditionalFormatting>
  <conditionalFormatting sqref="S280">
    <cfRule type="cellIs" dxfId="163" priority="146" operator="notBetween">
      <formula>$K280</formula>
      <formula>$L280</formula>
    </cfRule>
  </conditionalFormatting>
  <conditionalFormatting sqref="S278">
    <cfRule type="cellIs" dxfId="162" priority="147" operator="notBetween">
      <formula>$K278</formula>
      <formula>$L278</formula>
    </cfRule>
  </conditionalFormatting>
  <conditionalFormatting sqref="S276">
    <cfRule type="cellIs" dxfId="161" priority="148" operator="notBetween">
      <formula>$K276</formula>
      <formula>$L276</formula>
    </cfRule>
  </conditionalFormatting>
  <conditionalFormatting sqref="S287">
    <cfRule type="cellIs" dxfId="160" priority="144" operator="notBetween">
      <formula>$K287</formula>
      <formula>$L287</formula>
    </cfRule>
  </conditionalFormatting>
  <conditionalFormatting sqref="S20">
    <cfRule type="cellIs" dxfId="159" priority="143" operator="notBetween">
      <formula>$K20</formula>
      <formula>$L20</formula>
    </cfRule>
  </conditionalFormatting>
  <conditionalFormatting sqref="S34">
    <cfRule type="cellIs" dxfId="158" priority="142" operator="notBetween">
      <formula>$K34</formula>
      <formula>$L34</formula>
    </cfRule>
  </conditionalFormatting>
  <conditionalFormatting sqref="S37">
    <cfRule type="cellIs" dxfId="157" priority="141" operator="notBetween">
      <formula>$K37</formula>
      <formula>$L37</formula>
    </cfRule>
  </conditionalFormatting>
  <conditionalFormatting sqref="S41">
    <cfRule type="cellIs" dxfId="156" priority="139" operator="notBetween">
      <formula>$K41</formula>
      <formula>$L41</formula>
    </cfRule>
  </conditionalFormatting>
  <conditionalFormatting sqref="S27">
    <cfRule type="cellIs" dxfId="155" priority="140" operator="notBetween">
      <formula>$K27</formula>
      <formula>$L27</formula>
    </cfRule>
  </conditionalFormatting>
  <conditionalFormatting sqref="S236">
    <cfRule type="cellIs" dxfId="154" priority="138" operator="notBetween">
      <formula>$K236</formula>
      <formula>$L236</formula>
    </cfRule>
  </conditionalFormatting>
  <conditionalFormatting sqref="S80">
    <cfRule type="cellIs" dxfId="153" priority="136" operator="notBetween">
      <formula>$K80</formula>
      <formula>$L80</formula>
    </cfRule>
  </conditionalFormatting>
  <conditionalFormatting sqref="S46">
    <cfRule type="cellIs" dxfId="152" priority="137" operator="notBetween">
      <formula>$K46</formula>
      <formula>$L46</formula>
    </cfRule>
  </conditionalFormatting>
  <conditionalFormatting sqref="S142">
    <cfRule type="cellIs" dxfId="151" priority="135" operator="notBetween">
      <formula>$K142</formula>
      <formula>$L142</formula>
    </cfRule>
  </conditionalFormatting>
  <conditionalFormatting sqref="S145">
    <cfRule type="cellIs" dxfId="150" priority="134" operator="notBetween">
      <formula>$K145</formula>
      <formula>$L145</formula>
    </cfRule>
  </conditionalFormatting>
  <conditionalFormatting sqref="S70">
    <cfRule type="cellIs" dxfId="149" priority="133" operator="notBetween">
      <formula>$K70</formula>
      <formula>$L70</formula>
    </cfRule>
  </conditionalFormatting>
  <conditionalFormatting sqref="S299">
    <cfRule type="cellIs" dxfId="148" priority="132" operator="notBetween">
      <formula>$K299</formula>
      <formula>$L299</formula>
    </cfRule>
  </conditionalFormatting>
  <conditionalFormatting sqref="S301">
    <cfRule type="cellIs" dxfId="147" priority="131" operator="notBetween">
      <formula>$K301</formula>
      <formula>$L301</formula>
    </cfRule>
  </conditionalFormatting>
  <conditionalFormatting sqref="S303">
    <cfRule type="cellIs" dxfId="146" priority="130" operator="notBetween">
      <formula>$K303</formula>
      <formula>$L303</formula>
    </cfRule>
  </conditionalFormatting>
  <conditionalFormatting sqref="S123">
    <cfRule type="cellIs" dxfId="145" priority="129" operator="notBetween">
      <formula>$K123</formula>
      <formula>$L123</formula>
    </cfRule>
  </conditionalFormatting>
  <conditionalFormatting sqref="S305">
    <cfRule type="cellIs" dxfId="144" priority="128" operator="notBetween">
      <formula>$K305</formula>
      <formula>$L305</formula>
    </cfRule>
  </conditionalFormatting>
  <conditionalFormatting sqref="S51">
    <cfRule type="cellIs" dxfId="143" priority="127" operator="notBetween">
      <formula>$K51</formula>
      <formula>$L51</formula>
    </cfRule>
  </conditionalFormatting>
  <conditionalFormatting sqref="S241">
    <cfRule type="cellIs" dxfId="142" priority="126" operator="notBetween">
      <formula>$K241</formula>
      <formula>$L241</formula>
    </cfRule>
  </conditionalFormatting>
  <conditionalFormatting sqref="S132">
    <cfRule type="cellIs" dxfId="141" priority="125" operator="notBetween">
      <formula>$K132</formula>
      <formula>$L132</formula>
    </cfRule>
  </conditionalFormatting>
  <conditionalFormatting sqref="S64">
    <cfRule type="cellIs" dxfId="140" priority="124" operator="notBetween">
      <formula>$K64</formula>
      <formula>$L64</formula>
    </cfRule>
  </conditionalFormatting>
  <conditionalFormatting sqref="S171 S173 S175 S177 S179 S181 S183 S185 S187 S189 S191">
    <cfRule type="cellIs" dxfId="139" priority="123" operator="notBetween">
      <formula>$K171</formula>
      <formula>$L171</formula>
    </cfRule>
  </conditionalFormatting>
  <conditionalFormatting sqref="S182">
    <cfRule type="cellIs" dxfId="138" priority="116" operator="notBetween">
      <formula>$K182</formula>
      <formula>$L182</formula>
    </cfRule>
  </conditionalFormatting>
  <conditionalFormatting sqref="S170">
    <cfRule type="cellIs" dxfId="137" priority="122" operator="notBetween">
      <formula>$K170</formula>
      <formula>$L170</formula>
    </cfRule>
  </conditionalFormatting>
  <conditionalFormatting sqref="S176">
    <cfRule type="cellIs" dxfId="136" priority="119" operator="notBetween">
      <formula>$K176</formula>
      <formula>$L176</formula>
    </cfRule>
  </conditionalFormatting>
  <conditionalFormatting sqref="S180">
    <cfRule type="cellIs" dxfId="135" priority="117" operator="notBetween">
      <formula>$K180</formula>
      <formula>$L180</formula>
    </cfRule>
  </conditionalFormatting>
  <conditionalFormatting sqref="S172">
    <cfRule type="cellIs" dxfId="134" priority="121" operator="notBetween">
      <formula>$K172</formula>
      <formula>$L172</formula>
    </cfRule>
  </conditionalFormatting>
  <conditionalFormatting sqref="S186">
    <cfRule type="cellIs" dxfId="133" priority="114" operator="notBetween">
      <formula>$K186</formula>
      <formula>$L186</formula>
    </cfRule>
  </conditionalFormatting>
  <conditionalFormatting sqref="S178">
    <cfRule type="cellIs" dxfId="132" priority="118" operator="notBetween">
      <formula>$K178</formula>
      <formula>$L178</formula>
    </cfRule>
  </conditionalFormatting>
  <conditionalFormatting sqref="S190">
    <cfRule type="cellIs" dxfId="131" priority="112" operator="notBetween">
      <formula>$K190</formula>
      <formula>$L190</formula>
    </cfRule>
  </conditionalFormatting>
  <conditionalFormatting sqref="S184">
    <cfRule type="cellIs" dxfId="130" priority="115" operator="notBetween">
      <formula>$K184</formula>
      <formula>$L184</formula>
    </cfRule>
  </conditionalFormatting>
  <conditionalFormatting sqref="S174">
    <cfRule type="cellIs" dxfId="129" priority="120" operator="notBetween">
      <formula>$K174</formula>
      <formula>$L174</formula>
    </cfRule>
  </conditionalFormatting>
  <conditionalFormatting sqref="S188">
    <cfRule type="cellIs" dxfId="128" priority="113" operator="notBetween">
      <formula>$K188</formula>
      <formula>$L188</formula>
    </cfRule>
  </conditionalFormatting>
  <conditionalFormatting sqref="S296">
    <cfRule type="cellIs" dxfId="127" priority="110" operator="notBetween">
      <formula>$K296</formula>
      <formula>$L296</formula>
    </cfRule>
  </conditionalFormatting>
  <conditionalFormatting sqref="S293">
    <cfRule type="cellIs" dxfId="126" priority="111" operator="notBetween">
      <formula>$K293</formula>
      <formula>$L293</formula>
    </cfRule>
  </conditionalFormatting>
  <conditionalFormatting sqref="S294">
    <cfRule type="cellIs" dxfId="125" priority="109" operator="notBetween">
      <formula>$K294</formula>
      <formula>$L294</formula>
    </cfRule>
  </conditionalFormatting>
  <conditionalFormatting sqref="S297:S298">
    <cfRule type="cellIs" dxfId="124" priority="108" operator="notBetween">
      <formula>$K297</formula>
      <formula>$L297</formula>
    </cfRule>
  </conditionalFormatting>
  <conditionalFormatting sqref="S295">
    <cfRule type="cellIs" dxfId="123" priority="107" operator="notBetween">
      <formula>$K295</formula>
      <formula>$L295</formula>
    </cfRule>
  </conditionalFormatting>
  <conditionalFormatting sqref="S8">
    <cfRule type="cellIs" dxfId="122" priority="106" operator="notBetween">
      <formula>$K8</formula>
      <formula>$L8</formula>
    </cfRule>
  </conditionalFormatting>
  <conditionalFormatting sqref="S205 S201 S203">
    <cfRule type="cellIs" dxfId="121" priority="103" operator="notBetween">
      <formula>$K201</formula>
      <formula>$L201</formula>
    </cfRule>
  </conditionalFormatting>
  <conditionalFormatting sqref="S204">
    <cfRule type="cellIs" dxfId="120" priority="104" operator="notBetween">
      <formula>$K204</formula>
      <formula>$L204</formula>
    </cfRule>
  </conditionalFormatting>
  <conditionalFormatting sqref="S202">
    <cfRule type="cellIs" dxfId="119" priority="105" operator="notBetween">
      <formula>$K202</formula>
      <formula>$L202</formula>
    </cfRule>
  </conditionalFormatting>
  <conditionalFormatting sqref="T205 T201:U201 T203:U203">
    <cfRule type="cellIs" dxfId="118" priority="100" operator="notBetween">
      <formula>$K201</formula>
      <formula>$L201</formula>
    </cfRule>
  </conditionalFormatting>
  <conditionalFormatting sqref="T204:V204">
    <cfRule type="cellIs" dxfId="117" priority="101" operator="notBetween">
      <formula>$K204</formula>
      <formula>$L204</formula>
    </cfRule>
  </conditionalFormatting>
  <conditionalFormatting sqref="T202:V202">
    <cfRule type="cellIs" dxfId="116" priority="102" operator="notBetween">
      <formula>$K202</formula>
      <formula>$L202</formula>
    </cfRule>
  </conditionalFormatting>
  <conditionalFormatting sqref="T193:U193">
    <cfRule type="cellIs" dxfId="115" priority="95" operator="notBetween">
      <formula>$K193</formula>
      <formula>$L193</formula>
    </cfRule>
  </conditionalFormatting>
  <conditionalFormatting sqref="T195:U195">
    <cfRule type="cellIs" dxfId="114" priority="94" operator="notBetween">
      <formula>$K195</formula>
      <formula>$L195</formula>
    </cfRule>
  </conditionalFormatting>
  <conditionalFormatting sqref="T197:U197">
    <cfRule type="cellIs" dxfId="113" priority="93" operator="notBetween">
      <formula>$K197</formula>
      <formula>$L197</formula>
    </cfRule>
  </conditionalFormatting>
  <conditionalFormatting sqref="T199:U199">
    <cfRule type="cellIs" dxfId="112" priority="92" operator="notBetween">
      <formula>$K199</formula>
      <formula>$L199</formula>
    </cfRule>
  </conditionalFormatting>
  <conditionalFormatting sqref="U8">
    <cfRule type="cellIs" dxfId="111" priority="91" operator="notBetween">
      <formula>$K8</formula>
      <formula>$L8</formula>
    </cfRule>
  </conditionalFormatting>
  <conditionalFormatting sqref="U21">
    <cfRule type="cellIs" dxfId="110" priority="90" operator="notBetween">
      <formula>$K21</formula>
      <formula>$L21</formula>
    </cfRule>
  </conditionalFormatting>
  <conditionalFormatting sqref="U22">
    <cfRule type="cellIs" dxfId="109" priority="89" operator="notBetween">
      <formula>$K22</formula>
      <formula>$L22</formula>
    </cfRule>
  </conditionalFormatting>
  <conditionalFormatting sqref="U23">
    <cfRule type="cellIs" dxfId="108" priority="88" operator="notBetween">
      <formula>$K23</formula>
      <formula>$L23</formula>
    </cfRule>
  </conditionalFormatting>
  <conditionalFormatting sqref="U24">
    <cfRule type="cellIs" dxfId="107" priority="87" operator="notBetween">
      <formula>$K24</formula>
      <formula>$L24</formula>
    </cfRule>
  </conditionalFormatting>
  <conditionalFormatting sqref="U25">
    <cfRule type="cellIs" dxfId="106" priority="86" operator="notBetween">
      <formula>$K25</formula>
      <formula>$L25</formula>
    </cfRule>
  </conditionalFormatting>
  <conditionalFormatting sqref="U26">
    <cfRule type="cellIs" dxfId="105" priority="85" operator="notBetween">
      <formula>$K26</formula>
      <formula>$L26</formula>
    </cfRule>
  </conditionalFormatting>
  <conditionalFormatting sqref="U205">
    <cfRule type="cellIs" dxfId="104" priority="84" operator="notBetween">
      <formula>$K205</formula>
      <formula>$L205</formula>
    </cfRule>
  </conditionalFormatting>
  <conditionalFormatting sqref="U294">
    <cfRule type="cellIs" dxfId="103" priority="83" operator="notBetween">
      <formula>$K294</formula>
      <formula>$L294</formula>
    </cfRule>
  </conditionalFormatting>
  <conditionalFormatting sqref="U295">
    <cfRule type="cellIs" dxfId="102" priority="82" operator="notBetween">
      <formula>$K295</formula>
      <formula>$L295</formula>
    </cfRule>
  </conditionalFormatting>
  <conditionalFormatting sqref="U297">
    <cfRule type="cellIs" dxfId="101" priority="81" operator="notBetween">
      <formula>$K297</formula>
      <formula>$L297</formula>
    </cfRule>
  </conditionalFormatting>
  <conditionalFormatting sqref="U298">
    <cfRule type="cellIs" dxfId="100" priority="80" operator="notBetween">
      <formula>$K298</formula>
      <formula>$L298</formula>
    </cfRule>
  </conditionalFormatting>
  <conditionalFormatting sqref="U300">
    <cfRule type="cellIs" dxfId="99" priority="79" operator="notBetween">
      <formula>$K300</formula>
      <formula>$L300</formula>
    </cfRule>
  </conditionalFormatting>
  <conditionalFormatting sqref="U302">
    <cfRule type="cellIs" dxfId="98" priority="78" operator="notBetween">
      <formula>$K302</formula>
      <formula>$L302</formula>
    </cfRule>
  </conditionalFormatting>
  <conditionalFormatting sqref="U304">
    <cfRule type="cellIs" dxfId="97" priority="77" operator="notBetween">
      <formula>$K304</formula>
      <formula>$L304</formula>
    </cfRule>
  </conditionalFormatting>
  <conditionalFormatting sqref="U306">
    <cfRule type="cellIs" dxfId="96" priority="76" operator="notBetween">
      <formula>$K306</formula>
      <formula>$L306</formula>
    </cfRule>
  </conditionalFormatting>
  <conditionalFormatting sqref="U308">
    <cfRule type="cellIs" dxfId="95" priority="75" operator="notBetween">
      <formula>$K308</formula>
      <formula>$L308</formula>
    </cfRule>
  </conditionalFormatting>
  <conditionalFormatting sqref="U311">
    <cfRule type="cellIs" dxfId="94" priority="74" operator="notBetween">
      <formula>$K311</formula>
      <formula>$L311</formula>
    </cfRule>
  </conditionalFormatting>
  <conditionalFormatting sqref="U310">
    <cfRule type="cellIs" dxfId="93" priority="73" operator="notBetween">
      <formula>$K310</formula>
      <formula>$L310</formula>
    </cfRule>
  </conditionalFormatting>
  <conditionalFormatting sqref="U314">
    <cfRule type="cellIs" dxfId="92" priority="72" operator="notBetween">
      <formula>$K314</formula>
      <formula>$L314</formula>
    </cfRule>
  </conditionalFormatting>
  <conditionalFormatting sqref="U313">
    <cfRule type="cellIs" dxfId="91" priority="71" operator="notBetween">
      <formula>$K313</formula>
      <formula>$L313</formula>
    </cfRule>
  </conditionalFormatting>
  <conditionalFormatting sqref="U316">
    <cfRule type="cellIs" dxfId="90" priority="70" operator="notBetween">
      <formula>$K316</formula>
      <formula>$L316</formula>
    </cfRule>
  </conditionalFormatting>
  <conditionalFormatting sqref="U317">
    <cfRule type="cellIs" dxfId="89" priority="69" operator="notBetween">
      <formula>$K317</formula>
      <formula>$L317</formula>
    </cfRule>
  </conditionalFormatting>
  <conditionalFormatting sqref="U318">
    <cfRule type="cellIs" dxfId="88" priority="68" operator="notBetween">
      <formula>$K318</formula>
      <formula>$L318</formula>
    </cfRule>
  </conditionalFormatting>
  <conditionalFormatting sqref="V8">
    <cfRule type="cellIs" dxfId="87" priority="67" operator="notBetween">
      <formula>$K8</formula>
      <formula>$L8</formula>
    </cfRule>
  </conditionalFormatting>
  <conditionalFormatting sqref="V21:V25">
    <cfRule type="cellIs" dxfId="86" priority="66" operator="notBetween">
      <formula>$K21</formula>
      <formula>$L21</formula>
    </cfRule>
  </conditionalFormatting>
  <conditionalFormatting sqref="V26">
    <cfRule type="cellIs" dxfId="85" priority="65" operator="notBetween">
      <formula>$K26</formula>
      <formula>$L26</formula>
    </cfRule>
  </conditionalFormatting>
  <conditionalFormatting sqref="V28:V33">
    <cfRule type="cellIs" dxfId="84" priority="64" operator="notBetween">
      <formula>$K28</formula>
      <formula>$L28</formula>
    </cfRule>
  </conditionalFormatting>
  <conditionalFormatting sqref="V35">
    <cfRule type="cellIs" dxfId="83" priority="63" operator="notBetween">
      <formula>$K35</formula>
      <formula>$L35</formula>
    </cfRule>
  </conditionalFormatting>
  <conditionalFormatting sqref="V36">
    <cfRule type="cellIs" dxfId="82" priority="62" operator="notBetween">
      <formula>$K36</formula>
      <formula>$L36</formula>
    </cfRule>
  </conditionalFormatting>
  <conditionalFormatting sqref="V38">
    <cfRule type="cellIs" dxfId="81" priority="61" operator="notBetween">
      <formula>$K38</formula>
      <formula>$L38</formula>
    </cfRule>
  </conditionalFormatting>
  <conditionalFormatting sqref="V39">
    <cfRule type="cellIs" dxfId="80" priority="60" operator="notBetween">
      <formula>$K39</formula>
      <formula>$L39</formula>
    </cfRule>
  </conditionalFormatting>
  <conditionalFormatting sqref="V40">
    <cfRule type="cellIs" dxfId="79" priority="59" operator="notBetween">
      <formula>$K40</formula>
      <formula>$L40</formula>
    </cfRule>
  </conditionalFormatting>
  <conditionalFormatting sqref="V193">
    <cfRule type="cellIs" dxfId="78" priority="58" operator="notBetween">
      <formula>$K193</formula>
      <formula>$L193</formula>
    </cfRule>
  </conditionalFormatting>
  <conditionalFormatting sqref="V195">
    <cfRule type="cellIs" dxfId="77" priority="57" operator="notBetween">
      <formula>$K195</formula>
      <formula>$L195</formula>
    </cfRule>
  </conditionalFormatting>
  <conditionalFormatting sqref="V197">
    <cfRule type="cellIs" dxfId="76" priority="56" operator="notBetween">
      <formula>$K197</formula>
      <formula>$L197</formula>
    </cfRule>
  </conditionalFormatting>
  <conditionalFormatting sqref="V199">
    <cfRule type="cellIs" dxfId="75" priority="55" operator="notBetween">
      <formula>$K199</formula>
      <formula>$L199</formula>
    </cfRule>
  </conditionalFormatting>
  <conditionalFormatting sqref="V201">
    <cfRule type="cellIs" dxfId="74" priority="54" operator="notBetween">
      <formula>$K201</formula>
      <formula>$L201</formula>
    </cfRule>
  </conditionalFormatting>
  <conditionalFormatting sqref="V203">
    <cfRule type="cellIs" dxfId="73" priority="53" operator="notBetween">
      <formula>$K203</formula>
      <formula>$L203</formula>
    </cfRule>
  </conditionalFormatting>
  <conditionalFormatting sqref="V205">
    <cfRule type="cellIs" dxfId="72" priority="52" operator="notBetween">
      <formula>$K205</formula>
      <formula>$L205</formula>
    </cfRule>
  </conditionalFormatting>
  <conditionalFormatting sqref="V207">
    <cfRule type="cellIs" dxfId="71" priority="51" operator="notBetween">
      <formula>$K207</formula>
      <formula>$L207</formula>
    </cfRule>
  </conditionalFormatting>
  <conditionalFormatting sqref="V208">
    <cfRule type="cellIs" dxfId="70" priority="50" operator="notBetween">
      <formula>$K208</formula>
      <formula>$L208</formula>
    </cfRule>
  </conditionalFormatting>
  <conditionalFormatting sqref="V210">
    <cfRule type="cellIs" dxfId="69" priority="49" operator="notBetween">
      <formula>$K210</formula>
      <formula>$L210</formula>
    </cfRule>
  </conditionalFormatting>
  <conditionalFormatting sqref="V212:V216">
    <cfRule type="cellIs" dxfId="68" priority="48" operator="notBetween">
      <formula>$K212</formula>
      <formula>$L212</formula>
    </cfRule>
  </conditionalFormatting>
  <conditionalFormatting sqref="V218:V220">
    <cfRule type="cellIs" dxfId="67" priority="47" operator="notBetween">
      <formula>$K218</formula>
      <formula>$L218</formula>
    </cfRule>
  </conditionalFormatting>
  <conditionalFormatting sqref="V222:V225">
    <cfRule type="cellIs" dxfId="66" priority="46" operator="notBetween">
      <formula>$K222</formula>
      <formula>$L222</formula>
    </cfRule>
  </conditionalFormatting>
  <conditionalFormatting sqref="V226">
    <cfRule type="cellIs" dxfId="65" priority="45" operator="notBetween">
      <formula>$K226</formula>
      <formula>$L226</formula>
    </cfRule>
  </conditionalFormatting>
  <conditionalFormatting sqref="V228:V231">
    <cfRule type="cellIs" dxfId="64" priority="44" operator="notBetween">
      <formula>$K228</formula>
      <formula>$L228</formula>
    </cfRule>
  </conditionalFormatting>
  <conditionalFormatting sqref="V232">
    <cfRule type="cellIs" dxfId="63" priority="43" operator="notBetween">
      <formula>$K232</formula>
      <formula>$L232</formula>
    </cfRule>
  </conditionalFormatting>
  <conditionalFormatting sqref="V233">
    <cfRule type="cellIs" dxfId="62" priority="42" operator="notBetween">
      <formula>$K233</formula>
      <formula>$L233</formula>
    </cfRule>
  </conditionalFormatting>
  <conditionalFormatting sqref="V234">
    <cfRule type="cellIs" dxfId="61" priority="41" operator="notBetween">
      <formula>$K234</formula>
      <formula>$L234</formula>
    </cfRule>
  </conditionalFormatting>
  <conditionalFormatting sqref="V235">
    <cfRule type="cellIs" dxfId="60" priority="40" operator="notBetween">
      <formula>$K235</formula>
      <formula>$L235</formula>
    </cfRule>
  </conditionalFormatting>
  <conditionalFormatting sqref="V237">
    <cfRule type="cellIs" dxfId="59" priority="39" operator="notBetween">
      <formula>$K237</formula>
      <formula>$L237</formula>
    </cfRule>
  </conditionalFormatting>
  <conditionalFormatting sqref="V238">
    <cfRule type="cellIs" dxfId="58" priority="38" operator="notBetween">
      <formula>$K238</formula>
      <formula>$L238</formula>
    </cfRule>
  </conditionalFormatting>
  <conditionalFormatting sqref="V245:V251">
    <cfRule type="cellIs" dxfId="57" priority="37" operator="notBetween">
      <formula>$K245</formula>
      <formula>$L245</formula>
    </cfRule>
  </conditionalFormatting>
  <conditionalFormatting sqref="V253:V259">
    <cfRule type="cellIs" dxfId="56" priority="36" operator="notBetween">
      <formula>$K253</formula>
      <formula>$L253</formula>
    </cfRule>
  </conditionalFormatting>
  <conditionalFormatting sqref="V261">
    <cfRule type="cellIs" dxfId="55" priority="35" operator="notBetween">
      <formula>$K261</formula>
      <formula>$L261</formula>
    </cfRule>
  </conditionalFormatting>
  <conditionalFormatting sqref="V263">
    <cfRule type="cellIs" dxfId="54" priority="34" operator="notBetween">
      <formula>$K263</formula>
      <formula>$L263</formula>
    </cfRule>
  </conditionalFormatting>
  <conditionalFormatting sqref="V265">
    <cfRule type="cellIs" dxfId="53" priority="33" operator="notBetween">
      <formula>$K265</formula>
      <formula>$L265</formula>
    </cfRule>
  </conditionalFormatting>
  <conditionalFormatting sqref="V267">
    <cfRule type="cellIs" dxfId="52" priority="32" operator="notBetween">
      <formula>$K267</formula>
      <formula>$L267</formula>
    </cfRule>
  </conditionalFormatting>
  <conditionalFormatting sqref="V269">
    <cfRule type="cellIs" dxfId="51" priority="31" operator="notBetween">
      <formula>$K269</formula>
      <formula>$L269</formula>
    </cfRule>
  </conditionalFormatting>
  <conditionalFormatting sqref="V271">
    <cfRule type="cellIs" dxfId="50" priority="30" operator="notBetween">
      <formula>$K271</formula>
      <formula>$L271</formula>
    </cfRule>
  </conditionalFormatting>
  <conditionalFormatting sqref="V273">
    <cfRule type="cellIs" dxfId="49" priority="29" operator="notBetween">
      <formula>$K273</formula>
      <formula>$L273</formula>
    </cfRule>
  </conditionalFormatting>
  <conditionalFormatting sqref="V275">
    <cfRule type="cellIs" dxfId="48" priority="28" operator="notBetween">
      <formula>$K275</formula>
      <formula>$L275</formula>
    </cfRule>
  </conditionalFormatting>
  <conditionalFormatting sqref="V277">
    <cfRule type="cellIs" dxfId="47" priority="27" operator="notBetween">
      <formula>$K277</formula>
      <formula>$L277</formula>
    </cfRule>
  </conditionalFormatting>
  <conditionalFormatting sqref="V279">
    <cfRule type="cellIs" dxfId="46" priority="26" operator="notBetween">
      <formula>$K279</formula>
      <formula>$L279</formula>
    </cfRule>
  </conditionalFormatting>
  <conditionalFormatting sqref="V281">
    <cfRule type="cellIs" dxfId="45" priority="25" operator="notBetween">
      <formula>$K281</formula>
      <formula>$L281</formula>
    </cfRule>
  </conditionalFormatting>
  <conditionalFormatting sqref="V283">
    <cfRule type="cellIs" dxfId="44" priority="24" operator="notBetween">
      <formula>$K283</formula>
      <formula>$L283</formula>
    </cfRule>
  </conditionalFormatting>
  <conditionalFormatting sqref="V285">
    <cfRule type="cellIs" dxfId="43" priority="23" operator="notBetween">
      <formula>$K285</formula>
      <formula>$L285</formula>
    </cfRule>
  </conditionalFormatting>
  <conditionalFormatting sqref="V286">
    <cfRule type="cellIs" dxfId="42" priority="22" operator="notBetween">
      <formula>$K286</formula>
      <formula>$L286</formula>
    </cfRule>
  </conditionalFormatting>
  <conditionalFormatting sqref="V288">
    <cfRule type="cellIs" dxfId="41" priority="21" operator="notBetween">
      <formula>$K288</formula>
      <formula>$L288</formula>
    </cfRule>
  </conditionalFormatting>
  <conditionalFormatting sqref="V289">
    <cfRule type="cellIs" dxfId="40" priority="20" operator="notBetween">
      <formula>$K289</formula>
      <formula>$L289</formula>
    </cfRule>
  </conditionalFormatting>
  <conditionalFormatting sqref="V291">
    <cfRule type="cellIs" dxfId="39" priority="19" operator="notBetween">
      <formula>$K291</formula>
      <formula>$L291</formula>
    </cfRule>
  </conditionalFormatting>
  <conditionalFormatting sqref="V292">
    <cfRule type="cellIs" dxfId="38" priority="18" operator="notBetween">
      <formula>$K292</formula>
      <formula>$L292</formula>
    </cfRule>
  </conditionalFormatting>
  <conditionalFormatting sqref="V294">
    <cfRule type="cellIs" dxfId="37" priority="17" operator="notBetween">
      <formula>$K294</formula>
      <formula>$L294</formula>
    </cfRule>
  </conditionalFormatting>
  <conditionalFormatting sqref="V295">
    <cfRule type="cellIs" dxfId="36" priority="16" operator="notBetween">
      <formula>$K295</formula>
      <formula>$L295</formula>
    </cfRule>
  </conditionalFormatting>
  <conditionalFormatting sqref="V297">
    <cfRule type="cellIs" dxfId="35" priority="15" operator="notBetween">
      <formula>$K297</formula>
      <formula>$L297</formula>
    </cfRule>
  </conditionalFormatting>
  <conditionalFormatting sqref="V298">
    <cfRule type="cellIs" dxfId="34" priority="14" operator="notBetween">
      <formula>$K298</formula>
      <formula>$L298</formula>
    </cfRule>
  </conditionalFormatting>
  <conditionalFormatting sqref="V300">
    <cfRule type="cellIs" dxfId="33" priority="13" operator="notBetween">
      <formula>$K300</formula>
      <formula>$L300</formula>
    </cfRule>
  </conditionalFormatting>
  <conditionalFormatting sqref="V302">
    <cfRule type="cellIs" dxfId="32" priority="12" operator="notBetween">
      <formula>$K302</formula>
      <formula>$L302</formula>
    </cfRule>
  </conditionalFormatting>
  <conditionalFormatting sqref="V306 V304">
    <cfRule type="cellIs" dxfId="31" priority="10" operator="notBetween">
      <formula>$K304</formula>
      <formula>$L304</formula>
    </cfRule>
  </conditionalFormatting>
  <conditionalFormatting sqref="V308">
    <cfRule type="cellIs" dxfId="30" priority="9" operator="notBetween">
      <formula>$K308</formula>
      <formula>$L308</formula>
    </cfRule>
  </conditionalFormatting>
  <conditionalFormatting sqref="V310">
    <cfRule type="cellIs" dxfId="29" priority="7" operator="notBetween">
      <formula>$K310</formula>
      <formula>$L310</formula>
    </cfRule>
  </conditionalFormatting>
  <conditionalFormatting sqref="V311">
    <cfRule type="cellIs" dxfId="28" priority="6" operator="notBetween">
      <formula>$K311</formula>
      <formula>$L311</formula>
    </cfRule>
  </conditionalFormatting>
  <conditionalFormatting sqref="V313">
    <cfRule type="cellIs" dxfId="27" priority="5" operator="notBetween">
      <formula>$K313</formula>
      <formula>$L313</formula>
    </cfRule>
  </conditionalFormatting>
  <conditionalFormatting sqref="V314">
    <cfRule type="cellIs" dxfId="26" priority="4" operator="notBetween">
      <formula>$K314</formula>
      <formula>$L314</formula>
    </cfRule>
  </conditionalFormatting>
  <conditionalFormatting sqref="V316">
    <cfRule type="cellIs" dxfId="25" priority="3" operator="notBetween">
      <formula>$K316</formula>
      <formula>$L316</formula>
    </cfRule>
  </conditionalFormatting>
  <conditionalFormatting sqref="V317">
    <cfRule type="cellIs" dxfId="24" priority="2" operator="notBetween">
      <formula>$K317</formula>
      <formula>$L317</formula>
    </cfRule>
  </conditionalFormatting>
  <conditionalFormatting sqref="V318">
    <cfRule type="cellIs" dxfId="23" priority="1" operator="notBetween">
      <formula>$K318</formula>
      <formula>$L318</formula>
    </cfRule>
  </conditionalFormatting>
  <dataValidations count="2">
    <dataValidation type="list" allowBlank="1" showInputMessage="1" showErrorMessage="1" sqref="I5 I84 I86 I88 I90 I92 I94 I96 I98 I100 I102 I106 I108 I110 I114 I112 I120 I149 I157 I159 I161 I163 I165 I167 I169 I124 I193 I197 I199 I201 I203 I205 I126:I127 I151:I155 I210 I195 I316:I318 I253:I259 I261 I263 I265 I52:I56 I308 I310:I311 I313:I314 I288:I289 I116 I118 I207:I208 I267 I269 I271 I273 I275 I277 I279 I281 I283 I285:I286 I245:I251 I146:I147 I81:I82 I104 I212:I220 I42:I45 I222:I226 I28:I33 I35:I36 I143:I144 I191 I300 I302 I237:I240 I122 I304 I306 I47:I50 I242:I243 I129:I131 I133:I141 I21:I26 I228:I235 I294:I295 I58:I63 I65:I69 I38:I40 I171 I173 I175 I177 I179 I181 I183 I185 I187 I189 I291:I292 I297:I298 I7:I19 I71:I79" xr:uid="{00000000-0002-0000-0100-000000000000}">
      <formula1>"FIXED,ID,CRC,TRIMMED"</formula1>
      <formula2>0</formula2>
    </dataValidation>
    <dataValidation type="list" allowBlank="1" showInputMessage="1" showErrorMessage="1" sqref="AC1" xr:uid="{00000000-0002-0000-0100-000001000000}">
      <formula1>$N$2:$W$2</formula1>
      <formula2>0</formula2>
    </dataValidation>
  </dataValidations>
  <pageMargins left="0.7" right="0.7" top="0.75" bottom="0.75" header="0.51180555555555496" footer="0.51180555555555496"/>
  <pageSetup paperSize="9" firstPageNumber="0" orientation="portrait" horizontalDpi="300" verticalDpi="3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9D6FD-3C76-49ED-9EAA-A9ECF6309BAB}">
  <sheetPr codeName="Sheet6"/>
  <dimension ref="A1:R46"/>
  <sheetViews>
    <sheetView workbookViewId="0">
      <selection activeCell="R46" sqref="R46"/>
    </sheetView>
  </sheetViews>
  <sheetFormatPr defaultRowHeight="15"/>
  <cols>
    <col min="2" max="2" width="28.85546875" customWidth="1"/>
    <col min="7" max="7" width="36.5703125" customWidth="1"/>
    <col min="9" max="9" width="14.85546875" customWidth="1"/>
    <col min="10" max="10" width="27.42578125" customWidth="1"/>
    <col min="11" max="11" width="34.5703125" customWidth="1"/>
    <col min="12" max="12" width="25.42578125" customWidth="1"/>
    <col min="14" max="14" width="17.140625" customWidth="1"/>
    <col min="17" max="17" width="12" customWidth="1"/>
    <col min="18" max="18" width="9.140625" style="161"/>
  </cols>
  <sheetData>
    <row r="1" spans="1:18" ht="25.5">
      <c r="A1" s="146" t="s">
        <v>150</v>
      </c>
      <c r="B1" s="137" t="s">
        <v>58</v>
      </c>
      <c r="C1" s="138">
        <v>16</v>
      </c>
      <c r="D1" s="138">
        <v>0</v>
      </c>
      <c r="E1" s="138">
        <v>0</v>
      </c>
      <c r="F1" s="138" t="s">
        <v>58</v>
      </c>
      <c r="G1" s="152" t="s">
        <v>151</v>
      </c>
    </row>
    <row r="2" spans="1:18">
      <c r="A2" s="155" t="s">
        <v>58</v>
      </c>
      <c r="B2" s="156" t="s">
        <v>621</v>
      </c>
      <c r="C2" s="157">
        <v>1</v>
      </c>
      <c r="D2" s="157">
        <v>15</v>
      </c>
      <c r="E2" s="157">
        <v>0</v>
      </c>
      <c r="F2" s="157" t="s">
        <v>68</v>
      </c>
      <c r="G2" s="58" t="s">
        <v>583</v>
      </c>
    </row>
    <row r="3" spans="1:18" ht="147" customHeight="1">
      <c r="A3" s="155" t="s">
        <v>58</v>
      </c>
      <c r="B3" s="155" t="s">
        <v>521</v>
      </c>
      <c r="C3" s="157">
        <v>4</v>
      </c>
      <c r="D3" s="157">
        <v>11</v>
      </c>
      <c r="E3" s="157">
        <v>178</v>
      </c>
      <c r="F3" s="157" t="s">
        <v>76</v>
      </c>
      <c r="G3" s="159" t="s">
        <v>522</v>
      </c>
      <c r="H3" t="str">
        <f>"            {"</f>
        <v xml:space="preserve">            {</v>
      </c>
      <c r="I3" t="str">
        <f>"              "&amp;CHAR(34)&amp;"__class__"&amp;CHAR(34)&amp;": "&amp;CHAR(34)&amp;"MemoryVariableModel"&amp;CHAR(34)&amp;","</f>
        <v xml:space="preserve">              "__class__": "MemoryVariableModel",</v>
      </c>
      <c r="J3" t="str">
        <f>"              "&amp;CHAR(34)&amp;"address"&amp;CHAR(34)&amp;": "&amp;E3&amp;","</f>
        <v xml:space="preserve">              "address": 178,</v>
      </c>
      <c r="K3" t="str">
        <f>"              "&amp;CHAR(34)&amp;"comment"&amp;CHAR(34)&amp;": "&amp;CHAR(34)&amp;G3&amp;CHAR(34)&amp;","</f>
        <v xml:space="preserve">              "comment": "Digital standby mode regulator trimming",</v>
      </c>
      <c r="L3" t="str">
        <f>"              "&amp;CHAR(34)&amp;"name"&amp;CHAR(34)&amp;": "&amp;CHAR(34)&amp;B3&amp;CHAR(34)&amp;","</f>
        <v xml:space="preserve">              "name": "TRIM_SBYMODE_VDDDREG",</v>
      </c>
      <c r="M3" t="str">
        <f>"              "&amp;CHAR(34)&amp;"offset"&amp;CHAR(34)&amp;": "&amp;D3&amp;","</f>
        <v xml:space="preserve">              "offset": 11,</v>
      </c>
      <c r="N3" t="str">
        <f>"              "&amp;CHAR(34)&amp;"size"&amp;CHAR(34)&amp;": "&amp;C3&amp;","</f>
        <v xml:space="preserve">              "size": 4,</v>
      </c>
      <c r="O3" t="str">
        <f>"              "&amp;CHAR(34)&amp;"uid"&amp;CHAR(34)&amp;": "&amp;1&amp;","</f>
        <v xml:space="preserve">              "uid": 1,</v>
      </c>
      <c r="P3" t="str">
        <f>"            },"</f>
        <v xml:space="preserve">            },</v>
      </c>
      <c r="Q3" t="str">
        <f>_xlfn.TEXTJOIN(CHAR(10),TRUE,H3:P3)</f>
        <v xml:space="preserve">            {
              "__class__": "MemoryVariableModel",
              "address": 178,
              "comment": "Digital standby mode regulator trimming",
              "name": "TRIM_SBYMODE_VDDDREG",
              "offset": 11,
              "size": 4,
              "uid": 1,
            },</v>
      </c>
      <c r="R3" s="161" t="s">
        <v>688</v>
      </c>
    </row>
    <row r="4" spans="1:18" ht="25.5">
      <c r="A4" s="155" t="s">
        <v>58</v>
      </c>
      <c r="B4" s="155" t="s">
        <v>153</v>
      </c>
      <c r="C4" s="157">
        <v>4</v>
      </c>
      <c r="D4" s="157">
        <v>7</v>
      </c>
      <c r="E4" s="157">
        <v>178</v>
      </c>
      <c r="F4" s="157" t="s">
        <v>76</v>
      </c>
      <c r="G4" s="159" t="s">
        <v>154</v>
      </c>
      <c r="H4" t="str">
        <f t="shared" ref="H4:H46" si="0">"            {"</f>
        <v xml:space="preserve">            {</v>
      </c>
      <c r="I4" t="str">
        <f t="shared" ref="I4:I46" si="1">"              "&amp;CHAR(34)&amp;"__class__"&amp;CHAR(34)&amp;": "&amp;CHAR(34)&amp;"MemoryVariableModel"&amp;CHAR(34)&amp;","</f>
        <v xml:space="preserve">              "__class__": "MemoryVariableModel",</v>
      </c>
      <c r="J4" t="str">
        <f t="shared" ref="J4:J25" si="2">"              "&amp;CHAR(34)&amp;"address"&amp;CHAR(34)&amp;": "&amp;E4&amp;","</f>
        <v xml:space="preserve">              "address": 178,</v>
      </c>
      <c r="K4" t="str">
        <f>"              "&amp;CHAR(34)&amp;"comment"&amp;CHAR(34)&amp;": "&amp;CHAR(34)&amp;G4&amp;CHAR(34)&amp;","</f>
        <v xml:space="preserve">              "comment": "Digital regulator trimming",</v>
      </c>
      <c r="L4" t="str">
        <f>"              "&amp;CHAR(34)&amp;"name"&amp;CHAR(34)&amp;": "&amp;CHAR(34)&amp;B4&amp;CHAR(34)&amp;","</f>
        <v xml:space="preserve">              "name": "TRIM_VDDD",</v>
      </c>
      <c r="M4" t="str">
        <f>"              "&amp;CHAR(34)&amp;"offset"&amp;CHAR(34)&amp;": "&amp;D4&amp;","</f>
        <v xml:space="preserve">              "offset": 7,</v>
      </c>
      <c r="N4" t="str">
        <f>"              "&amp;CHAR(34)&amp;"size"&amp;CHAR(34)&amp;": "&amp;C4&amp;","</f>
        <v xml:space="preserve">              "size": 4,</v>
      </c>
      <c r="O4" t="str">
        <f t="shared" ref="O4:O46" si="3">"              "&amp;CHAR(34)&amp;"uid"&amp;CHAR(34)&amp;": "&amp;1&amp;","</f>
        <v xml:space="preserve">              "uid": 1,</v>
      </c>
      <c r="P4" t="str">
        <f t="shared" ref="P4:P46" si="4">"            },"</f>
        <v xml:space="preserve">            },</v>
      </c>
      <c r="Q4" t="str">
        <f t="shared" ref="Q4:Q25" si="5">_xlfn.TEXTJOIN(CHAR(10),TRUE,H4:P4)</f>
        <v xml:space="preserve">            {
              "__class__": "MemoryVariableModel",
              "address": 178,
              "comment": "Digital regulator trimming",
              "name": "TRIM_VDDD",
              "offset": 7,
              "size": 4,
              "uid": 1,
            },</v>
      </c>
      <c r="R4" s="161" t="s">
        <v>689</v>
      </c>
    </row>
    <row r="5" spans="1:18" ht="25.5">
      <c r="A5" s="155" t="s">
        <v>58</v>
      </c>
      <c r="B5" s="155" t="s">
        <v>152</v>
      </c>
      <c r="C5" s="157">
        <v>3</v>
      </c>
      <c r="D5" s="157">
        <v>4</v>
      </c>
      <c r="E5" s="157">
        <v>178</v>
      </c>
      <c r="F5" s="157" t="s">
        <v>76</v>
      </c>
      <c r="G5" s="159" t="s">
        <v>161</v>
      </c>
      <c r="H5" t="str">
        <f t="shared" si="0"/>
        <v xml:space="preserve">            {</v>
      </c>
      <c r="I5" t="str">
        <f t="shared" si="1"/>
        <v xml:space="preserve">              "__class__": "MemoryVariableModel",</v>
      </c>
      <c r="J5" t="str">
        <f t="shared" si="2"/>
        <v xml:space="preserve">              "address": 178,</v>
      </c>
      <c r="K5" t="str">
        <f>"              "&amp;CHAR(34)&amp;"comment"&amp;CHAR(34)&amp;": "&amp;CHAR(34)&amp;G5&amp;CHAR(34)&amp;","</f>
        <v xml:space="preserve">              "comment": "Analog regulator trimming",</v>
      </c>
      <c r="L5" t="str">
        <f>"              "&amp;CHAR(34)&amp;"name"&amp;CHAR(34)&amp;": "&amp;CHAR(34)&amp;B5&amp;CHAR(34)&amp;","</f>
        <v xml:space="preserve">              "name": "TRIM_VDDA",</v>
      </c>
      <c r="M5" t="str">
        <f>"              "&amp;CHAR(34)&amp;"offset"&amp;CHAR(34)&amp;": "&amp;D5&amp;","</f>
        <v xml:space="preserve">              "offset": 4,</v>
      </c>
      <c r="N5" t="str">
        <f>"              "&amp;CHAR(34)&amp;"size"&amp;CHAR(34)&amp;": "&amp;C5&amp;","</f>
        <v xml:space="preserve">              "size": 3,</v>
      </c>
      <c r="O5" t="str">
        <f t="shared" si="3"/>
        <v xml:space="preserve">              "uid": 1,</v>
      </c>
      <c r="P5" t="str">
        <f t="shared" si="4"/>
        <v xml:space="preserve">            },</v>
      </c>
      <c r="Q5" t="str">
        <f t="shared" si="5"/>
        <v xml:space="preserve">            {
              "__class__": "MemoryVariableModel",
              "address": 178,
              "comment": "Analog regulator trimming",
              "name": "TRIM_VDDA",
              "offset": 4,
              "size": 3,
              "uid": 1,
            },</v>
      </c>
      <c r="R5" s="161" t="s">
        <v>690</v>
      </c>
    </row>
    <row r="6" spans="1:18" ht="25.5">
      <c r="A6" s="155" t="s">
        <v>58</v>
      </c>
      <c r="B6" s="155" t="s">
        <v>453</v>
      </c>
      <c r="C6" s="157">
        <v>4</v>
      </c>
      <c r="D6" s="157">
        <v>0</v>
      </c>
      <c r="E6" s="157">
        <v>178</v>
      </c>
      <c r="F6" s="157" t="s">
        <v>76</v>
      </c>
      <c r="G6" s="159" t="s">
        <v>454</v>
      </c>
      <c r="H6" t="str">
        <f t="shared" si="0"/>
        <v xml:space="preserve">            {</v>
      </c>
      <c r="I6" t="str">
        <f t="shared" si="1"/>
        <v xml:space="preserve">              "__class__": "MemoryVariableModel",</v>
      </c>
      <c r="J6" t="str">
        <f t="shared" si="2"/>
        <v xml:space="preserve">              "address": 178,</v>
      </c>
      <c r="K6" t="str">
        <f>"              "&amp;CHAR(34)&amp;"comment"&amp;CHAR(34)&amp;": "&amp;CHAR(34)&amp;G6&amp;CHAR(34)&amp;","</f>
        <v xml:space="preserve">              "comment": "Trimming of the temperature coefficient of the bandgap used for regulators",</v>
      </c>
      <c r="L6" t="str">
        <f>"              "&amp;CHAR(34)&amp;"name"&amp;CHAR(34)&amp;": "&amp;CHAR(34)&amp;B6&amp;CHAR(34)&amp;","</f>
        <v xml:space="preserve">              "name": "TRIM_VBG_REG_TC",</v>
      </c>
      <c r="M6" t="str">
        <f>"              "&amp;CHAR(34)&amp;"offset"&amp;CHAR(34)&amp;": "&amp;D6&amp;","</f>
        <v xml:space="preserve">              "offset": 0,</v>
      </c>
      <c r="N6" t="str">
        <f>"              "&amp;CHAR(34)&amp;"size"&amp;CHAR(34)&amp;": "&amp;C6&amp;","</f>
        <v xml:space="preserve">              "size": 4,</v>
      </c>
      <c r="O6" t="str">
        <f t="shared" si="3"/>
        <v xml:space="preserve">              "uid": 1,</v>
      </c>
      <c r="P6" t="str">
        <f t="shared" si="4"/>
        <v xml:space="preserve">            },</v>
      </c>
      <c r="Q6" t="str">
        <f t="shared" si="5"/>
        <v xml:space="preserve">            {
              "__class__": "MemoryVariableModel",
              "address": 178,
              "comment": "Trimming of the temperature coefficient of the bandgap used for regulators",
              "name": "TRIM_VBG_REG_TC",
              "offset": 0,
              "size": 4,
              "uid": 1,
            },</v>
      </c>
      <c r="R6" s="161" t="s">
        <v>691</v>
      </c>
    </row>
    <row r="7" spans="1:18" ht="25.5">
      <c r="A7" s="146" t="s">
        <v>155</v>
      </c>
      <c r="B7" s="137" t="s">
        <v>58</v>
      </c>
      <c r="C7" s="138">
        <v>16</v>
      </c>
      <c r="D7" s="138">
        <v>0</v>
      </c>
      <c r="E7" s="138">
        <v>0</v>
      </c>
      <c r="F7" s="138" t="s">
        <v>58</v>
      </c>
      <c r="G7" s="152" t="s">
        <v>151</v>
      </c>
      <c r="Q7" t="str">
        <f t="shared" si="5"/>
        <v/>
      </c>
      <c r="R7" s="161" t="s">
        <v>687</v>
      </c>
    </row>
    <row r="8" spans="1:18">
      <c r="A8" s="155" t="s">
        <v>58</v>
      </c>
      <c r="B8" s="156" t="s">
        <v>620</v>
      </c>
      <c r="C8" s="157">
        <v>1</v>
      </c>
      <c r="D8" s="157">
        <v>15</v>
      </c>
      <c r="E8" s="157">
        <v>180</v>
      </c>
      <c r="F8" s="157" t="s">
        <v>68</v>
      </c>
      <c r="G8" s="58" t="s">
        <v>583</v>
      </c>
      <c r="H8" t="str">
        <f t="shared" si="0"/>
        <v xml:space="preserve">            {</v>
      </c>
      <c r="I8" t="str">
        <f t="shared" si="1"/>
        <v xml:space="preserve">              "__class__": "MemoryVariableModel",</v>
      </c>
      <c r="J8" t="str">
        <f t="shared" si="2"/>
        <v xml:space="preserve">              "address": 180,</v>
      </c>
      <c r="K8" t="str">
        <f>"              "&amp;CHAR(34)&amp;"comment"&amp;CHAR(34)&amp;": "&amp;CHAR(34)&amp;G8&amp;CHAR(34)&amp;","</f>
        <v xml:space="preserve">              "comment": "Reserved",</v>
      </c>
      <c r="L8" t="str">
        <f>"              "&amp;CHAR(34)&amp;"name"&amp;CHAR(34)&amp;": "&amp;CHAR(34)&amp;B8&amp;CHAR(34)&amp;","</f>
        <v xml:space="preserve">              "name": "TRIM1_RESERVED",</v>
      </c>
      <c r="M8" t="str">
        <f>"              "&amp;CHAR(34)&amp;"offset"&amp;CHAR(34)&amp;": "&amp;D8&amp;","</f>
        <v xml:space="preserve">              "offset": 15,</v>
      </c>
      <c r="N8" t="str">
        <f>"              "&amp;CHAR(34)&amp;"size"&amp;CHAR(34)&amp;": "&amp;C8&amp;","</f>
        <v xml:space="preserve">              "size": 1,</v>
      </c>
      <c r="O8" t="str">
        <f t="shared" si="3"/>
        <v xml:space="preserve">              "uid": 1,</v>
      </c>
      <c r="P8" t="str">
        <f t="shared" si="4"/>
        <v xml:space="preserve">            },</v>
      </c>
      <c r="Q8" t="str">
        <f t="shared" si="5"/>
        <v xml:space="preserve">            {
              "__class__": "MemoryVariableModel",
              "address": 180,
              "comment": "Reserved",
              "name": "TRIM1_RESERVED",
              "offset": 15,
              "size": 1,
              "uid": 1,
            },</v>
      </c>
      <c r="R8" s="161" t="s">
        <v>692</v>
      </c>
    </row>
    <row r="9" spans="1:18" ht="25.5">
      <c r="A9" s="155" t="s">
        <v>58</v>
      </c>
      <c r="B9" s="155" t="s">
        <v>156</v>
      </c>
      <c r="C9" s="157">
        <v>10</v>
      </c>
      <c r="D9" s="157">
        <v>5</v>
      </c>
      <c r="E9" s="157">
        <v>180</v>
      </c>
      <c r="F9" s="157" t="s">
        <v>76</v>
      </c>
      <c r="G9" s="159" t="s">
        <v>458</v>
      </c>
      <c r="H9" t="str">
        <f t="shared" si="0"/>
        <v xml:space="preserve">            {</v>
      </c>
      <c r="I9" t="str">
        <f t="shared" si="1"/>
        <v xml:space="preserve">              "__class__": "MemoryVariableModel",</v>
      </c>
      <c r="J9" t="str">
        <f t="shared" si="2"/>
        <v xml:space="preserve">              "address": 180,</v>
      </c>
      <c r="K9" t="str">
        <f>"              "&amp;CHAR(34)&amp;"comment"&amp;CHAR(34)&amp;": "&amp;CHAR(34)&amp;G9&amp;CHAR(34)&amp;","</f>
        <v xml:space="preserve">              "comment": "Trimming of main oscillator used by CPU (24MHz)",</v>
      </c>
      <c r="L9" t="str">
        <f>"              "&amp;CHAR(34)&amp;"name"&amp;CHAR(34)&amp;": "&amp;CHAR(34)&amp;B9&amp;CHAR(34)&amp;","</f>
        <v xml:space="preserve">              "name": "TRIM_OSC_CPU",</v>
      </c>
      <c r="M9" t="str">
        <f>"              "&amp;CHAR(34)&amp;"offset"&amp;CHAR(34)&amp;": "&amp;D9&amp;","</f>
        <v xml:space="preserve">              "offset": 5,</v>
      </c>
      <c r="N9" t="str">
        <f>"              "&amp;CHAR(34)&amp;"size"&amp;CHAR(34)&amp;": "&amp;C9&amp;","</f>
        <v xml:space="preserve">              "size": 10,</v>
      </c>
      <c r="O9" t="str">
        <f t="shared" si="3"/>
        <v xml:space="preserve">              "uid": 1,</v>
      </c>
      <c r="P9" t="str">
        <f t="shared" si="4"/>
        <v xml:space="preserve">            },</v>
      </c>
      <c r="Q9" t="str">
        <f t="shared" si="5"/>
        <v xml:space="preserve">            {
              "__class__": "MemoryVariableModel",
              "address": 180,
              "comment": "Trimming of main oscillator used by CPU (24MHz)",
              "name": "TRIM_OSC_CPU",
              "offset": 5,
              "size": 10,
              "uid": 1,
            },</v>
      </c>
      <c r="R9" s="161" t="s">
        <v>693</v>
      </c>
    </row>
    <row r="10" spans="1:18" ht="25.5">
      <c r="A10" s="155" t="s">
        <v>58</v>
      </c>
      <c r="B10" s="155" t="s">
        <v>159</v>
      </c>
      <c r="C10" s="157">
        <v>5</v>
      </c>
      <c r="D10" s="157">
        <v>0</v>
      </c>
      <c r="E10" s="157">
        <v>180</v>
      </c>
      <c r="F10" s="157" t="s">
        <v>76</v>
      </c>
      <c r="G10" s="159" t="s">
        <v>160</v>
      </c>
      <c r="H10" t="str">
        <f t="shared" si="0"/>
        <v xml:space="preserve">            {</v>
      </c>
      <c r="I10" t="str">
        <f t="shared" si="1"/>
        <v xml:space="preserve">              "__class__": "MemoryVariableModel",</v>
      </c>
      <c r="J10" t="str">
        <f t="shared" si="2"/>
        <v xml:space="preserve">              "address": 180,</v>
      </c>
      <c r="K10" t="str">
        <f>"              "&amp;CHAR(34)&amp;"comment"&amp;CHAR(34)&amp;": "&amp;CHAR(34)&amp;G10&amp;CHAR(34)&amp;","</f>
        <v xml:space="preserve">              "comment": "Trimming of bias current in BGAP_ADC",</v>
      </c>
      <c r="L10" t="str">
        <f>"              "&amp;CHAR(34)&amp;"name"&amp;CHAR(34)&amp;": "&amp;CHAR(34)&amp;B10&amp;CHAR(34)&amp;","</f>
        <v xml:space="preserve">              "name": "TRIM_IBIAS",</v>
      </c>
      <c r="M10" t="str">
        <f>"              "&amp;CHAR(34)&amp;"offset"&amp;CHAR(34)&amp;": "&amp;D10&amp;","</f>
        <v xml:space="preserve">              "offset": 0,</v>
      </c>
      <c r="N10" t="str">
        <f>"              "&amp;CHAR(34)&amp;"size"&amp;CHAR(34)&amp;": "&amp;C10&amp;","</f>
        <v xml:space="preserve">              "size": 5,</v>
      </c>
      <c r="O10" t="str">
        <f t="shared" si="3"/>
        <v xml:space="preserve">              "uid": 1,</v>
      </c>
      <c r="P10" t="str">
        <f t="shared" si="4"/>
        <v xml:space="preserve">            },</v>
      </c>
      <c r="Q10" t="str">
        <f t="shared" si="5"/>
        <v xml:space="preserve">            {
              "__class__": "MemoryVariableModel",
              "address": 180,
              "comment": "Trimming of bias current in BGAP_ADC",
              "name": "TRIM_IBIAS",
              "offset": 0,
              "size": 5,
              "uid": 1,
            },</v>
      </c>
      <c r="R10" s="161" t="s">
        <v>694</v>
      </c>
    </row>
    <row r="11" spans="1:18" ht="25.5">
      <c r="A11" s="146" t="s">
        <v>157</v>
      </c>
      <c r="B11" s="137" t="s">
        <v>58</v>
      </c>
      <c r="C11" s="138">
        <v>16</v>
      </c>
      <c r="D11" s="138">
        <v>0</v>
      </c>
      <c r="E11" s="138">
        <v>0</v>
      </c>
      <c r="F11" s="138" t="s">
        <v>58</v>
      </c>
      <c r="G11" s="152" t="s">
        <v>151</v>
      </c>
      <c r="Q11" t="str">
        <f t="shared" si="5"/>
        <v/>
      </c>
      <c r="R11" s="161" t="s">
        <v>687</v>
      </c>
    </row>
    <row r="12" spans="1:18">
      <c r="A12" s="155" t="s">
        <v>58</v>
      </c>
      <c r="B12" s="156" t="s">
        <v>619</v>
      </c>
      <c r="C12" s="157">
        <v>1</v>
      </c>
      <c r="D12" s="157">
        <v>15</v>
      </c>
      <c r="E12" s="157">
        <v>182</v>
      </c>
      <c r="F12" s="157" t="s">
        <v>68</v>
      </c>
      <c r="G12" s="58" t="s">
        <v>583</v>
      </c>
      <c r="H12" t="str">
        <f t="shared" si="0"/>
        <v xml:space="preserve">            {</v>
      </c>
      <c r="I12" t="str">
        <f t="shared" si="1"/>
        <v xml:space="preserve">              "__class__": "MemoryVariableModel",</v>
      </c>
      <c r="J12" t="str">
        <f t="shared" si="2"/>
        <v xml:space="preserve">              "address": 182,</v>
      </c>
      <c r="K12" t="str">
        <f>"              "&amp;CHAR(34)&amp;"comment"&amp;CHAR(34)&amp;": "&amp;CHAR(34)&amp;G12&amp;CHAR(34)&amp;","</f>
        <v xml:space="preserve">              "comment": "Reserved",</v>
      </c>
      <c r="L12" t="str">
        <f>"              "&amp;CHAR(34)&amp;"name"&amp;CHAR(34)&amp;": "&amp;CHAR(34)&amp;B12&amp;CHAR(34)&amp;","</f>
        <v xml:space="preserve">              "name": "TRIM2_RESERVED",</v>
      </c>
      <c r="M12" t="str">
        <f>"              "&amp;CHAR(34)&amp;"offset"&amp;CHAR(34)&amp;": "&amp;D12&amp;","</f>
        <v xml:space="preserve">              "offset": 15,</v>
      </c>
      <c r="N12" t="str">
        <f>"              "&amp;CHAR(34)&amp;"size"&amp;CHAR(34)&amp;": "&amp;C12&amp;","</f>
        <v xml:space="preserve">              "size": 1,</v>
      </c>
      <c r="O12" t="str">
        <f t="shared" si="3"/>
        <v xml:space="preserve">              "uid": 1,</v>
      </c>
      <c r="P12" t="str">
        <f t="shared" si="4"/>
        <v xml:space="preserve">            },</v>
      </c>
      <c r="Q12" t="str">
        <f t="shared" si="5"/>
        <v xml:space="preserve">            {
              "__class__": "MemoryVariableModel",
              "address": 182,
              "comment": "Reserved",
              "name": "TRIM2_RESERVED",
              "offset": 15,
              "size": 1,
              "uid": 1,
            },</v>
      </c>
      <c r="R12" s="161" t="s">
        <v>695</v>
      </c>
    </row>
    <row r="13" spans="1:18" ht="25.5">
      <c r="A13" s="58" t="s">
        <v>58</v>
      </c>
      <c r="B13" s="58" t="s">
        <v>553</v>
      </c>
      <c r="C13" s="157">
        <v>5</v>
      </c>
      <c r="D13" s="157">
        <v>10</v>
      </c>
      <c r="E13" s="157">
        <v>182</v>
      </c>
      <c r="F13" s="157" t="s">
        <v>76</v>
      </c>
      <c r="G13" s="159" t="s">
        <v>554</v>
      </c>
      <c r="H13" t="str">
        <f t="shared" si="0"/>
        <v xml:space="preserve">            {</v>
      </c>
      <c r="I13" t="str">
        <f t="shared" si="1"/>
        <v xml:space="preserve">              "__class__": "MemoryVariableModel",</v>
      </c>
      <c r="J13" t="str">
        <f t="shared" si="2"/>
        <v xml:space="preserve">              "address": 182,</v>
      </c>
      <c r="K13" t="str">
        <f>"              "&amp;CHAR(34)&amp;"comment"&amp;CHAR(34)&amp;": "&amp;CHAR(34)&amp;G13&amp;CHAR(34)&amp;","</f>
        <v xml:space="preserve">              "comment": "Trimming of the 10KHz low frequency oscillator",</v>
      </c>
      <c r="L13" t="str">
        <f>"              "&amp;CHAR(34)&amp;"name"&amp;CHAR(34)&amp;": "&amp;CHAR(34)&amp;B13&amp;CHAR(34)&amp;","</f>
        <v xml:space="preserve">              "name": "TRIM_OSC10K",</v>
      </c>
      <c r="M13" t="str">
        <f>"              "&amp;CHAR(34)&amp;"offset"&amp;CHAR(34)&amp;": "&amp;D13&amp;","</f>
        <v xml:space="preserve">              "offset": 10,</v>
      </c>
      <c r="N13" t="str">
        <f>"              "&amp;CHAR(34)&amp;"size"&amp;CHAR(34)&amp;": "&amp;C13&amp;","</f>
        <v xml:space="preserve">              "size": 5,</v>
      </c>
      <c r="O13" t="str">
        <f t="shared" si="3"/>
        <v xml:space="preserve">              "uid": 1,</v>
      </c>
      <c r="P13" t="str">
        <f t="shared" si="4"/>
        <v xml:space="preserve">            },</v>
      </c>
      <c r="Q13" t="str">
        <f t="shared" si="5"/>
        <v xml:space="preserve">            {
              "__class__": "MemoryVariableModel",
              "address": 182,
              "comment": "Trimming of the 10KHz low frequency oscillator",
              "name": "TRIM_OSC10K",
              "offset": 10,
              "size": 5,
              "uid": 1,
            },</v>
      </c>
      <c r="R13" s="161" t="s">
        <v>696</v>
      </c>
    </row>
    <row r="14" spans="1:18" ht="38.25">
      <c r="A14" s="58" t="s">
        <v>58</v>
      </c>
      <c r="B14" s="58" t="s">
        <v>525</v>
      </c>
      <c r="C14" s="157">
        <v>2</v>
      </c>
      <c r="D14" s="157">
        <v>8</v>
      </c>
      <c r="E14" s="157">
        <v>182</v>
      </c>
      <c r="F14" s="157" t="s">
        <v>76</v>
      </c>
      <c r="G14" s="159" t="s">
        <v>712</v>
      </c>
      <c r="H14" t="str">
        <f t="shared" si="0"/>
        <v xml:space="preserve">            {</v>
      </c>
      <c r="I14" t="str">
        <f t="shared" si="1"/>
        <v xml:space="preserve">              "__class__": "MemoryVariableModel",</v>
      </c>
      <c r="J14" t="str">
        <f t="shared" si="2"/>
        <v xml:space="preserve">              "address": 182,</v>
      </c>
      <c r="K14" t="str">
        <f>"              "&amp;CHAR(34)&amp;"comment"&amp;CHAR(34)&amp;": "&amp;CHAR(34)&amp;G14&amp;CHAR(34)&amp;","</f>
        <v xml:space="preserve">              "comment": "Delay in analog for switching in transitions between active and standby mode (ms_standby)",</v>
      </c>
      <c r="L14" t="str">
        <f>"              "&amp;CHAR(34)&amp;"name"&amp;CHAR(34)&amp;": "&amp;CHAR(34)&amp;B14&amp;CHAR(34)&amp;","</f>
        <v xml:space="preserve">              "name": "TRIM_SUPSYS_SBY_WUT",</v>
      </c>
      <c r="M14" t="str">
        <f>"              "&amp;CHAR(34)&amp;"offset"&amp;CHAR(34)&amp;": "&amp;D14&amp;","</f>
        <v xml:space="preserve">              "offset": 8,</v>
      </c>
      <c r="N14" t="str">
        <f>"              "&amp;CHAR(34)&amp;"size"&amp;CHAR(34)&amp;": "&amp;C14&amp;","</f>
        <v xml:space="preserve">              "size": 2,</v>
      </c>
      <c r="O14" t="str">
        <f t="shared" si="3"/>
        <v xml:space="preserve">              "uid": 1,</v>
      </c>
      <c r="P14" t="str">
        <f t="shared" si="4"/>
        <v xml:space="preserve">            },</v>
      </c>
      <c r="Q14" t="str">
        <f t="shared" si="5"/>
        <v xml:space="preserve">            {
              "__class__": "MemoryVariableModel",
              "address": 182,
              "comment": "Delay in analog for switching in transitions between active and standby mode (ms_standby)",
              "name": "TRIM_SUPSYS_SBY_WUT",
              "offset": 8,
              "size": 2,
              "uid": 1,
            },</v>
      </c>
      <c r="R14" s="161" t="s">
        <v>723</v>
      </c>
    </row>
    <row r="15" spans="1:18">
      <c r="A15" s="58" t="s">
        <v>58</v>
      </c>
      <c r="B15" s="58" t="s">
        <v>523</v>
      </c>
      <c r="C15" s="157">
        <v>1</v>
      </c>
      <c r="D15" s="157">
        <v>7</v>
      </c>
      <c r="E15" s="157">
        <v>182</v>
      </c>
      <c r="F15" s="157" t="s">
        <v>68</v>
      </c>
      <c r="G15" s="58" t="s">
        <v>713</v>
      </c>
      <c r="H15" t="str">
        <f t="shared" si="0"/>
        <v xml:space="preserve">            {</v>
      </c>
      <c r="I15" t="str">
        <f t="shared" si="1"/>
        <v xml:space="preserve">              "__class__": "MemoryVariableModel",</v>
      </c>
      <c r="J15" t="str">
        <f t="shared" si="2"/>
        <v xml:space="preserve">              "address": 182,</v>
      </c>
      <c r="K15" t="str">
        <f>"              "&amp;CHAR(34)&amp;"comment"&amp;CHAR(34)&amp;": "&amp;CHAR(34)&amp;G15&amp;CHAR(34)&amp;","</f>
        <v xml:space="preserve">              "comment": "In case ADC oscillator is stuck",</v>
      </c>
      <c r="L15" t="str">
        <f>"              "&amp;CHAR(34)&amp;"name"&amp;CHAR(34)&amp;": "&amp;CHAR(34)&amp;B15&amp;CHAR(34)&amp;","</f>
        <v xml:space="preserve">              "name": "OSC_ADC_AUTO_RESTART",</v>
      </c>
      <c r="M15" t="str">
        <f>"              "&amp;CHAR(34)&amp;"offset"&amp;CHAR(34)&amp;": "&amp;D15&amp;","</f>
        <v xml:space="preserve">              "offset": 7,</v>
      </c>
      <c r="N15" t="str">
        <f>"              "&amp;CHAR(34)&amp;"size"&amp;CHAR(34)&amp;": "&amp;C15&amp;","</f>
        <v xml:space="preserve">              "size": 1,</v>
      </c>
      <c r="O15" t="str">
        <f t="shared" si="3"/>
        <v xml:space="preserve">              "uid": 1,</v>
      </c>
      <c r="P15" t="str">
        <f t="shared" si="4"/>
        <v xml:space="preserve">            },</v>
      </c>
      <c r="Q15" t="str">
        <f t="shared" si="5"/>
        <v xml:space="preserve">            {
              "__class__": "MemoryVariableModel",
              "address": 182,
              "comment": "In case ADC oscillator is stuck",
              "name": "OSC_ADC_AUTO_RESTART",
              "offset": 7,
              "size": 1,
              "uid": 1,
            },</v>
      </c>
      <c r="R15" s="161" t="s">
        <v>724</v>
      </c>
    </row>
    <row r="16" spans="1:18" ht="51">
      <c r="A16" s="58" t="s">
        <v>58</v>
      </c>
      <c r="B16" s="58" t="s">
        <v>158</v>
      </c>
      <c r="C16" s="157">
        <v>7</v>
      </c>
      <c r="D16" s="157">
        <v>0</v>
      </c>
      <c r="E16" s="157">
        <v>182</v>
      </c>
      <c r="F16" s="157" t="s">
        <v>76</v>
      </c>
      <c r="G16" s="159" t="s">
        <v>459</v>
      </c>
      <c r="H16" t="str">
        <f t="shared" si="0"/>
        <v xml:space="preserve">            {</v>
      </c>
      <c r="I16" t="str">
        <f t="shared" si="1"/>
        <v xml:space="preserve">              "__class__": "MemoryVariableModel",</v>
      </c>
      <c r="J16" t="str">
        <f t="shared" si="2"/>
        <v xml:space="preserve">              "address": 182,</v>
      </c>
      <c r="K16" t="str">
        <f>"              "&amp;CHAR(34)&amp;"comment"&amp;CHAR(34)&amp;": "&amp;CHAR(34)&amp;G16&amp;CHAR(34)&amp;","</f>
        <v xml:space="preserve">              "comment": "Trimming of oscillator used for ADC. Is also used as 1MHz absolute clock. Note: the oscillator block has 9 trimming bits (LSB's are shorted to GND).",</v>
      </c>
      <c r="L16" t="str">
        <f>"              "&amp;CHAR(34)&amp;"name"&amp;CHAR(34)&amp;": "&amp;CHAR(34)&amp;B16&amp;CHAR(34)&amp;","</f>
        <v xml:space="preserve">              "name": "TRIM_OSC_ADC",</v>
      </c>
      <c r="M16" t="str">
        <f>"              "&amp;CHAR(34)&amp;"offset"&amp;CHAR(34)&amp;": "&amp;D16&amp;","</f>
        <v xml:space="preserve">              "offset": 0,</v>
      </c>
      <c r="N16" t="str">
        <f>"              "&amp;CHAR(34)&amp;"size"&amp;CHAR(34)&amp;": "&amp;C16&amp;","</f>
        <v xml:space="preserve">              "size": 7,</v>
      </c>
      <c r="O16" t="str">
        <f t="shared" si="3"/>
        <v xml:space="preserve">              "uid": 1,</v>
      </c>
      <c r="P16" t="str">
        <f t="shared" si="4"/>
        <v xml:space="preserve">            },</v>
      </c>
      <c r="Q16" t="str">
        <f t="shared" si="5"/>
        <v xml:space="preserve">            {
              "__class__": "MemoryVariableModel",
              "address": 182,
              "comment": "Trimming of oscillator used for ADC. Is also used as 1MHz absolute clock. Note: the oscillator block has 9 trimming bits (LSB's are shorted to GND).",
              "name": "TRIM_OSC_ADC",
              "offset": 0,
              "size": 7,
              "uid": 1,
            },</v>
      </c>
      <c r="R16" s="161" t="s">
        <v>697</v>
      </c>
    </row>
    <row r="17" spans="1:18" ht="25.5">
      <c r="A17" s="146" t="s">
        <v>442</v>
      </c>
      <c r="B17" s="137" t="s">
        <v>58</v>
      </c>
      <c r="C17" s="138">
        <v>16</v>
      </c>
      <c r="D17" s="138">
        <v>0</v>
      </c>
      <c r="E17" s="138">
        <v>0</v>
      </c>
      <c r="F17" s="138" t="s">
        <v>58</v>
      </c>
      <c r="G17" s="152" t="s">
        <v>162</v>
      </c>
      <c r="Q17" t="str">
        <f t="shared" si="5"/>
        <v/>
      </c>
      <c r="R17" s="161" t="s">
        <v>687</v>
      </c>
    </row>
    <row r="18" spans="1:18">
      <c r="A18" s="155" t="s">
        <v>58</v>
      </c>
      <c r="B18" s="156" t="s">
        <v>586</v>
      </c>
      <c r="C18" s="157">
        <v>3</v>
      </c>
      <c r="D18" s="157">
        <v>13</v>
      </c>
      <c r="E18" s="157">
        <v>184</v>
      </c>
      <c r="F18" s="157" t="s">
        <v>68</v>
      </c>
      <c r="G18" s="58" t="s">
        <v>583</v>
      </c>
      <c r="H18" t="str">
        <f t="shared" si="0"/>
        <v xml:space="preserve">            {</v>
      </c>
      <c r="I18" t="str">
        <f t="shared" si="1"/>
        <v xml:space="preserve">              "__class__": "MemoryVariableModel",</v>
      </c>
      <c r="J18" t="str">
        <f t="shared" si="2"/>
        <v xml:space="preserve">              "address": 184,</v>
      </c>
      <c r="K18" t="str">
        <f t="shared" ref="K18:K25" si="6">"              "&amp;CHAR(34)&amp;"comment"&amp;CHAR(34)&amp;": "&amp;CHAR(34)&amp;G18&amp;CHAR(34)&amp;","</f>
        <v xml:space="preserve">              "comment": "Reserved",</v>
      </c>
      <c r="L18" t="str">
        <f t="shared" ref="L18:L25" si="7">"              "&amp;CHAR(34)&amp;"name"&amp;CHAR(34)&amp;": "&amp;CHAR(34)&amp;B18&amp;CHAR(34)&amp;","</f>
        <v xml:space="preserve">              "name": "TRIM3_RESERVED",</v>
      </c>
      <c r="M18" t="str">
        <f t="shared" ref="M18:M25" si="8">"              "&amp;CHAR(34)&amp;"offset"&amp;CHAR(34)&amp;": "&amp;D18&amp;","</f>
        <v xml:space="preserve">              "offset": 13,</v>
      </c>
      <c r="N18" t="str">
        <f t="shared" ref="N18:N25" si="9">"              "&amp;CHAR(34)&amp;"size"&amp;CHAR(34)&amp;": "&amp;C18&amp;","</f>
        <v xml:space="preserve">              "size": 3,</v>
      </c>
      <c r="O18" t="str">
        <f t="shared" si="3"/>
        <v xml:space="preserve">              "uid": 1,</v>
      </c>
      <c r="P18" t="str">
        <f t="shared" si="4"/>
        <v xml:space="preserve">            },</v>
      </c>
      <c r="Q18" t="str">
        <f t="shared" si="5"/>
        <v xml:space="preserve">            {
              "__class__": "MemoryVariableModel",
              "address": 184,
              "comment": "Reserved",
              "name": "TRIM3_RESERVED",
              "offset": 13,
              "size": 3,
              "uid": 1,
            },</v>
      </c>
      <c r="R18" s="161" t="s">
        <v>698</v>
      </c>
    </row>
    <row r="19" spans="1:18" ht="25.5">
      <c r="A19" s="155" t="s">
        <v>58</v>
      </c>
      <c r="B19" s="58" t="s">
        <v>555</v>
      </c>
      <c r="C19" s="157">
        <v>3</v>
      </c>
      <c r="D19" s="157">
        <v>10</v>
      </c>
      <c r="E19" s="157">
        <v>184</v>
      </c>
      <c r="F19" s="157" t="s">
        <v>76</v>
      </c>
      <c r="G19" s="159" t="s">
        <v>556</v>
      </c>
      <c r="H19" t="str">
        <f t="shared" si="0"/>
        <v xml:space="preserve">            {</v>
      </c>
      <c r="I19" t="str">
        <f t="shared" si="1"/>
        <v xml:space="preserve">              "__class__": "MemoryVariableModel",</v>
      </c>
      <c r="J19" t="str">
        <f t="shared" si="2"/>
        <v xml:space="preserve">              "address": 184,</v>
      </c>
      <c r="K19" t="str">
        <f t="shared" si="6"/>
        <v xml:space="preserve">              "comment": "Trimming of the 3V regulator (MEMS readout and EEPROM supply regulator)",</v>
      </c>
      <c r="L19" t="str">
        <f t="shared" si="7"/>
        <v xml:space="preserve">              "name": "TRIM_VDDA_3V",</v>
      </c>
      <c r="M19" t="str">
        <f t="shared" si="8"/>
        <v xml:space="preserve">              "offset": 10,</v>
      </c>
      <c r="N19" t="str">
        <f t="shared" si="9"/>
        <v xml:space="preserve">              "size": 3,</v>
      </c>
      <c r="O19" t="str">
        <f t="shared" si="3"/>
        <v xml:space="preserve">              "uid": 1,</v>
      </c>
      <c r="P19" t="str">
        <f t="shared" si="4"/>
        <v xml:space="preserve">            },</v>
      </c>
      <c r="Q19" t="str">
        <f t="shared" si="5"/>
        <v xml:space="preserve">            {
              "__class__": "MemoryVariableModel",
              "address": 184,
              "comment": "Trimming of the 3V regulator (MEMS readout and EEPROM supply regulator)",
              "name": "TRIM_VDDA_3V",
              "offset": 10,
              "size": 3,
              "uid": 1,
            },</v>
      </c>
      <c r="R19" s="161" t="s">
        <v>699</v>
      </c>
    </row>
    <row r="20" spans="1:18" ht="25.5">
      <c r="A20" s="155" t="s">
        <v>58</v>
      </c>
      <c r="B20" s="58" t="s">
        <v>163</v>
      </c>
      <c r="C20" s="157">
        <v>2</v>
      </c>
      <c r="D20" s="157">
        <v>8</v>
      </c>
      <c r="E20" s="157">
        <v>184</v>
      </c>
      <c r="F20" s="157" t="s">
        <v>68</v>
      </c>
      <c r="G20" s="58" t="s">
        <v>714</v>
      </c>
      <c r="H20" t="str">
        <f t="shared" si="0"/>
        <v xml:space="preserve">            {</v>
      </c>
      <c r="I20" t="str">
        <f t="shared" si="1"/>
        <v xml:space="preserve">              "__class__": "MemoryVariableModel",</v>
      </c>
      <c r="J20" t="str">
        <f t="shared" si="2"/>
        <v xml:space="preserve">              "address": 184,</v>
      </c>
      <c r="K20" t="str">
        <f t="shared" si="6"/>
        <v xml:space="preserve">              "comment": "Selects the return to zero mode for the PADC",</v>
      </c>
      <c r="L20" t="str">
        <f t="shared" si="7"/>
        <v xml:space="preserve">              "name": "PADC_RTZ",</v>
      </c>
      <c r="M20" t="str">
        <f t="shared" si="8"/>
        <v xml:space="preserve">              "offset": 8,</v>
      </c>
      <c r="N20" t="str">
        <f t="shared" si="9"/>
        <v xml:space="preserve">              "size": 2,</v>
      </c>
      <c r="O20" t="str">
        <f t="shared" si="3"/>
        <v xml:space="preserve">              "uid": 1,</v>
      </c>
      <c r="P20" t="str">
        <f t="shared" si="4"/>
        <v xml:space="preserve">            },</v>
      </c>
      <c r="Q20" t="str">
        <f t="shared" si="5"/>
        <v xml:space="preserve">            {
              "__class__": "MemoryVariableModel",
              "address": 184,
              "comment": "Selects the return to zero mode for the PADC",
              "name": "PADC_RTZ",
              "offset": 8,
              "size": 2,
              "uid": 1,
            },</v>
      </c>
      <c r="R20" s="161" t="s">
        <v>725</v>
      </c>
    </row>
    <row r="21" spans="1:18" ht="25.5">
      <c r="A21" s="155" t="s">
        <v>58</v>
      </c>
      <c r="B21" s="58" t="s">
        <v>165</v>
      </c>
      <c r="C21" s="157">
        <v>1</v>
      </c>
      <c r="D21" s="157">
        <v>7</v>
      </c>
      <c r="E21" s="157">
        <v>184</v>
      </c>
      <c r="F21" s="157" t="s">
        <v>68</v>
      </c>
      <c r="G21" s="58" t="s">
        <v>715</v>
      </c>
      <c r="H21" t="str">
        <f t="shared" si="0"/>
        <v xml:space="preserve">            {</v>
      </c>
      <c r="I21" t="str">
        <f t="shared" si="1"/>
        <v xml:space="preserve">              "__class__": "MemoryVariableModel",</v>
      </c>
      <c r="J21" t="str">
        <f t="shared" si="2"/>
        <v xml:space="preserve">              "address": 184,</v>
      </c>
      <c r="K21" t="str">
        <f t="shared" si="6"/>
        <v xml:space="preserve">              "comment": "Choosing where to do system-level chopping",</v>
      </c>
      <c r="L21" t="str">
        <f t="shared" si="7"/>
        <v xml:space="preserve">              "name": "PADC_INVERT_MODE",</v>
      </c>
      <c r="M21" t="str">
        <f t="shared" si="8"/>
        <v xml:space="preserve">              "offset": 7,</v>
      </c>
      <c r="N21" t="str">
        <f t="shared" si="9"/>
        <v xml:space="preserve">              "size": 1,</v>
      </c>
      <c r="O21" t="str">
        <f t="shared" si="3"/>
        <v xml:space="preserve">              "uid": 1,</v>
      </c>
      <c r="P21" t="str">
        <f t="shared" si="4"/>
        <v xml:space="preserve">            },</v>
      </c>
      <c r="Q21" t="str">
        <f t="shared" si="5"/>
        <v xml:space="preserve">            {
              "__class__": "MemoryVariableModel",
              "address": 184,
              "comment": "Choosing where to do system-level chopping",
              "name": "PADC_INVERT_MODE",
              "offset": 7,
              "size": 1,
              "uid": 1,
            },</v>
      </c>
      <c r="R21" s="161" t="s">
        <v>726</v>
      </c>
    </row>
    <row r="22" spans="1:18" ht="25.5">
      <c r="A22" s="155" t="s">
        <v>58</v>
      </c>
      <c r="B22" s="58" t="s">
        <v>167</v>
      </c>
      <c r="C22" s="157">
        <v>3</v>
      </c>
      <c r="D22" s="157">
        <v>4</v>
      </c>
      <c r="E22" s="157">
        <v>184</v>
      </c>
      <c r="F22" s="157" t="s">
        <v>68</v>
      </c>
      <c r="G22" s="58" t="s">
        <v>168</v>
      </c>
      <c r="H22" t="str">
        <f t="shared" si="0"/>
        <v xml:space="preserve">            {</v>
      </c>
      <c r="I22" t="str">
        <f t="shared" si="1"/>
        <v xml:space="preserve">              "__class__": "MemoryVariableModel",</v>
      </c>
      <c r="J22" t="str">
        <f t="shared" si="2"/>
        <v xml:space="preserve">              "address": 184,</v>
      </c>
      <c r="K22" t="str">
        <f t="shared" si="6"/>
        <v xml:space="preserve">              "comment": "Selects current in 2nd stage of 1st integrator",</v>
      </c>
      <c r="L22" t="str">
        <f t="shared" si="7"/>
        <v xml:space="preserve">              "name": "PADC_INT1_CURR",</v>
      </c>
      <c r="M22" t="str">
        <f t="shared" si="8"/>
        <v xml:space="preserve">              "offset": 4,</v>
      </c>
      <c r="N22" t="str">
        <f t="shared" si="9"/>
        <v xml:space="preserve">              "size": 3,</v>
      </c>
      <c r="O22" t="str">
        <f t="shared" si="3"/>
        <v xml:space="preserve">              "uid": 1,</v>
      </c>
      <c r="P22" t="str">
        <f t="shared" si="4"/>
        <v xml:space="preserve">            },</v>
      </c>
      <c r="Q22" t="str">
        <f t="shared" si="5"/>
        <v xml:space="preserve">            {
              "__class__": "MemoryVariableModel",
              "address": 184,
              "comment": "Selects current in 2nd stage of 1st integrator",
              "name": "PADC_INT1_CURR",
              "offset": 4,
              "size": 3,
              "uid": 1,
            },</v>
      </c>
      <c r="R22" s="161" t="s">
        <v>700</v>
      </c>
    </row>
    <row r="23" spans="1:18" ht="25.5">
      <c r="A23" s="155" t="s">
        <v>58</v>
      </c>
      <c r="B23" s="58" t="s">
        <v>169</v>
      </c>
      <c r="C23" s="157">
        <v>1</v>
      </c>
      <c r="D23" s="157">
        <v>3</v>
      </c>
      <c r="E23" s="157">
        <v>184</v>
      </c>
      <c r="F23" s="157" t="s">
        <v>68</v>
      </c>
      <c r="G23" s="58" t="s">
        <v>170</v>
      </c>
      <c r="H23" t="str">
        <f t="shared" si="0"/>
        <v xml:space="preserve">            {</v>
      </c>
      <c r="I23" t="str">
        <f t="shared" si="1"/>
        <v xml:space="preserve">              "__class__": "MemoryVariableModel",</v>
      </c>
      <c r="J23" t="str">
        <f t="shared" si="2"/>
        <v xml:space="preserve">              "address": 184,</v>
      </c>
      <c r="K23" t="str">
        <f t="shared" si="6"/>
        <v xml:space="preserve">              "comment": "Select the system (or external) chop clock for the PADC integrator",</v>
      </c>
      <c r="L23" t="str">
        <f t="shared" si="7"/>
        <v xml:space="preserve">              "name": "PADC_SEL_CHOP_INT_SYS",</v>
      </c>
      <c r="M23" t="str">
        <f t="shared" si="8"/>
        <v xml:space="preserve">              "offset": 3,</v>
      </c>
      <c r="N23" t="str">
        <f t="shared" si="9"/>
        <v xml:space="preserve">              "size": 1,</v>
      </c>
      <c r="O23" t="str">
        <f t="shared" si="3"/>
        <v xml:space="preserve">              "uid": 1,</v>
      </c>
      <c r="P23" t="str">
        <f t="shared" si="4"/>
        <v xml:space="preserve">            },</v>
      </c>
      <c r="Q23" t="str">
        <f t="shared" si="5"/>
        <v xml:space="preserve">            {
              "__class__": "MemoryVariableModel",
              "address": 184,
              "comment": "Select the system (or external) chop clock for the PADC integrator",
              "name": "PADC_SEL_CHOP_INT_SYS",
              "offset": 3,
              "size": 1,
              "uid": 1,
            },</v>
      </c>
      <c r="R23" s="161" t="s">
        <v>701</v>
      </c>
    </row>
    <row r="24" spans="1:18" ht="38.25">
      <c r="A24" s="155" t="s">
        <v>58</v>
      </c>
      <c r="B24" s="58" t="s">
        <v>171</v>
      </c>
      <c r="C24" s="157">
        <v>1</v>
      </c>
      <c r="D24" s="157">
        <v>2</v>
      </c>
      <c r="E24" s="157">
        <v>184</v>
      </c>
      <c r="F24" s="157" t="s">
        <v>68</v>
      </c>
      <c r="G24" s="58" t="s">
        <v>716</v>
      </c>
      <c r="H24" t="str">
        <f t="shared" si="0"/>
        <v xml:space="preserve">            {</v>
      </c>
      <c r="I24" t="str">
        <f t="shared" si="1"/>
        <v xml:space="preserve">              "__class__": "MemoryVariableModel",</v>
      </c>
      <c r="J24" t="str">
        <f t="shared" si="2"/>
        <v xml:space="preserve">              "address": 184,</v>
      </c>
      <c r="K24" t="str">
        <f t="shared" si="6"/>
        <v xml:space="preserve">              "comment": "Defines the clock signal that is used to sample the output of the 2nd integrator at the comparator",</v>
      </c>
      <c r="L24" t="str">
        <f t="shared" si="7"/>
        <v xml:space="preserve">              "name": "PADC_SEL_COMP_CLK",</v>
      </c>
      <c r="M24" t="str">
        <f t="shared" si="8"/>
        <v xml:space="preserve">              "offset": 2,</v>
      </c>
      <c r="N24" t="str">
        <f t="shared" si="9"/>
        <v xml:space="preserve">              "size": 1,</v>
      </c>
      <c r="O24" t="str">
        <f t="shared" si="3"/>
        <v xml:space="preserve">              "uid": 1,</v>
      </c>
      <c r="P24" t="str">
        <f t="shared" si="4"/>
        <v xml:space="preserve">            },</v>
      </c>
      <c r="Q24" t="str">
        <f t="shared" si="5"/>
        <v xml:space="preserve">            {
              "__class__": "MemoryVariableModel",
              "address": 184,
              "comment": "Defines the clock signal that is used to sample the output of the 2nd integrator at the comparator",
              "name": "PADC_SEL_COMP_CLK",
              "offset": 2,
              "size": 1,
              "uid": 1,
            },</v>
      </c>
      <c r="R24" s="161" t="s">
        <v>727</v>
      </c>
    </row>
    <row r="25" spans="1:18" ht="409.5">
      <c r="A25" s="155" t="s">
        <v>58</v>
      </c>
      <c r="B25" s="58" t="s">
        <v>173</v>
      </c>
      <c r="C25" s="157">
        <v>2</v>
      </c>
      <c r="D25" s="157">
        <v>0</v>
      </c>
      <c r="E25" s="157">
        <v>184</v>
      </c>
      <c r="F25" s="157" t="s">
        <v>68</v>
      </c>
      <c r="G25" s="58" t="s">
        <v>717</v>
      </c>
      <c r="H25" t="str">
        <f t="shared" si="0"/>
        <v xml:space="preserve">            {</v>
      </c>
      <c r="I25" t="str">
        <f t="shared" si="1"/>
        <v xml:space="preserve">              "__class__": "MemoryVariableModel",</v>
      </c>
      <c r="J25" t="str">
        <f t="shared" si="2"/>
        <v xml:space="preserve">              "address": 184,</v>
      </c>
      <c r="K25" t="str">
        <f t="shared" si="6"/>
        <v xml:space="preserve">              "comment": "DITHER[1:0]",</v>
      </c>
      <c r="L25" t="str">
        <f t="shared" si="7"/>
        <v xml:space="preserve">              "name": "PADC_DITHER",</v>
      </c>
      <c r="M25" t="str">
        <f t="shared" si="8"/>
        <v xml:space="preserve">              "offset": 0,</v>
      </c>
      <c r="N25" t="str">
        <f t="shared" si="9"/>
        <v xml:space="preserve">              "size": 2,</v>
      </c>
      <c r="O25" t="str">
        <f t="shared" si="3"/>
        <v xml:space="preserve">              "uid": 1,</v>
      </c>
      <c r="P25" t="str">
        <f t="shared" si="4"/>
        <v xml:space="preserve">            },</v>
      </c>
      <c r="Q25" t="str">
        <f t="shared" si="5"/>
        <v xml:space="preserve">            {
              "__class__": "MemoryVariableModel",
              "address": 184,
              "comment": "DITHER[1:0]",
              "name": "PADC_DITHER",
              "offset": 0,
              "size": 2,
              "uid": 1,
            },</v>
      </c>
      <c r="R25" s="160" t="s">
        <v>728</v>
      </c>
    </row>
    <row r="29" spans="1:18" ht="38.25">
      <c r="A29" s="146" t="s">
        <v>643</v>
      </c>
      <c r="B29" s="137" t="s">
        <v>58</v>
      </c>
      <c r="C29" s="138">
        <v>16</v>
      </c>
      <c r="D29" s="138">
        <v>0</v>
      </c>
      <c r="E29" s="138">
        <v>0</v>
      </c>
      <c r="F29" s="138" t="s">
        <v>58</v>
      </c>
      <c r="G29" s="152" t="s">
        <v>75</v>
      </c>
    </row>
    <row r="30" spans="1:18" ht="25.5">
      <c r="A30" s="155" t="s">
        <v>58</v>
      </c>
      <c r="B30" s="156" t="s">
        <v>540</v>
      </c>
      <c r="C30" s="157">
        <v>3</v>
      </c>
      <c r="D30" s="157">
        <v>13</v>
      </c>
      <c r="E30" s="157">
        <v>186</v>
      </c>
      <c r="F30" s="157" t="s">
        <v>76</v>
      </c>
      <c r="G30" s="58" t="s">
        <v>541</v>
      </c>
      <c r="H30" t="str">
        <f t="shared" si="0"/>
        <v xml:space="preserve">            {</v>
      </c>
      <c r="I30" t="str">
        <f t="shared" si="1"/>
        <v xml:space="preserve">              "__class__": "MemoryVariableModel",</v>
      </c>
      <c r="J30" t="str">
        <f t="shared" ref="J30:J46" si="10">"              "&amp;CHAR(34)&amp;"address"&amp;CHAR(34)&amp;": "&amp;E30&amp;","</f>
        <v xml:space="preserve">              "address": 186,</v>
      </c>
      <c r="K30" t="str">
        <f t="shared" ref="K30:K46" si="11">"              "&amp;CHAR(34)&amp;"comment"&amp;CHAR(34)&amp;": "&amp;CHAR(34)&amp;G30&amp;CHAR(34)&amp;","</f>
        <v xml:space="preserve">              "comment": "Trimming of the slope of the TRIG/INT output driver (push pull current)",</v>
      </c>
      <c r="L30" t="str">
        <f t="shared" ref="L30:L46" si="12">"              "&amp;CHAR(34)&amp;"name"&amp;CHAR(34)&amp;": "&amp;CHAR(34)&amp;B30&amp;CHAR(34)&amp;","</f>
        <v xml:space="preserve">              "name": "INTER_TRIM_PUSHPULL",</v>
      </c>
      <c r="M30" t="str">
        <f t="shared" ref="M30:M46" si="13">"              "&amp;CHAR(34)&amp;"offset"&amp;CHAR(34)&amp;": "&amp;D30&amp;","</f>
        <v xml:space="preserve">              "offset": 13,</v>
      </c>
      <c r="N30" t="str">
        <f t="shared" ref="N30:N46" si="14">"              "&amp;CHAR(34)&amp;"size"&amp;CHAR(34)&amp;": "&amp;C30&amp;","</f>
        <v xml:space="preserve">              "size": 3,</v>
      </c>
      <c r="O30" t="str">
        <f t="shared" si="3"/>
        <v xml:space="preserve">              "uid": 1,</v>
      </c>
      <c r="P30" t="str">
        <f t="shared" si="4"/>
        <v xml:space="preserve">            },</v>
      </c>
      <c r="Q30" t="str">
        <f t="shared" ref="Q30:Q46" si="15">_xlfn.TEXTJOIN(CHAR(10),TRUE,H30:P30)</f>
        <v xml:space="preserve">            {
              "__class__": "MemoryVariableModel",
              "address": 186,
              "comment": "Trimming of the slope of the TRIG/INT output driver (push pull current)",
              "name": "INTER_TRIM_PUSHPULL",
              "offset": 13,
              "size": 3,
              "uid": 1,
            },</v>
      </c>
      <c r="R30" s="161" t="s">
        <v>702</v>
      </c>
    </row>
    <row r="31" spans="1:18" ht="25.5">
      <c r="A31" s="155" t="s">
        <v>58</v>
      </c>
      <c r="B31" s="156" t="s">
        <v>542</v>
      </c>
      <c r="C31" s="157">
        <v>3</v>
      </c>
      <c r="D31" s="157">
        <v>10</v>
      </c>
      <c r="E31" s="157">
        <v>186</v>
      </c>
      <c r="F31" s="157" t="s">
        <v>76</v>
      </c>
      <c r="G31" s="58" t="s">
        <v>543</v>
      </c>
      <c r="H31" t="str">
        <f t="shared" si="0"/>
        <v xml:space="preserve">            {</v>
      </c>
      <c r="I31" t="str">
        <f t="shared" si="1"/>
        <v xml:space="preserve">              "__class__": "MemoryVariableModel",</v>
      </c>
      <c r="J31" t="str">
        <f t="shared" si="10"/>
        <v xml:space="preserve">              "address": 186,</v>
      </c>
      <c r="K31" t="str">
        <f t="shared" si="11"/>
        <v xml:space="preserve">              "comment": "Trimming of the slope of the TRIG/INT output driver (open drain current)",</v>
      </c>
      <c r="L31" t="str">
        <f t="shared" si="12"/>
        <v xml:space="preserve">              "name": "INTER_TRIM_SLOPE_OD",</v>
      </c>
      <c r="M31" t="str">
        <f t="shared" si="13"/>
        <v xml:space="preserve">              "offset": 10,</v>
      </c>
      <c r="N31" t="str">
        <f t="shared" si="14"/>
        <v xml:space="preserve">              "size": 3,</v>
      </c>
      <c r="O31" t="str">
        <f t="shared" si="3"/>
        <v xml:space="preserve">              "uid": 1,</v>
      </c>
      <c r="P31" t="str">
        <f t="shared" si="4"/>
        <v xml:space="preserve">            },</v>
      </c>
      <c r="Q31" t="str">
        <f t="shared" si="15"/>
        <v xml:space="preserve">            {
              "__class__": "MemoryVariableModel",
              "address": 186,
              "comment": "Trimming of the slope of the TRIG/INT output driver (open drain current)",
              "name": "INTER_TRIM_SLOPE_OD",
              "offset": 10,
              "size": 3,
              "uid": 1,
            },</v>
      </c>
      <c r="R31" s="161" t="s">
        <v>703</v>
      </c>
    </row>
    <row r="32" spans="1:18" ht="25.5">
      <c r="A32" s="155" t="s">
        <v>58</v>
      </c>
      <c r="B32" s="156" t="s">
        <v>640</v>
      </c>
      <c r="C32" s="157">
        <v>3</v>
      </c>
      <c r="D32" s="157">
        <v>7</v>
      </c>
      <c r="E32" s="157">
        <v>186</v>
      </c>
      <c r="F32" s="157" t="s">
        <v>76</v>
      </c>
      <c r="G32" s="58" t="s">
        <v>718</v>
      </c>
      <c r="H32" t="str">
        <f t="shared" si="0"/>
        <v xml:space="preserve">            {</v>
      </c>
      <c r="I32" t="str">
        <f t="shared" si="1"/>
        <v xml:space="preserve">              "__class__": "MemoryVariableModel",</v>
      </c>
      <c r="J32" t="str">
        <f t="shared" si="10"/>
        <v xml:space="preserve">              "address": 186,</v>
      </c>
      <c r="K32" t="str">
        <f t="shared" si="11"/>
        <v xml:space="preserve">              "comment": "Internal test bridge signal selection, used for self-test for the first pressure range",</v>
      </c>
      <c r="L32" t="str">
        <f t="shared" si="12"/>
        <v xml:space="preserve">              "name": "TEST_BRIDGE_RANGE1",</v>
      </c>
      <c r="M32" t="str">
        <f t="shared" si="13"/>
        <v xml:space="preserve">              "offset": 7,</v>
      </c>
      <c r="N32" t="str">
        <f t="shared" si="14"/>
        <v xml:space="preserve">              "size": 3,</v>
      </c>
      <c r="O32" t="str">
        <f t="shared" si="3"/>
        <v xml:space="preserve">              "uid": 1,</v>
      </c>
      <c r="P32" t="str">
        <f t="shared" si="4"/>
        <v xml:space="preserve">            },</v>
      </c>
      <c r="Q32" t="str">
        <f t="shared" si="15"/>
        <v xml:space="preserve">            {
              "__class__": "MemoryVariableModel",
              "address": 186,
              "comment": "Internal test bridge signal selection, used for self-test for the first pressure range",
              "name": "TEST_BRIDGE_RANGE1",
              "offset": 7,
              "size": 3,
              "uid": 1,
            },</v>
      </c>
      <c r="R32" s="161" t="s">
        <v>729</v>
      </c>
    </row>
    <row r="33" spans="1:18" ht="25.5">
      <c r="A33" s="155" t="s">
        <v>58</v>
      </c>
      <c r="B33" s="156" t="s">
        <v>639</v>
      </c>
      <c r="C33" s="157">
        <v>3</v>
      </c>
      <c r="D33" s="157">
        <v>4</v>
      </c>
      <c r="E33" s="157">
        <v>186</v>
      </c>
      <c r="F33" s="157" t="s">
        <v>76</v>
      </c>
      <c r="G33" s="58" t="s">
        <v>719</v>
      </c>
      <c r="H33" t="str">
        <f t="shared" si="0"/>
        <v xml:space="preserve">            {</v>
      </c>
      <c r="I33" t="str">
        <f>"              "&amp;CHAR(34)&amp;"__class__"&amp;CHAR(34)&amp;": "&amp;CHAR(34)&amp;"MemoryVariableModel"&amp;CHAR(34)&amp;","</f>
        <v xml:space="preserve">              "__class__": "MemoryVariableModel",</v>
      </c>
      <c r="J33" t="str">
        <f t="shared" si="10"/>
        <v xml:space="preserve">              "address": 186,</v>
      </c>
      <c r="K33" t="str">
        <f t="shared" si="11"/>
        <v xml:space="preserve">              "comment": "Selects the integrator capacitor of 1st integrator for the first pressure range",</v>
      </c>
      <c r="L33" t="str">
        <f t="shared" si="12"/>
        <v xml:space="preserve">              "name": "PADC_RANGE1_CAP_SEL",</v>
      </c>
      <c r="M33" t="str">
        <f t="shared" si="13"/>
        <v xml:space="preserve">              "offset": 4,</v>
      </c>
      <c r="N33" t="str">
        <f t="shared" si="14"/>
        <v xml:space="preserve">              "size": 3,</v>
      </c>
      <c r="O33" t="str">
        <f t="shared" si="3"/>
        <v xml:space="preserve">              "uid": 1,</v>
      </c>
      <c r="P33" t="str">
        <f t="shared" si="4"/>
        <v xml:space="preserve">            },</v>
      </c>
      <c r="Q33" t="str">
        <f t="shared" si="15"/>
        <v xml:space="preserve">            {
              "__class__": "MemoryVariableModel",
              "address": 186,
              "comment": "Selects the integrator capacitor of 1st integrator for the first pressure range",
              "name": "PADC_RANGE1_CAP_SEL",
              "offset": 4,
              "size": 3,
              "uid": 1,
            },</v>
      </c>
      <c r="R33" s="161" t="s">
        <v>730</v>
      </c>
    </row>
    <row r="34" spans="1:18" ht="25.5">
      <c r="A34" s="155" t="s">
        <v>58</v>
      </c>
      <c r="B34" s="156" t="s">
        <v>638</v>
      </c>
      <c r="C34" s="157">
        <v>2</v>
      </c>
      <c r="D34" s="157">
        <v>2</v>
      </c>
      <c r="E34" s="157">
        <v>186</v>
      </c>
      <c r="F34" s="157" t="s">
        <v>76</v>
      </c>
      <c r="G34" s="58" t="s">
        <v>720</v>
      </c>
      <c r="H34" t="str">
        <f t="shared" si="0"/>
        <v xml:space="preserve">            {</v>
      </c>
      <c r="I34" t="str">
        <f t="shared" si="1"/>
        <v xml:space="preserve">              "__class__": "MemoryVariableModel",</v>
      </c>
      <c r="J34" t="str">
        <f t="shared" si="10"/>
        <v xml:space="preserve">              "address": 186,</v>
      </c>
      <c r="K34" t="str">
        <f t="shared" si="11"/>
        <v xml:space="preserve">              "comment": "Defines the feedback current mirror for the first pressure range",</v>
      </c>
      <c r="L34" t="str">
        <f t="shared" si="12"/>
        <v xml:space="preserve">              "name": "PADC_RANGE1_SEL2",</v>
      </c>
      <c r="M34" t="str">
        <f t="shared" si="13"/>
        <v xml:space="preserve">              "offset": 2,</v>
      </c>
      <c r="N34" t="str">
        <f t="shared" si="14"/>
        <v xml:space="preserve">              "size": 2,</v>
      </c>
      <c r="O34" t="str">
        <f t="shared" si="3"/>
        <v xml:space="preserve">              "uid": 1,</v>
      </c>
      <c r="P34" t="str">
        <f t="shared" si="4"/>
        <v xml:space="preserve">            },</v>
      </c>
      <c r="Q34" t="str">
        <f t="shared" si="15"/>
        <v xml:space="preserve">            {
              "__class__": "MemoryVariableModel",
              "address": 186,
              "comment": "Defines the feedback current mirror for the first pressure range",
              "name": "PADC_RANGE1_SEL2",
              "offset": 2,
              "size": 2,
              "uid": 1,
            },</v>
      </c>
      <c r="R34" s="161" t="s">
        <v>731</v>
      </c>
    </row>
    <row r="35" spans="1:18" ht="25.5">
      <c r="A35" s="155" t="s">
        <v>58</v>
      </c>
      <c r="B35" s="156" t="s">
        <v>637</v>
      </c>
      <c r="C35" s="157">
        <v>2</v>
      </c>
      <c r="D35" s="157">
        <v>0</v>
      </c>
      <c r="E35" s="157">
        <v>186</v>
      </c>
      <c r="F35" s="157" t="s">
        <v>76</v>
      </c>
      <c r="G35" s="58" t="s">
        <v>721</v>
      </c>
      <c r="H35" t="str">
        <f t="shared" si="0"/>
        <v xml:space="preserve">            {</v>
      </c>
      <c r="I35" t="str">
        <f t="shared" si="1"/>
        <v xml:space="preserve">              "__class__": "MemoryVariableModel",</v>
      </c>
      <c r="J35" t="str">
        <f t="shared" si="10"/>
        <v xml:space="preserve">              "address": 186,</v>
      </c>
      <c r="K35" t="str">
        <f t="shared" si="11"/>
        <v xml:space="preserve">              "comment": "Defines the bridge supply current mirror for the first pressure range",</v>
      </c>
      <c r="L35" t="str">
        <f t="shared" si="12"/>
        <v xml:space="preserve">              "name": "PADC_RANGE1_SEL1",</v>
      </c>
      <c r="M35" t="str">
        <f t="shared" si="13"/>
        <v xml:space="preserve">              "offset": 0,</v>
      </c>
      <c r="N35" t="str">
        <f t="shared" si="14"/>
        <v xml:space="preserve">              "size": 2,</v>
      </c>
      <c r="O35" t="str">
        <f t="shared" si="3"/>
        <v xml:space="preserve">              "uid": 1,</v>
      </c>
      <c r="P35" t="str">
        <f t="shared" si="4"/>
        <v xml:space="preserve">            },</v>
      </c>
      <c r="Q35" t="str">
        <f t="shared" si="15"/>
        <v xml:space="preserve">            {
              "__class__": "MemoryVariableModel",
              "address": 186,
              "comment": "Defines the bridge supply current mirror for the first pressure range",
              "name": "PADC_RANGE1_SEL1",
              "offset": 0,
              "size": 2,
              "uid": 1,
            },</v>
      </c>
      <c r="R35" s="161" t="s">
        <v>732</v>
      </c>
    </row>
    <row r="37" spans="1:18" ht="25.5">
      <c r="A37" s="146" t="s">
        <v>587</v>
      </c>
      <c r="B37" s="137" t="s">
        <v>58</v>
      </c>
      <c r="C37" s="138">
        <v>16</v>
      </c>
      <c r="D37" s="138">
        <v>0</v>
      </c>
      <c r="E37" s="138">
        <v>0</v>
      </c>
      <c r="F37" s="138" t="s">
        <v>58</v>
      </c>
      <c r="G37" s="152" t="s">
        <v>534</v>
      </c>
    </row>
    <row r="38" spans="1:18" ht="25.5">
      <c r="A38" s="155" t="s">
        <v>58</v>
      </c>
      <c r="B38" s="156" t="s">
        <v>622</v>
      </c>
      <c r="C38" s="157">
        <v>1</v>
      </c>
      <c r="D38" s="157">
        <v>15</v>
      </c>
      <c r="E38" s="157">
        <v>188</v>
      </c>
      <c r="F38" s="157" t="s">
        <v>76</v>
      </c>
      <c r="G38" s="58" t="s">
        <v>583</v>
      </c>
      <c r="H38" t="str">
        <f t="shared" si="0"/>
        <v xml:space="preserve">            {</v>
      </c>
      <c r="I38" t="str">
        <f t="shared" si="1"/>
        <v xml:space="preserve">              "__class__": "MemoryVariableModel",</v>
      </c>
      <c r="J38" t="str">
        <f t="shared" si="10"/>
        <v xml:space="preserve">              "address": 188,</v>
      </c>
      <c r="K38" t="str">
        <f t="shared" si="11"/>
        <v xml:space="preserve">              "comment": "Reserved",</v>
      </c>
      <c r="L38" t="str">
        <f t="shared" si="12"/>
        <v xml:space="preserve">              "name": "TRIM5_RESERVED",</v>
      </c>
      <c r="M38" t="str">
        <f t="shared" si="13"/>
        <v xml:space="preserve">              "offset": 15,</v>
      </c>
      <c r="N38" t="str">
        <f t="shared" si="14"/>
        <v xml:space="preserve">              "size": 1,</v>
      </c>
      <c r="O38" t="str">
        <f t="shared" si="3"/>
        <v xml:space="preserve">              "uid": 1,</v>
      </c>
      <c r="P38" t="str">
        <f t="shared" si="4"/>
        <v xml:space="preserve">            },</v>
      </c>
      <c r="Q38" t="str">
        <f t="shared" si="15"/>
        <v xml:space="preserve">            {
              "__class__": "MemoryVariableModel",
              "address": 188,
              "comment": "Reserved",
              "name": "TRIM5_RESERVED",
              "offset": 15,
              "size": 1,
              "uid": 1,
            },</v>
      </c>
      <c r="R38" s="161" t="s">
        <v>704</v>
      </c>
    </row>
    <row r="39" spans="1:18" ht="25.5">
      <c r="A39" s="155" t="s">
        <v>58</v>
      </c>
      <c r="B39" s="156" t="s">
        <v>544</v>
      </c>
      <c r="C39" s="157">
        <v>1</v>
      </c>
      <c r="D39" s="157">
        <v>14</v>
      </c>
      <c r="E39" s="157">
        <v>188</v>
      </c>
      <c r="F39" s="157" t="s">
        <v>76</v>
      </c>
      <c r="G39" s="58" t="s">
        <v>545</v>
      </c>
      <c r="H39" t="str">
        <f t="shared" si="0"/>
        <v xml:space="preserve">            {</v>
      </c>
      <c r="I39" t="str">
        <f t="shared" si="1"/>
        <v xml:space="preserve">              "__class__": "MemoryVariableModel",</v>
      </c>
      <c r="J39" t="str">
        <f t="shared" si="10"/>
        <v xml:space="preserve">              "address": 188,</v>
      </c>
      <c r="K39" t="str">
        <f t="shared" si="11"/>
        <v xml:space="preserve">              "comment": "Disables the debouncer for the TRIG input schmit triggers.",</v>
      </c>
      <c r="L39" t="str">
        <f t="shared" si="12"/>
        <v xml:space="preserve">              "name": "TRIGGER_DEB_DIS",</v>
      </c>
      <c r="M39" t="str">
        <f t="shared" si="13"/>
        <v xml:space="preserve">              "offset": 14,</v>
      </c>
      <c r="N39" t="str">
        <f t="shared" si="14"/>
        <v xml:space="preserve">              "size": 1,</v>
      </c>
      <c r="O39" t="str">
        <f t="shared" si="3"/>
        <v xml:space="preserve">              "uid": 1,</v>
      </c>
      <c r="P39" t="str">
        <f t="shared" si="4"/>
        <v xml:space="preserve">            },</v>
      </c>
      <c r="Q39" t="str">
        <f t="shared" si="15"/>
        <v xml:space="preserve">            {
              "__class__": "MemoryVariableModel",
              "address": 188,
              "comment": "Disables the debouncer for the TRIG input schmit triggers.",
              "name": "TRIGGER_DEB_DIS",
              "offset": 14,
              "size": 1,
              "uid": 1,
            },</v>
      </c>
      <c r="R39" s="161" t="s">
        <v>705</v>
      </c>
    </row>
    <row r="40" spans="1:18" ht="25.5">
      <c r="A40" s="155" t="s">
        <v>58</v>
      </c>
      <c r="B40" s="156" t="s">
        <v>536</v>
      </c>
      <c r="C40" s="157">
        <v>1</v>
      </c>
      <c r="D40" s="157">
        <v>13</v>
      </c>
      <c r="E40" s="157">
        <v>188</v>
      </c>
      <c r="F40" s="157" t="s">
        <v>76</v>
      </c>
      <c r="G40" s="58" t="s">
        <v>539</v>
      </c>
      <c r="H40" t="str">
        <f t="shared" si="0"/>
        <v xml:space="preserve">            {</v>
      </c>
      <c r="I40" t="str">
        <f t="shared" si="1"/>
        <v xml:space="preserve">              "__class__": "MemoryVariableModel",</v>
      </c>
      <c r="J40" t="str">
        <f t="shared" si="10"/>
        <v xml:space="preserve">              "address": 188,</v>
      </c>
      <c r="K40" t="str">
        <f t="shared" si="11"/>
        <v xml:space="preserve">              "comment": "Disables FMPLUS mode for the TRIG/INT pin.",</v>
      </c>
      <c r="L40" t="str">
        <f t="shared" si="12"/>
        <v xml:space="preserve">              "name": "INTER_OPENDR_FMPLUS_DIS",</v>
      </c>
      <c r="M40" t="str">
        <f t="shared" si="13"/>
        <v xml:space="preserve">              "offset": 13,</v>
      </c>
      <c r="N40" t="str">
        <f t="shared" si="14"/>
        <v xml:space="preserve">              "size": 1,</v>
      </c>
      <c r="O40" t="str">
        <f t="shared" si="3"/>
        <v xml:space="preserve">              "uid": 1,</v>
      </c>
      <c r="P40" t="str">
        <f t="shared" si="4"/>
        <v xml:space="preserve">            },</v>
      </c>
      <c r="Q40" t="str">
        <f t="shared" si="15"/>
        <v xml:space="preserve">            {
              "__class__": "MemoryVariableModel",
              "address": 188,
              "comment": "Disables FMPLUS mode for the TRIG/INT pin.",
              "name": "INTER_OPENDR_FMPLUS_DIS",
              "offset": 13,
              "size": 1,
              "uid": 1,
            },</v>
      </c>
      <c r="R40" s="161" t="s">
        <v>706</v>
      </c>
    </row>
    <row r="41" spans="1:18" ht="25.5">
      <c r="A41" s="155" t="s">
        <v>58</v>
      </c>
      <c r="B41" s="156" t="s">
        <v>535</v>
      </c>
      <c r="C41" s="157">
        <v>3</v>
      </c>
      <c r="D41" s="157">
        <v>10</v>
      </c>
      <c r="E41" s="157">
        <v>188</v>
      </c>
      <c r="F41" s="157" t="s">
        <v>76</v>
      </c>
      <c r="G41" s="58" t="s">
        <v>538</v>
      </c>
      <c r="H41" t="str">
        <f t="shared" si="0"/>
        <v xml:space="preserve">            {</v>
      </c>
      <c r="I41" t="str">
        <f t="shared" si="1"/>
        <v xml:space="preserve">              "__class__": "MemoryVariableModel",</v>
      </c>
      <c r="J41" t="str">
        <f t="shared" si="10"/>
        <v xml:space="preserve">              "address": 188,</v>
      </c>
      <c r="K41" t="str">
        <f t="shared" si="11"/>
        <v xml:space="preserve">              "comment": "Trimming of the slope of the SPI output driver (push pull current)",</v>
      </c>
      <c r="L41" t="str">
        <f t="shared" si="12"/>
        <v xml:space="preserve">              "name": "TRIM_SPI_SLOPE",</v>
      </c>
      <c r="M41" t="str">
        <f t="shared" si="13"/>
        <v xml:space="preserve">              "offset": 10,</v>
      </c>
      <c r="N41" t="str">
        <f t="shared" si="14"/>
        <v xml:space="preserve">              "size": 3,</v>
      </c>
      <c r="O41" t="str">
        <f t="shared" si="3"/>
        <v xml:space="preserve">              "uid": 1,</v>
      </c>
      <c r="P41" t="str">
        <f t="shared" si="4"/>
        <v xml:space="preserve">            },</v>
      </c>
      <c r="Q41" t="str">
        <f t="shared" si="15"/>
        <v xml:space="preserve">            {
              "__class__": "MemoryVariableModel",
              "address": 188,
              "comment": "Trimming of the slope of the SPI output driver (push pull current)",
              "name": "TRIM_SPI_SLOPE",
              "offset": 10,
              "size": 3,
              "uid": 1,
            },</v>
      </c>
      <c r="R41" s="161" t="s">
        <v>707</v>
      </c>
    </row>
    <row r="42" spans="1:18" ht="25.5">
      <c r="A42" s="155" t="s">
        <v>58</v>
      </c>
      <c r="B42" s="156" t="s">
        <v>617</v>
      </c>
      <c r="C42" s="157">
        <v>4</v>
      </c>
      <c r="D42" s="157">
        <v>6</v>
      </c>
      <c r="E42" s="157">
        <v>188</v>
      </c>
      <c r="F42" s="157" t="s">
        <v>76</v>
      </c>
      <c r="G42" s="58" t="s">
        <v>618</v>
      </c>
      <c r="H42" t="str">
        <f t="shared" si="0"/>
        <v xml:space="preserve">            {</v>
      </c>
      <c r="I42" t="str">
        <f t="shared" si="1"/>
        <v xml:space="preserve">              "__class__": "MemoryVariableModel",</v>
      </c>
      <c r="J42" t="str">
        <f t="shared" si="10"/>
        <v xml:space="preserve">              "address": 188,</v>
      </c>
      <c r="K42" t="str">
        <f t="shared" si="11"/>
        <v xml:space="preserve">              "comment": "Trimming of the filtering of the Schmit Triggers for I2C,",</v>
      </c>
      <c r="L42" t="str">
        <f t="shared" si="12"/>
        <v xml:space="preserve">              "name": "I2C_ST_FILT",</v>
      </c>
      <c r="M42" t="str">
        <f t="shared" si="13"/>
        <v xml:space="preserve">              "offset": 6,</v>
      </c>
      <c r="N42" t="str">
        <f t="shared" si="14"/>
        <v xml:space="preserve">              "size": 4,</v>
      </c>
      <c r="O42" t="str">
        <f t="shared" si="3"/>
        <v xml:space="preserve">              "uid": 1,</v>
      </c>
      <c r="P42" t="str">
        <f t="shared" si="4"/>
        <v xml:space="preserve">            },</v>
      </c>
      <c r="Q42" t="str">
        <f t="shared" si="15"/>
        <v xml:space="preserve">            {
              "__class__": "MemoryVariableModel",
              "address": 188,
              "comment": "Trimming of the filtering of the Schmit Triggers for I2C,",
              "name": "I2C_ST_FILT",
              "offset": 6,
              "size": 4,
              "uid": 1,
            },</v>
      </c>
      <c r="R42" s="161" t="s">
        <v>708</v>
      </c>
    </row>
    <row r="43" spans="1:18" ht="25.5">
      <c r="A43" s="155" t="s">
        <v>58</v>
      </c>
      <c r="B43" s="156" t="s">
        <v>532</v>
      </c>
      <c r="C43" s="157">
        <v>1</v>
      </c>
      <c r="D43" s="157">
        <v>5</v>
      </c>
      <c r="E43" s="157">
        <v>188</v>
      </c>
      <c r="F43" s="157" t="s">
        <v>76</v>
      </c>
      <c r="G43" s="58" t="s">
        <v>533</v>
      </c>
      <c r="H43" t="str">
        <f t="shared" si="0"/>
        <v xml:space="preserve">            {</v>
      </c>
      <c r="I43" t="str">
        <f t="shared" si="1"/>
        <v xml:space="preserve">              "__class__": "MemoryVariableModel",</v>
      </c>
      <c r="J43" t="str">
        <f t="shared" si="10"/>
        <v xml:space="preserve">              "address": 188,</v>
      </c>
      <c r="K43" t="str">
        <f t="shared" si="11"/>
        <v xml:space="preserve">              "comment": "Disables I2C FMPLUS mode.",</v>
      </c>
      <c r="L43" t="str">
        <f t="shared" si="12"/>
        <v xml:space="preserve">              "name": "I2C_FMPLUS_DISABLE",</v>
      </c>
      <c r="M43" t="str">
        <f t="shared" si="13"/>
        <v xml:space="preserve">              "offset": 5,</v>
      </c>
      <c r="N43" t="str">
        <f t="shared" si="14"/>
        <v xml:space="preserve">              "size": 1,</v>
      </c>
      <c r="O43" t="str">
        <f t="shared" si="3"/>
        <v xml:space="preserve">              "uid": 1,</v>
      </c>
      <c r="P43" t="str">
        <f t="shared" si="4"/>
        <v xml:space="preserve">            },</v>
      </c>
      <c r="Q43" t="str">
        <f t="shared" si="15"/>
        <v xml:space="preserve">            {
              "__class__": "MemoryVariableModel",
              "address": 188,
              "comment": "Disables I2C FMPLUS mode.",
              "name": "I2C_FMPLUS_DISABLE",
              "offset": 5,
              "size": 1,
              "uid": 1,
            },</v>
      </c>
      <c r="R43" s="161" t="s">
        <v>709</v>
      </c>
    </row>
    <row r="44" spans="1:18" ht="25.5">
      <c r="A44" s="155" t="s">
        <v>58</v>
      </c>
      <c r="B44" s="156" t="s">
        <v>530</v>
      </c>
      <c r="C44" s="157">
        <v>1</v>
      </c>
      <c r="D44" s="157">
        <v>4</v>
      </c>
      <c r="E44" s="157">
        <v>188</v>
      </c>
      <c r="F44" s="157" t="s">
        <v>76</v>
      </c>
      <c r="G44" s="58" t="s">
        <v>531</v>
      </c>
      <c r="H44" t="str">
        <f t="shared" si="0"/>
        <v xml:space="preserve">            {</v>
      </c>
      <c r="I44" t="str">
        <f t="shared" si="1"/>
        <v xml:space="preserve">              "__class__": "MemoryVariableModel",</v>
      </c>
      <c r="J44" t="str">
        <f t="shared" si="10"/>
        <v xml:space="preserve">              "address": 188,</v>
      </c>
      <c r="K44" t="str">
        <f t="shared" si="11"/>
        <v xml:space="preserve">              "comment": "Disables the debouncers for the I2C input schmit triggers.",</v>
      </c>
      <c r="L44" t="str">
        <f t="shared" si="12"/>
        <v xml:space="preserve">              "name": "I2C_DEBOUNCE_DISABLE",</v>
      </c>
      <c r="M44" t="str">
        <f t="shared" si="13"/>
        <v xml:space="preserve">              "offset": 4,</v>
      </c>
      <c r="N44" t="str">
        <f t="shared" si="14"/>
        <v xml:space="preserve">              "size": 1,</v>
      </c>
      <c r="O44" t="str">
        <f t="shared" si="3"/>
        <v xml:space="preserve">              "uid": 1,</v>
      </c>
      <c r="P44" t="str">
        <f t="shared" si="4"/>
        <v xml:space="preserve">            },</v>
      </c>
      <c r="Q44" t="str">
        <f t="shared" si="15"/>
        <v xml:space="preserve">            {
              "__class__": "MemoryVariableModel",
              "address": 188,
              "comment": "Disables the debouncers for the I2C input schmit triggers.",
              "name": "I2C_DEBOUNCE_DISABLE",
              "offset": 4,
              "size": 1,
              "uid": 1,
            },</v>
      </c>
      <c r="R44" s="161" t="s">
        <v>710</v>
      </c>
    </row>
    <row r="45" spans="1:18" ht="25.5">
      <c r="A45" s="155" t="s">
        <v>58</v>
      </c>
      <c r="B45" s="156" t="s">
        <v>529</v>
      </c>
      <c r="C45" s="157">
        <v>3</v>
      </c>
      <c r="D45" s="157">
        <v>1</v>
      </c>
      <c r="E45" s="157">
        <v>188</v>
      </c>
      <c r="F45" s="157" t="s">
        <v>76</v>
      </c>
      <c r="G45" s="58" t="s">
        <v>537</v>
      </c>
      <c r="H45" t="str">
        <f t="shared" si="0"/>
        <v xml:space="preserve">            {</v>
      </c>
      <c r="I45" t="str">
        <f t="shared" si="1"/>
        <v xml:space="preserve">              "__class__": "MemoryVariableModel",</v>
      </c>
      <c r="J45" t="str">
        <f t="shared" si="10"/>
        <v xml:space="preserve">              "address": 188,</v>
      </c>
      <c r="K45" t="str">
        <f t="shared" si="11"/>
        <v xml:space="preserve">              "comment": "Trimming of the slope of the I2C output driver (open drain current)",</v>
      </c>
      <c r="L45" t="str">
        <f t="shared" si="12"/>
        <v xml:space="preserve">              "name": "TRIM_I2C_SLOPE",</v>
      </c>
      <c r="M45" t="str">
        <f t="shared" si="13"/>
        <v xml:space="preserve">              "offset": 1,</v>
      </c>
      <c r="N45" t="str">
        <f t="shared" si="14"/>
        <v xml:space="preserve">              "size": 3,</v>
      </c>
      <c r="O45" t="str">
        <f t="shared" si="3"/>
        <v xml:space="preserve">              "uid": 1,</v>
      </c>
      <c r="P45" t="str">
        <f t="shared" si="4"/>
        <v xml:space="preserve">            },</v>
      </c>
      <c r="Q45" t="str">
        <f t="shared" si="15"/>
        <v xml:space="preserve">            {
              "__class__": "MemoryVariableModel",
              "address": 188,
              "comment": "Trimming of the slope of the I2C output driver (open drain current)",
              "name": "TRIM_I2C_SLOPE",
              "offset": 1,
              "size": 3,
              "uid": 1,
            },</v>
      </c>
      <c r="R45" s="161" t="s">
        <v>711</v>
      </c>
    </row>
    <row r="46" spans="1:18" ht="409.5">
      <c r="A46" s="155" t="s">
        <v>58</v>
      </c>
      <c r="B46" s="156" t="s">
        <v>528</v>
      </c>
      <c r="C46" s="157">
        <v>1</v>
      </c>
      <c r="D46" s="157">
        <v>0</v>
      </c>
      <c r="E46" s="157">
        <v>188</v>
      </c>
      <c r="F46" s="157" t="s">
        <v>76</v>
      </c>
      <c r="G46" s="58" t="s">
        <v>722</v>
      </c>
      <c r="H46" t="str">
        <f t="shared" si="0"/>
        <v xml:space="preserve">            {</v>
      </c>
      <c r="I46" t="str">
        <f t="shared" si="1"/>
        <v xml:space="preserve">              "__class__": "MemoryVariableModel",</v>
      </c>
      <c r="J46" t="str">
        <f t="shared" si="10"/>
        <v xml:space="preserve">              "address": 188,</v>
      </c>
      <c r="K46" t="str">
        <f t="shared" si="11"/>
        <v xml:space="preserve">              "comment": "Puts the I2C drivers / inputs in 5V mode.",</v>
      </c>
      <c r="L46" t="str">
        <f t="shared" si="12"/>
        <v xml:space="preserve">              "name": "ENABLE_I2C_5VMODE",</v>
      </c>
      <c r="M46" t="str">
        <f t="shared" si="13"/>
        <v xml:space="preserve">              "offset": 0,</v>
      </c>
      <c r="N46" t="str">
        <f t="shared" si="14"/>
        <v xml:space="preserve">              "size": 1,</v>
      </c>
      <c r="O46" t="str">
        <f t="shared" si="3"/>
        <v xml:space="preserve">              "uid": 1,</v>
      </c>
      <c r="P46" t="str">
        <f t="shared" si="4"/>
        <v xml:space="preserve">            },</v>
      </c>
      <c r="Q46" t="str">
        <f t="shared" si="15"/>
        <v xml:space="preserve">            {
              "__class__": "MemoryVariableModel",
              "address": 188,
              "comment": "Puts the I2C drivers / inputs in 5V mode.",
              "name": "ENABLE_I2C_5VMODE",
              "offset": 0,
              "size": 1,
              "uid": 1,
            },</v>
      </c>
      <c r="R46" s="160" t="s">
        <v>733</v>
      </c>
    </row>
  </sheetData>
  <dataValidations disablePrompts="1" count="1">
    <dataValidation type="list" allowBlank="1" showInputMessage="1" showErrorMessage="1" sqref="F2:F10 F12:F16 F18:F25 F30:F35 F38:F46" xr:uid="{648D64ED-B416-4C1A-B65F-21F0CFD727A6}">
      <formula1>"FIXED,ID,CRC,TRIMMED"</formula1>
      <formula2>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A1FCC-89D9-49C4-90AC-3F500FAC491E}">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V60"/>
  <sheetViews>
    <sheetView topLeftCell="A19" zoomScaleNormal="100" workbookViewId="0">
      <selection activeCell="I76" sqref="I76"/>
    </sheetView>
  </sheetViews>
  <sheetFormatPr defaultColWidth="8.85546875" defaultRowHeight="12.75"/>
  <cols>
    <col min="1" max="2" width="14.85546875" style="2" customWidth="1"/>
    <col min="3" max="3" width="10.140625" style="2" customWidth="1"/>
    <col min="4" max="4" width="9.85546875" style="2" customWidth="1"/>
    <col min="5" max="5" width="16.42578125" style="103" bestFit="1" customWidth="1"/>
    <col min="6" max="6" width="13.5703125" style="2" customWidth="1"/>
    <col min="7" max="9" width="9.5703125" style="2" bestFit="1" customWidth="1"/>
    <col min="10" max="10" width="10.140625" style="2" bestFit="1" customWidth="1"/>
    <col min="11" max="11" width="9.5703125" style="2" bestFit="1" customWidth="1"/>
    <col min="12" max="12" width="9.85546875" style="2" bestFit="1" customWidth="1"/>
    <col min="13" max="13" width="8.85546875" style="2"/>
    <col min="14" max="14" width="12.140625" style="2" bestFit="1" customWidth="1"/>
    <col min="15" max="15" width="20.5703125" style="103" bestFit="1" customWidth="1"/>
    <col min="16" max="18" width="8.85546875" style="2"/>
    <col min="19" max="19" width="13.140625" style="2" customWidth="1"/>
    <col min="20" max="20" width="8.85546875" style="2"/>
    <col min="21" max="21" width="10.140625" style="2" customWidth="1"/>
    <col min="22" max="22" width="29.5703125" style="103" customWidth="1"/>
    <col min="23" max="16384" width="8.85546875" style="2"/>
  </cols>
  <sheetData>
    <row r="1" spans="1:22">
      <c r="F1" s="2" t="s">
        <v>371</v>
      </c>
      <c r="G1" s="91" t="s">
        <v>372</v>
      </c>
      <c r="H1" s="91" t="s">
        <v>373</v>
      </c>
      <c r="I1" s="91" t="s">
        <v>374</v>
      </c>
      <c r="J1" s="91" t="s">
        <v>375</v>
      </c>
      <c r="K1" s="91" t="s">
        <v>376</v>
      </c>
      <c r="L1" s="91" t="s">
        <v>377</v>
      </c>
      <c r="M1" s="91" t="s">
        <v>378</v>
      </c>
      <c r="Q1" s="122" t="s">
        <v>432</v>
      </c>
      <c r="R1" s="123" t="b">
        <v>1</v>
      </c>
    </row>
    <row r="2" spans="1:22">
      <c r="F2" s="2" t="s">
        <v>379</v>
      </c>
      <c r="G2" s="91" t="s">
        <v>380</v>
      </c>
      <c r="H2" s="91" t="s">
        <v>381</v>
      </c>
      <c r="I2" s="91" t="s">
        <v>382</v>
      </c>
      <c r="J2" s="91" t="s">
        <v>383</v>
      </c>
      <c r="K2" s="91" t="s">
        <v>384</v>
      </c>
      <c r="L2" s="91" t="s">
        <v>385</v>
      </c>
      <c r="M2" s="91" t="s">
        <v>386</v>
      </c>
      <c r="P2" s="181" t="s">
        <v>415</v>
      </c>
      <c r="Q2" s="181"/>
      <c r="R2" s="181"/>
      <c r="S2" s="181"/>
      <c r="T2" s="181"/>
      <c r="U2" s="181"/>
      <c r="V2" s="181"/>
    </row>
    <row r="3" spans="1:22">
      <c r="A3" s="92" t="s">
        <v>387</v>
      </c>
      <c r="B3" s="92" t="s">
        <v>388</v>
      </c>
      <c r="C3" s="92" t="s">
        <v>389</v>
      </c>
      <c r="D3" s="92" t="s">
        <v>390</v>
      </c>
      <c r="E3" s="102" t="s">
        <v>391</v>
      </c>
      <c r="F3" s="93" t="s">
        <v>392</v>
      </c>
      <c r="G3" s="92" t="s">
        <v>393</v>
      </c>
      <c r="H3" s="92" t="s">
        <v>394</v>
      </c>
      <c r="I3" s="92" t="s">
        <v>395</v>
      </c>
      <c r="J3" s="92" t="s">
        <v>396</v>
      </c>
      <c r="K3" s="92" t="s">
        <v>397</v>
      </c>
      <c r="L3" s="92" t="s">
        <v>398</v>
      </c>
      <c r="M3" s="92" t="s">
        <v>399</v>
      </c>
      <c r="N3" s="92" t="s">
        <v>400</v>
      </c>
      <c r="O3" s="119" t="s">
        <v>401</v>
      </c>
      <c r="P3" s="104" t="s">
        <v>408</v>
      </c>
      <c r="Q3" s="108" t="s">
        <v>409</v>
      </c>
      <c r="R3" s="105" t="s">
        <v>252</v>
      </c>
      <c r="S3" s="110" t="s">
        <v>410</v>
      </c>
      <c r="T3" s="112" t="s">
        <v>411</v>
      </c>
      <c r="U3" s="114" t="s">
        <v>412</v>
      </c>
      <c r="V3" s="102" t="s">
        <v>413</v>
      </c>
    </row>
    <row r="4" spans="1:22" ht="15">
      <c r="A4"/>
      <c r="B4"/>
      <c r="C4"/>
      <c r="D4"/>
      <c r="E4" s="117"/>
      <c r="F4"/>
      <c r="G4"/>
      <c r="H4"/>
      <c r="I4"/>
      <c r="J4"/>
      <c r="K4"/>
      <c r="L4"/>
      <c r="M4"/>
      <c r="N4"/>
      <c r="P4" s="104"/>
      <c r="Q4" s="108"/>
      <c r="R4" s="105"/>
      <c r="S4" s="110"/>
      <c r="T4" s="112"/>
      <c r="U4" s="114"/>
      <c r="V4" s="116" t="s">
        <v>429</v>
      </c>
    </row>
    <row r="5" spans="1:22" ht="15">
      <c r="A5"/>
      <c r="B5"/>
      <c r="C5"/>
      <c r="D5"/>
      <c r="E5" s="118" t="s">
        <v>424</v>
      </c>
      <c r="F5"/>
      <c r="G5"/>
      <c r="H5"/>
      <c r="I5"/>
      <c r="J5"/>
      <c r="K5"/>
      <c r="L5"/>
      <c r="M5"/>
      <c r="N5"/>
      <c r="O5" s="118" t="s">
        <v>426</v>
      </c>
      <c r="P5" s="104" t="s">
        <v>414</v>
      </c>
      <c r="Q5" s="109" t="s">
        <v>417</v>
      </c>
      <c r="R5" s="106" t="s">
        <v>419</v>
      </c>
      <c r="S5" s="111" t="s">
        <v>416</v>
      </c>
      <c r="T5" s="113" t="str">
        <f>DEC2HEX(IF(IntelHexUseAbsAddr,QUOTIENT(StartAddress,2^16),0),4)</f>
        <v>0000</v>
      </c>
      <c r="U5" s="115" t="str">
        <f>DEC2HEX(MOD(2^8-(HEX2DEC(Q5)+QUOTIENT(HEX2DEC(R5),2^8)+HEX2DEC(R5)+HEX2DEC(S5)+QUOTIENT(HEX2DEC(T5),2^24)+QUOTIENT(HEX2DEC(T5),2^16)+QUOTIENT(HEX2DEC(T5),2^8)+HEX2DEC(T5)),2^8),2)</f>
        <v>FA</v>
      </c>
      <c r="V5" s="103" t="str">
        <f>CONCATENATE(P5,Q5,R5,S5,T5,U5)</f>
        <v>:020000040000FA</v>
      </c>
    </row>
    <row r="6" spans="1:22">
      <c r="A6" s="2">
        <v>4096</v>
      </c>
      <c r="B6" s="2" t="str">
        <f>"0x" &amp; DEC2HEX(Table1[[#This Row],[Address (dec)]],4)</f>
        <v>0x1000</v>
      </c>
      <c r="C6" s="2" t="str">
        <f ca="1">DEC2HEX(SUMIFS(MemoryView!$D$4:$D$103,MemoryView!$A$4:$A$103,"0x"&amp;DEC2HEX(Output!$A6+2,4)),4)</f>
        <v>4A08</v>
      </c>
      <c r="D6" s="2" t="str">
        <f ca="1">DEC2HEX(SUMIFS(MemoryView!$D$4:$D$103,MemoryView!$A$4:$A$103,"0x"&amp;DEC2HEX(Output!$A6,4)),4)</f>
        <v>0123</v>
      </c>
      <c r="E6" s="103" t="str">
        <f ca="1">LOWER(CONCATENATE(C6,D6))</f>
        <v>4a080123</v>
      </c>
      <c r="F6" s="2">
        <v>0</v>
      </c>
      <c r="G6" s="2">
        <f ca="1">MOD(LEN(SUBSTITUTE( SUBSTITUTE( SUBSTITUTE( SUBSTITUTE( SUBSTITUTE( SUBSTITUTE( SUBSTITUTE( SUBSTITUTE(
    DEC2HEX(_xlfn.BITAND(QUOTIENT(Table1[[#This Row],[Address (dec)]],4),HEX2DEC(G$1)),5)&amp;DEC2HEX(_xlfn.BITAND(HEX2DEC(Table1[[#This Row],[32b hex]]),HEX2DEC(G$2)),8),
"0", ""), "3", ""), "5", ""), "6", ""), "9", ""), "A", ""), "C", ""), "F", "")),2)</f>
        <v>0</v>
      </c>
      <c r="H6" s="2">
        <f ca="1">MOD(LEN(SUBSTITUTE( SUBSTITUTE( SUBSTITUTE( SUBSTITUTE( SUBSTITUTE( SUBSTITUTE( SUBSTITUTE( SUBSTITUTE(
    DEC2HEX(_xlfn.BITAND(QUOTIENT(Table1[[#This Row],[Address (dec)]],4),HEX2DEC(H$1)),5)&amp;DEC2HEX(_xlfn.BITAND(HEX2DEC(Table1[[#This Row],[32b hex]]),HEX2DEC(H$2)),8),
"0", ""), "3", ""), "5", ""), "6", ""), "9", ""), "A", ""), "C", ""), "F", "")),2)</f>
        <v>1</v>
      </c>
      <c r="I6" s="2">
        <f ca="1">MOD(LEN(SUBSTITUTE( SUBSTITUTE( SUBSTITUTE( SUBSTITUTE( SUBSTITUTE( SUBSTITUTE( SUBSTITUTE( SUBSTITUTE(
    DEC2HEX(_xlfn.BITAND(QUOTIENT(Table1[[#This Row],[Address (dec)]],4),HEX2DEC(I$1)),5)&amp;DEC2HEX(_xlfn.BITAND(HEX2DEC(Table1[[#This Row],[32b hex]]),HEX2DEC(I$2)),8),
"0", ""), "3", ""), "5", ""), "6", ""), "9", ""), "A", ""), "C", ""), "F", "")),2)</f>
        <v>1</v>
      </c>
      <c r="J6" s="2">
        <f ca="1">MOD(LEN(SUBSTITUTE( SUBSTITUTE( SUBSTITUTE( SUBSTITUTE( SUBSTITUTE( SUBSTITUTE( SUBSTITUTE( SUBSTITUTE(
    DEC2HEX(_xlfn.BITAND(QUOTIENT(Table1[[#This Row],[Address (dec)]],4),HEX2DEC(J$1)),5)&amp;DEC2HEX(_xlfn.BITAND(HEX2DEC(Table1[[#This Row],[32b hex]]),HEX2DEC(J$2)),8),
"0", ""), "3", ""), "5", ""), "6", ""), "9", ""), "A", ""), "C", ""), "F", "")),2)</f>
        <v>1</v>
      </c>
      <c r="K6" s="2">
        <f ca="1">MOD(LEN(SUBSTITUTE( SUBSTITUTE( SUBSTITUTE( SUBSTITUTE( SUBSTITUTE( SUBSTITUTE( SUBSTITUTE( SUBSTITUTE(
    DEC2HEX(_xlfn.BITAND(QUOTIENT(Table1[[#This Row],[Address (dec)]],4),HEX2DEC(K$1)),5)&amp;DEC2HEX(_xlfn.BITAND(HEX2DEC(Table1[[#This Row],[32b hex]]),HEX2DEC(K$2)),8),
"0", ""), "3", ""), "5", ""), "6", ""), "9", ""), "A", ""), "C", ""), "F", "")),2)</f>
        <v>1</v>
      </c>
      <c r="L6" s="2">
        <f ca="1">MOD(LEN(SUBSTITUTE( SUBSTITUTE( SUBSTITUTE( SUBSTITUTE( SUBSTITUTE( SUBSTITUTE( SUBSTITUTE( SUBSTITUTE(
    DEC2HEX(_xlfn.BITAND(QUOTIENT(Table1[[#This Row],[Address (dec)]],4),HEX2DEC(L$1)),5)&amp;DEC2HEX(_xlfn.BITAND(HEX2DEC(Table1[[#This Row],[32b hex]]),HEX2DEC(L$2)),8),
"0", ""), "3", ""), "5", ""), "6", ""), "9", ""), "A", ""), "C", ""), "F", "")),2)</f>
        <v>1</v>
      </c>
      <c r="M6" s="2">
        <f ca="1">MOD(LEN(SUBSTITUTE( SUBSTITUTE( SUBSTITUTE( SUBSTITUTE( SUBSTITUTE( SUBSTITUTE( SUBSTITUTE( SUBSTITUTE(
    DEC2HEX(_xlfn.BITAND(QUOTIENT(Table1[[#This Row],[Address (dec)]],4),HEX2DEC(M$1)),5)&amp;DEC2HEX(_xlfn.BITAND(HEX2DEC(Table1[[#This Row],[32b hex]]),HEX2DEC(M$2)),8),
"0", ""), "3", ""), "5", ""), "6", ""), "9", ""), "A", ""), "C", ""), "F", "")),2)</f>
        <v>0</v>
      </c>
      <c r="N6" s="94" t="str">
        <f ca="1">BIN2HEX(Table1[[#This Row],[ECC'[6']]]&amp;Table1[[#This Row],[ECC'[5']]]&amp;Table1[[#This Row],[ECC'[4']]]&amp;Table1[[#This Row],[ECC'[3']]]&amp;Table1[[#This Row],[ECC'[2']]]&amp;Table1[[#This Row],[ECC'[1']]]&amp;Table1[[#This Row],[ECC'[0']]],2)</f>
        <v>3E</v>
      </c>
      <c r="O6" s="103" t="str">
        <f ca="1">LOWER(Table1[[#This Row],[ECC (hex)]]&amp;Table1[[#This Row],[32b hex]])</f>
        <v>3e4a080123</v>
      </c>
      <c r="P6" s="104" t="s">
        <v>414</v>
      </c>
      <c r="Q6" s="109" t="s">
        <v>416</v>
      </c>
      <c r="R6" s="107" t="str">
        <f>DEC2HEX(IF(IntelHexUseAbsAddr,MOD(Table1[[#This Row],[Address (dec)]],2^16),Table1[[#This Row],[DW_ADDRESS]]*4),4)</f>
        <v>1000</v>
      </c>
      <c r="S6" s="111" t="s">
        <v>418</v>
      </c>
      <c r="T6" s="113" t="str">
        <f ca="1">UPPER(MID(Table1[[#This Row],[32b hex]],7,2)&amp;MID(Table1[[#This Row],[32b hex]],5,2)&amp;MID(Table1[[#This Row],[32b hex]],3,2)&amp;MID(Table1[[#This Row],[32b hex]],1,2))</f>
        <v>2301084A</v>
      </c>
      <c r="U6" s="115" t="str">
        <f t="shared" ref="U6:U57" ca="1" si="0">DEC2HEX(MOD(2^8-(HEX2DEC(Q6)+QUOTIENT(HEX2DEC(R6),2^8)+HEX2DEC(R6)+HEX2DEC(S6)+QUOTIENT(HEX2DEC(T6),2^24)+QUOTIENT(HEX2DEC(T6),2^16)+QUOTIENT(HEX2DEC(T6),2^8)+HEX2DEC(T6)),2^8),2)</f>
        <v>76</v>
      </c>
      <c r="V6" s="103" t="str">
        <f t="shared" ref="V6:V57" ca="1" si="1">CONCATENATE(P6,Q6,R6,S6,T6,U6)</f>
        <v>:041000002301084A76</v>
      </c>
    </row>
    <row r="7" spans="1:22">
      <c r="A7" s="2">
        <v>4100</v>
      </c>
      <c r="B7" s="2" t="str">
        <f>"0x" &amp; DEC2HEX(Table1[[#This Row],[Address (dec)]],4)</f>
        <v>0x1004</v>
      </c>
      <c r="C7" s="2" t="str">
        <f ca="1">DEC2HEX(SUMIFS(MemoryView!$D$4:$D$103,MemoryView!$A$4:$A$103,"0x"&amp;DEC2HEX(Output!$A7+2,4)),4)</f>
        <v>016B</v>
      </c>
      <c r="D7" s="2" t="str">
        <f ca="1">DEC2HEX(SUMIFS(MemoryView!$D$4:$D$103,MemoryView!$A$4:$A$103,"0x"&amp;DEC2HEX(Output!$A7,4)),4)</f>
        <v>001A</v>
      </c>
      <c r="E7" s="103" t="str">
        <f t="shared" ref="E7:E57" ca="1" si="2">LOWER(CONCATENATE(C7,D7))</f>
        <v>016b001a</v>
      </c>
      <c r="F7" s="2">
        <v>1</v>
      </c>
      <c r="G7" s="2">
        <f ca="1">MOD(LEN(SUBSTITUTE( SUBSTITUTE( SUBSTITUTE( SUBSTITUTE( SUBSTITUTE( SUBSTITUTE( SUBSTITUTE( SUBSTITUTE(
    DEC2HEX(_xlfn.BITAND(QUOTIENT(Table1[[#This Row],[Address (dec)]],4),HEX2DEC(G$1)),5)&amp;DEC2HEX(_xlfn.BITAND(HEX2DEC(Table1[[#This Row],[32b hex]]),HEX2DEC(G$2)),8),
"0", ""), "3", ""), "5", ""), "6", ""), "9", ""), "A", ""), "C", ""), "F", "")),2)</f>
        <v>0</v>
      </c>
      <c r="H7" s="2">
        <f ca="1">MOD(LEN(SUBSTITUTE( SUBSTITUTE( SUBSTITUTE( SUBSTITUTE( SUBSTITUTE( SUBSTITUTE( SUBSTITUTE( SUBSTITUTE(
    DEC2HEX(_xlfn.BITAND(QUOTIENT(Table1[[#This Row],[Address (dec)]],4),HEX2DEC(H$1)),5)&amp;DEC2HEX(_xlfn.BITAND(HEX2DEC(Table1[[#This Row],[32b hex]]),HEX2DEC(H$2)),8),
"0", ""), "3", ""), "5", ""), "6", ""), "9", ""), "A", ""), "C", ""), "F", "")),2)</f>
        <v>1</v>
      </c>
      <c r="I7" s="2">
        <f ca="1">MOD(LEN(SUBSTITUTE( SUBSTITUTE( SUBSTITUTE( SUBSTITUTE( SUBSTITUTE( SUBSTITUTE( SUBSTITUTE( SUBSTITUTE(
    DEC2HEX(_xlfn.BITAND(QUOTIENT(Table1[[#This Row],[Address (dec)]],4),HEX2DEC(I$1)),5)&amp;DEC2HEX(_xlfn.BITAND(HEX2DEC(Table1[[#This Row],[32b hex]]),HEX2DEC(I$2)),8),
"0", ""), "3", ""), "5", ""), "6", ""), "9", ""), "A", ""), "C", ""), "F", "")),2)</f>
        <v>1</v>
      </c>
      <c r="J7" s="2">
        <f ca="1">MOD(LEN(SUBSTITUTE( SUBSTITUTE( SUBSTITUTE( SUBSTITUTE( SUBSTITUTE( SUBSTITUTE( SUBSTITUTE( SUBSTITUTE(
    DEC2HEX(_xlfn.BITAND(QUOTIENT(Table1[[#This Row],[Address (dec)]],4),HEX2DEC(J$1)),5)&amp;DEC2HEX(_xlfn.BITAND(HEX2DEC(Table1[[#This Row],[32b hex]]),HEX2DEC(J$2)),8),
"0", ""), "3", ""), "5", ""), "6", ""), "9", ""), "A", ""), "C", ""), "F", "")),2)</f>
        <v>0</v>
      </c>
      <c r="K7" s="2">
        <f ca="1">MOD(LEN(SUBSTITUTE( SUBSTITUTE( SUBSTITUTE( SUBSTITUTE( SUBSTITUTE( SUBSTITUTE( SUBSTITUTE( SUBSTITUTE(
    DEC2HEX(_xlfn.BITAND(QUOTIENT(Table1[[#This Row],[Address (dec)]],4),HEX2DEC(K$1)),5)&amp;DEC2HEX(_xlfn.BITAND(HEX2DEC(Table1[[#This Row],[32b hex]]),HEX2DEC(K$2)),8),
"0", ""), "3", ""), "5", ""), "6", ""), "9", ""), "A", ""), "C", ""), "F", "")),2)</f>
        <v>1</v>
      </c>
      <c r="L7" s="2">
        <f ca="1">MOD(LEN(SUBSTITUTE( SUBSTITUTE( SUBSTITUTE( SUBSTITUTE( SUBSTITUTE( SUBSTITUTE( SUBSTITUTE( SUBSTITUTE(
    DEC2HEX(_xlfn.BITAND(QUOTIENT(Table1[[#This Row],[Address (dec)]],4),HEX2DEC(L$1)),5)&amp;DEC2HEX(_xlfn.BITAND(HEX2DEC(Table1[[#This Row],[32b hex]]),HEX2DEC(L$2)),8),
"0", ""), "3", ""), "5", ""), "6", ""), "9", ""), "A", ""), "C", ""), "F", "")),2)</f>
        <v>0</v>
      </c>
      <c r="M7" s="2">
        <f ca="1">MOD(LEN(SUBSTITUTE( SUBSTITUTE( SUBSTITUTE( SUBSTITUTE( SUBSTITUTE( SUBSTITUTE( SUBSTITUTE( SUBSTITUTE(
    DEC2HEX(_xlfn.BITAND(QUOTIENT(Table1[[#This Row],[Address (dec)]],4),HEX2DEC(M$1)),5)&amp;DEC2HEX(_xlfn.BITAND(HEX2DEC(Table1[[#This Row],[32b hex]]),HEX2DEC(M$2)),8),
"0", ""), "3", ""), "5", ""), "6", ""), "9", ""), "A", ""), "C", ""), "F", "")),2)</f>
        <v>0</v>
      </c>
      <c r="N7" s="94" t="str">
        <f ca="1">BIN2HEX(Table1[[#This Row],[ECC'[6']]]&amp;Table1[[#This Row],[ECC'[5']]]&amp;Table1[[#This Row],[ECC'[4']]]&amp;Table1[[#This Row],[ECC'[3']]]&amp;Table1[[#This Row],[ECC'[2']]]&amp;Table1[[#This Row],[ECC'[1']]]&amp;Table1[[#This Row],[ECC'[0']]],2)</f>
        <v>34</v>
      </c>
      <c r="O7" s="103" t="str">
        <f ca="1">LOWER(Table1[[#This Row],[ECC (hex)]]&amp;Table1[[#This Row],[32b hex]])</f>
        <v>34016b001a</v>
      </c>
      <c r="P7" s="104" t="s">
        <v>414</v>
      </c>
      <c r="Q7" s="109" t="s">
        <v>416</v>
      </c>
      <c r="R7" s="107" t="str">
        <f>DEC2HEX(IF(IntelHexUseAbsAddr,MOD(Table1[[#This Row],[Address (dec)]],2^16),Table1[[#This Row],[DW_ADDRESS]]*4),4)</f>
        <v>1004</v>
      </c>
      <c r="S7" s="111" t="s">
        <v>418</v>
      </c>
      <c r="T7" s="113" t="str">
        <f ca="1">UPPER(MID(Table1[[#This Row],[32b hex]],7,2)&amp;MID(Table1[[#This Row],[32b hex]],5,2)&amp;MID(Table1[[#This Row],[32b hex]],3,2)&amp;MID(Table1[[#This Row],[32b hex]],1,2))</f>
        <v>1A006B01</v>
      </c>
      <c r="U7" s="115" t="str">
        <f ca="1">DEC2HEX(MOD(2^8-(HEX2DEC(Q7)+QUOTIENT(HEX2DEC(R7),2^8)+HEX2DEC(R7)+HEX2DEC(S7)+QUOTIENT(HEX2DEC(T7),2^24)+QUOTIENT(HEX2DEC(T7),2^16)+QUOTIENT(HEX2DEC(T7),2^8)+HEX2DEC(T7)),2^8),2)</f>
        <v>62</v>
      </c>
      <c r="V7" s="103" t="str">
        <f t="shared" ca="1" si="1"/>
        <v>:041004001A006B0162</v>
      </c>
    </row>
    <row r="8" spans="1:22">
      <c r="A8" s="2">
        <v>4104</v>
      </c>
      <c r="B8" s="2" t="str">
        <f>"0x" &amp; DEC2HEX(Table1[[#This Row],[Address (dec)]],4)</f>
        <v>0x1008</v>
      </c>
      <c r="C8" s="2" t="str">
        <f ca="1">DEC2HEX(SUMIFS(MemoryView!$D$4:$D$103,MemoryView!$A$4:$A$103,"0x"&amp;DEC2HEX(Output!$A8+2,4)),4)</f>
        <v>2000</v>
      </c>
      <c r="D8" s="2" t="str">
        <f ca="1">DEC2HEX(SUMIFS(MemoryView!$D$4:$D$103,MemoryView!$A$4:$A$103,"0x"&amp;DEC2HEX(Output!$A8,4)),4)</f>
        <v>8000</v>
      </c>
      <c r="E8" s="103" t="str">
        <f t="shared" ca="1" si="2"/>
        <v>20008000</v>
      </c>
      <c r="F8" s="2">
        <v>2</v>
      </c>
      <c r="G8" s="2">
        <f ca="1">MOD(LEN(SUBSTITUTE( SUBSTITUTE( SUBSTITUTE( SUBSTITUTE( SUBSTITUTE( SUBSTITUTE( SUBSTITUTE( SUBSTITUTE(
    DEC2HEX(_xlfn.BITAND(QUOTIENT(Table1[[#This Row],[Address (dec)]],4),HEX2DEC(G$1)),5)&amp;DEC2HEX(_xlfn.BITAND(HEX2DEC(Table1[[#This Row],[32b hex]]),HEX2DEC(G$2)),8),
"0", ""), "3", ""), "5", ""), "6", ""), "9", ""), "A", ""), "C", ""), "F", "")),2)</f>
        <v>0</v>
      </c>
      <c r="H8" s="2">
        <f ca="1">MOD(LEN(SUBSTITUTE( SUBSTITUTE( SUBSTITUTE( SUBSTITUTE( SUBSTITUTE( SUBSTITUTE( SUBSTITUTE( SUBSTITUTE(
    DEC2HEX(_xlfn.BITAND(QUOTIENT(Table1[[#This Row],[Address (dec)]],4),HEX2DEC(H$1)),5)&amp;DEC2HEX(_xlfn.BITAND(HEX2DEC(Table1[[#This Row],[32b hex]]),HEX2DEC(H$2)),8),
"0", ""), "3", ""), "5", ""), "6", ""), "9", ""), "A", ""), "C", ""), "F", "")),2)</f>
        <v>0</v>
      </c>
      <c r="I8" s="2">
        <f ca="1">MOD(LEN(SUBSTITUTE( SUBSTITUTE( SUBSTITUTE( SUBSTITUTE( SUBSTITUTE( SUBSTITUTE( SUBSTITUTE( SUBSTITUTE(
    DEC2HEX(_xlfn.BITAND(QUOTIENT(Table1[[#This Row],[Address (dec)]],4),HEX2DEC(I$1)),5)&amp;DEC2HEX(_xlfn.BITAND(HEX2DEC(Table1[[#This Row],[32b hex]]),HEX2DEC(I$2)),8),
"0", ""), "3", ""), "5", ""), "6", ""), "9", ""), "A", ""), "C", ""), "F", "")),2)</f>
        <v>0</v>
      </c>
      <c r="J8" s="2">
        <f ca="1">MOD(LEN(SUBSTITUTE( SUBSTITUTE( SUBSTITUTE( SUBSTITUTE( SUBSTITUTE( SUBSTITUTE( SUBSTITUTE( SUBSTITUTE(
    DEC2HEX(_xlfn.BITAND(QUOTIENT(Table1[[#This Row],[Address (dec)]],4),HEX2DEC(J$1)),5)&amp;DEC2HEX(_xlfn.BITAND(HEX2DEC(Table1[[#This Row],[32b hex]]),HEX2DEC(J$2)),8),
"0", ""), "3", ""), "5", ""), "6", ""), "9", ""), "A", ""), "C", ""), "F", "")),2)</f>
        <v>0</v>
      </c>
      <c r="K8" s="2">
        <f ca="1">MOD(LEN(SUBSTITUTE( SUBSTITUTE( SUBSTITUTE( SUBSTITUTE( SUBSTITUTE( SUBSTITUTE( SUBSTITUTE( SUBSTITUTE(
    DEC2HEX(_xlfn.BITAND(QUOTIENT(Table1[[#This Row],[Address (dec)]],4),HEX2DEC(K$1)),5)&amp;DEC2HEX(_xlfn.BITAND(HEX2DEC(Table1[[#This Row],[32b hex]]),HEX2DEC(K$2)),8),
"0", ""), "3", ""), "5", ""), "6", ""), "9", ""), "A", ""), "C", ""), "F", "")),2)</f>
        <v>0</v>
      </c>
      <c r="L8" s="2">
        <f ca="1">MOD(LEN(SUBSTITUTE( SUBSTITUTE( SUBSTITUTE( SUBSTITUTE( SUBSTITUTE( SUBSTITUTE( SUBSTITUTE( SUBSTITUTE(
    DEC2HEX(_xlfn.BITAND(QUOTIENT(Table1[[#This Row],[Address (dec)]],4),HEX2DEC(L$1)),5)&amp;DEC2HEX(_xlfn.BITAND(HEX2DEC(Table1[[#This Row],[32b hex]]),HEX2DEC(L$2)),8),
"0", ""), "3", ""), "5", ""), "6", ""), "9", ""), "A", ""), "C", ""), "F", "")),2)</f>
        <v>1</v>
      </c>
      <c r="M8" s="2">
        <f ca="1">MOD(LEN(SUBSTITUTE( SUBSTITUTE( SUBSTITUTE( SUBSTITUTE( SUBSTITUTE( SUBSTITUTE( SUBSTITUTE( SUBSTITUTE(
    DEC2HEX(_xlfn.BITAND(QUOTIENT(Table1[[#This Row],[Address (dec)]],4),HEX2DEC(M$1)),5)&amp;DEC2HEX(_xlfn.BITAND(HEX2DEC(Table1[[#This Row],[32b hex]]),HEX2DEC(M$2)),8),
"0", ""), "3", ""), "5", ""), "6", ""), "9", ""), "A", ""), "C", ""), "F", "")),2)</f>
        <v>1</v>
      </c>
      <c r="N8" s="94" t="str">
        <f ca="1">BIN2HEX(Table1[[#This Row],[ECC'[6']]]&amp;Table1[[#This Row],[ECC'[5']]]&amp;Table1[[#This Row],[ECC'[4']]]&amp;Table1[[#This Row],[ECC'[3']]]&amp;Table1[[#This Row],[ECC'[2']]]&amp;Table1[[#This Row],[ECC'[1']]]&amp;Table1[[#This Row],[ECC'[0']]],2)</f>
        <v>03</v>
      </c>
      <c r="O8" s="103" t="str">
        <f ca="1">LOWER(Table1[[#This Row],[ECC (hex)]]&amp;Table1[[#This Row],[32b hex]])</f>
        <v>0320008000</v>
      </c>
      <c r="P8" s="104" t="s">
        <v>414</v>
      </c>
      <c r="Q8" s="109" t="s">
        <v>416</v>
      </c>
      <c r="R8" s="107" t="str">
        <f>DEC2HEX(IF(IntelHexUseAbsAddr,MOD(Table1[[#This Row],[Address (dec)]],2^16),Table1[[#This Row],[DW_ADDRESS]]*4),4)</f>
        <v>1008</v>
      </c>
      <c r="S8" s="111" t="s">
        <v>418</v>
      </c>
      <c r="T8" s="113" t="str">
        <f ca="1">UPPER(MID(Table1[[#This Row],[32b hex]],7,2)&amp;MID(Table1[[#This Row],[32b hex]],5,2)&amp;MID(Table1[[#This Row],[32b hex]],3,2)&amp;MID(Table1[[#This Row],[32b hex]],1,2))</f>
        <v>00800020</v>
      </c>
      <c r="U8" s="115" t="str">
        <f t="shared" ca="1" si="0"/>
        <v>44</v>
      </c>
      <c r="V8" s="103" t="str">
        <f t="shared" ca="1" si="1"/>
        <v>:041008000080002044</v>
      </c>
    </row>
    <row r="9" spans="1:22">
      <c r="A9" s="2">
        <v>4108</v>
      </c>
      <c r="B9" s="2" t="str">
        <f>"0x" &amp; DEC2HEX(Table1[[#This Row],[Address (dec)]],4)</f>
        <v>0x100C</v>
      </c>
      <c r="C9" s="2" t="str">
        <f ca="1">DEC2HEX(SUMIFS(MemoryView!$D$4:$D$103,MemoryView!$A$4:$A$103,"0x"&amp;DEC2HEX(Output!$A9+2,4)),4)</f>
        <v>4580</v>
      </c>
      <c r="D9" s="2" t="str">
        <f ca="1">DEC2HEX(SUMIFS(MemoryView!$D$4:$D$103,MemoryView!$A$4:$A$103,"0x"&amp;DEC2HEX(Output!$A9,4)),4)</f>
        <v>2896</v>
      </c>
      <c r="E9" s="103" t="str">
        <f t="shared" ca="1" si="2"/>
        <v>45802896</v>
      </c>
      <c r="F9" s="2">
        <v>3</v>
      </c>
      <c r="G9" s="2">
        <f ca="1">MOD(LEN(SUBSTITUTE( SUBSTITUTE( SUBSTITUTE( SUBSTITUTE( SUBSTITUTE( SUBSTITUTE( SUBSTITUTE( SUBSTITUTE(
    DEC2HEX(_xlfn.BITAND(QUOTIENT(Table1[[#This Row],[Address (dec)]],4),HEX2DEC(G$1)),5)&amp;DEC2HEX(_xlfn.BITAND(HEX2DEC(Table1[[#This Row],[32b hex]]),HEX2DEC(G$2)),8),
"0", ""), "3", ""), "5", ""), "6", ""), "9", ""), "A", ""), "C", ""), "F", "")),2)</f>
        <v>0</v>
      </c>
      <c r="H9" s="2">
        <f ca="1">MOD(LEN(SUBSTITUTE( SUBSTITUTE( SUBSTITUTE( SUBSTITUTE( SUBSTITUTE( SUBSTITUTE( SUBSTITUTE( SUBSTITUTE(
    DEC2HEX(_xlfn.BITAND(QUOTIENT(Table1[[#This Row],[Address (dec)]],4),HEX2DEC(H$1)),5)&amp;DEC2HEX(_xlfn.BITAND(HEX2DEC(Table1[[#This Row],[32b hex]]),HEX2DEC(H$2)),8),
"0", ""), "3", ""), "5", ""), "6", ""), "9", ""), "A", ""), "C", ""), "F", "")),2)</f>
        <v>0</v>
      </c>
      <c r="I9" s="2">
        <f ca="1">MOD(LEN(SUBSTITUTE( SUBSTITUTE( SUBSTITUTE( SUBSTITUTE( SUBSTITUTE( SUBSTITUTE( SUBSTITUTE( SUBSTITUTE(
    DEC2HEX(_xlfn.BITAND(QUOTIENT(Table1[[#This Row],[Address (dec)]],4),HEX2DEC(I$1)),5)&amp;DEC2HEX(_xlfn.BITAND(HEX2DEC(Table1[[#This Row],[32b hex]]),HEX2DEC(I$2)),8),
"0", ""), "3", ""), "5", ""), "6", ""), "9", ""), "A", ""), "C", ""), "F", "")),2)</f>
        <v>1</v>
      </c>
      <c r="J9" s="2">
        <f ca="1">MOD(LEN(SUBSTITUTE( SUBSTITUTE( SUBSTITUTE( SUBSTITUTE( SUBSTITUTE( SUBSTITUTE( SUBSTITUTE( SUBSTITUTE(
    DEC2HEX(_xlfn.BITAND(QUOTIENT(Table1[[#This Row],[Address (dec)]],4),HEX2DEC(J$1)),5)&amp;DEC2HEX(_xlfn.BITAND(HEX2DEC(Table1[[#This Row],[32b hex]]),HEX2DEC(J$2)),8),
"0", ""), "3", ""), "5", ""), "6", ""), "9", ""), "A", ""), "C", ""), "F", "")),2)</f>
        <v>1</v>
      </c>
      <c r="K9" s="2">
        <f ca="1">MOD(LEN(SUBSTITUTE( SUBSTITUTE( SUBSTITUTE( SUBSTITUTE( SUBSTITUTE( SUBSTITUTE( SUBSTITUTE( SUBSTITUTE(
    DEC2HEX(_xlfn.BITAND(QUOTIENT(Table1[[#This Row],[Address (dec)]],4),HEX2DEC(K$1)),5)&amp;DEC2HEX(_xlfn.BITAND(HEX2DEC(Table1[[#This Row],[32b hex]]),HEX2DEC(K$2)),8),
"0", ""), "3", ""), "5", ""), "6", ""), "9", ""), "A", ""), "C", ""), "F", "")),2)</f>
        <v>1</v>
      </c>
      <c r="L9" s="2">
        <f ca="1">MOD(LEN(SUBSTITUTE( SUBSTITUTE( SUBSTITUTE( SUBSTITUTE( SUBSTITUTE( SUBSTITUTE( SUBSTITUTE( SUBSTITUTE(
    DEC2HEX(_xlfn.BITAND(QUOTIENT(Table1[[#This Row],[Address (dec)]],4),HEX2DEC(L$1)),5)&amp;DEC2HEX(_xlfn.BITAND(HEX2DEC(Table1[[#This Row],[32b hex]]),HEX2DEC(L$2)),8),
"0", ""), "3", ""), "5", ""), "6", ""), "9", ""), "A", ""), "C", ""), "F", "")),2)</f>
        <v>1</v>
      </c>
      <c r="M9" s="2">
        <f ca="1">MOD(LEN(SUBSTITUTE( SUBSTITUTE( SUBSTITUTE( SUBSTITUTE( SUBSTITUTE( SUBSTITUTE( SUBSTITUTE( SUBSTITUTE(
    DEC2HEX(_xlfn.BITAND(QUOTIENT(Table1[[#This Row],[Address (dec)]],4),HEX2DEC(M$1)),5)&amp;DEC2HEX(_xlfn.BITAND(HEX2DEC(Table1[[#This Row],[32b hex]]),HEX2DEC(M$2)),8),
"0", ""), "3", ""), "5", ""), "6", ""), "9", ""), "A", ""), "C", ""), "F", "")),2)</f>
        <v>1</v>
      </c>
      <c r="N9" s="94" t="str">
        <f ca="1">BIN2HEX(Table1[[#This Row],[ECC'[6']]]&amp;Table1[[#This Row],[ECC'[5']]]&amp;Table1[[#This Row],[ECC'[4']]]&amp;Table1[[#This Row],[ECC'[3']]]&amp;Table1[[#This Row],[ECC'[2']]]&amp;Table1[[#This Row],[ECC'[1']]]&amp;Table1[[#This Row],[ECC'[0']]],2)</f>
        <v>1F</v>
      </c>
      <c r="O9" s="103" t="str">
        <f ca="1">LOWER(Table1[[#This Row],[ECC (hex)]]&amp;Table1[[#This Row],[32b hex]])</f>
        <v>1f45802896</v>
      </c>
      <c r="P9" s="104" t="s">
        <v>414</v>
      </c>
      <c r="Q9" s="109" t="s">
        <v>416</v>
      </c>
      <c r="R9" s="107" t="str">
        <f>DEC2HEX(IF(IntelHexUseAbsAddr,MOD(Table1[[#This Row],[Address (dec)]],2^16),Table1[[#This Row],[DW_ADDRESS]]*4),4)</f>
        <v>100C</v>
      </c>
      <c r="S9" s="111" t="s">
        <v>418</v>
      </c>
      <c r="T9" s="113" t="str">
        <f ca="1">UPPER(MID(Table1[[#This Row],[32b hex]],7,2)&amp;MID(Table1[[#This Row],[32b hex]],5,2)&amp;MID(Table1[[#This Row],[32b hex]],3,2)&amp;MID(Table1[[#This Row],[32b hex]],1,2))</f>
        <v>96288045</v>
      </c>
      <c r="U9" s="115" t="str">
        <f t="shared" ca="1" si="0"/>
        <v>5D</v>
      </c>
      <c r="V9" s="103" t="str">
        <f t="shared" ca="1" si="1"/>
        <v>:04100C00962880455D</v>
      </c>
    </row>
    <row r="10" spans="1:22">
      <c r="A10" s="2">
        <v>4112</v>
      </c>
      <c r="B10" s="2" t="str">
        <f>"0x" &amp; DEC2HEX(Table1[[#This Row],[Address (dec)]],4)</f>
        <v>0x1010</v>
      </c>
      <c r="C10" s="2" t="str">
        <f ca="1">DEC2HEX(SUMIFS(MemoryView!$D$4:$D$103,MemoryView!$A$4:$A$103,"0x"&amp;DEC2HEX(Output!$A10+2,4)),4)</f>
        <v>0342</v>
      </c>
      <c r="D10" s="2" t="str">
        <f ca="1">DEC2HEX(SUMIFS(MemoryView!$D$4:$D$103,MemoryView!$A$4:$A$103,"0x"&amp;DEC2HEX(Output!$A10,4)),4)</f>
        <v>0000</v>
      </c>
      <c r="E10" s="103" t="str">
        <f t="shared" ca="1" si="2"/>
        <v>03420000</v>
      </c>
      <c r="F10" s="2">
        <v>4</v>
      </c>
      <c r="G10" s="2">
        <f ca="1">MOD(LEN(SUBSTITUTE( SUBSTITUTE( SUBSTITUTE( SUBSTITUTE( SUBSTITUTE( SUBSTITUTE( SUBSTITUTE( SUBSTITUTE(
    DEC2HEX(_xlfn.BITAND(QUOTIENT(Table1[[#This Row],[Address (dec)]],4),HEX2DEC(G$1)),5)&amp;DEC2HEX(_xlfn.BITAND(HEX2DEC(Table1[[#This Row],[32b hex]]),HEX2DEC(G$2)),8),
"0", ""), "3", ""), "5", ""), "6", ""), "9", ""), "A", ""), "C", ""), "F", "")),2)</f>
        <v>1</v>
      </c>
      <c r="H10" s="2">
        <f ca="1">MOD(LEN(SUBSTITUTE( SUBSTITUTE( SUBSTITUTE( SUBSTITUTE( SUBSTITUTE( SUBSTITUTE( SUBSTITUTE( SUBSTITUTE(
    DEC2HEX(_xlfn.BITAND(QUOTIENT(Table1[[#This Row],[Address (dec)]],4),HEX2DEC(H$1)),5)&amp;DEC2HEX(_xlfn.BITAND(HEX2DEC(Table1[[#This Row],[32b hex]]),HEX2DEC(H$2)),8),
"0", ""), "3", ""), "5", ""), "6", ""), "9", ""), "A", ""), "C", ""), "F", "")),2)</f>
        <v>1</v>
      </c>
      <c r="I10" s="2">
        <f ca="1">MOD(LEN(SUBSTITUTE( SUBSTITUTE( SUBSTITUTE( SUBSTITUTE( SUBSTITUTE( SUBSTITUTE( SUBSTITUTE( SUBSTITUTE(
    DEC2HEX(_xlfn.BITAND(QUOTIENT(Table1[[#This Row],[Address (dec)]],4),HEX2DEC(I$1)),5)&amp;DEC2HEX(_xlfn.BITAND(HEX2DEC(Table1[[#This Row],[32b hex]]),HEX2DEC(I$2)),8),
"0", ""), "3", ""), "5", ""), "6", ""), "9", ""), "A", ""), "C", ""), "F", "")),2)</f>
        <v>0</v>
      </c>
      <c r="J10" s="2">
        <f ca="1">MOD(LEN(SUBSTITUTE( SUBSTITUTE( SUBSTITUTE( SUBSTITUTE( SUBSTITUTE( SUBSTITUTE( SUBSTITUTE( SUBSTITUTE(
    DEC2HEX(_xlfn.BITAND(QUOTIENT(Table1[[#This Row],[Address (dec)]],4),HEX2DEC(J$1)),5)&amp;DEC2HEX(_xlfn.BITAND(HEX2DEC(Table1[[#This Row],[32b hex]]),HEX2DEC(J$2)),8),
"0", ""), "3", ""), "5", ""), "6", ""), "9", ""), "A", ""), "C", ""), "F", "")),2)</f>
        <v>1</v>
      </c>
      <c r="K10" s="2">
        <f ca="1">MOD(LEN(SUBSTITUTE( SUBSTITUTE( SUBSTITUTE( SUBSTITUTE( SUBSTITUTE( SUBSTITUTE( SUBSTITUTE( SUBSTITUTE(
    DEC2HEX(_xlfn.BITAND(QUOTIENT(Table1[[#This Row],[Address (dec)]],4),HEX2DEC(K$1)),5)&amp;DEC2HEX(_xlfn.BITAND(HEX2DEC(Table1[[#This Row],[32b hex]]),HEX2DEC(K$2)),8),
"0", ""), "3", ""), "5", ""), "6", ""), "9", ""), "A", ""), "C", ""), "F", "")),2)</f>
        <v>1</v>
      </c>
      <c r="L10" s="2">
        <f ca="1">MOD(LEN(SUBSTITUTE( SUBSTITUTE( SUBSTITUTE( SUBSTITUTE( SUBSTITUTE( SUBSTITUTE( SUBSTITUTE( SUBSTITUTE(
    DEC2HEX(_xlfn.BITAND(QUOTIENT(Table1[[#This Row],[Address (dec)]],4),HEX2DEC(L$1)),5)&amp;DEC2HEX(_xlfn.BITAND(HEX2DEC(Table1[[#This Row],[32b hex]]),HEX2DEC(L$2)),8),
"0", ""), "3", ""), "5", ""), "6", ""), "9", ""), "A", ""), "C", ""), "F", "")),2)</f>
        <v>1</v>
      </c>
      <c r="M10" s="2">
        <f ca="1">MOD(LEN(SUBSTITUTE( SUBSTITUTE( SUBSTITUTE( SUBSTITUTE( SUBSTITUTE( SUBSTITUTE( SUBSTITUTE( SUBSTITUTE(
    DEC2HEX(_xlfn.BITAND(QUOTIENT(Table1[[#This Row],[Address (dec)]],4),HEX2DEC(M$1)),5)&amp;DEC2HEX(_xlfn.BITAND(HEX2DEC(Table1[[#This Row],[32b hex]]),HEX2DEC(M$2)),8),
"0", ""), "3", ""), "5", ""), "6", ""), "9", ""), "A", ""), "C", ""), "F", "")),2)</f>
        <v>1</v>
      </c>
      <c r="N10" s="94" t="str">
        <f ca="1">BIN2HEX(Table1[[#This Row],[ECC'[6']]]&amp;Table1[[#This Row],[ECC'[5']]]&amp;Table1[[#This Row],[ECC'[4']]]&amp;Table1[[#This Row],[ECC'[3']]]&amp;Table1[[#This Row],[ECC'[2']]]&amp;Table1[[#This Row],[ECC'[1']]]&amp;Table1[[#This Row],[ECC'[0']]],2)</f>
        <v>6F</v>
      </c>
      <c r="O10" s="103" t="str">
        <f ca="1">LOWER(Table1[[#This Row],[ECC (hex)]]&amp;Table1[[#This Row],[32b hex]])</f>
        <v>6f03420000</v>
      </c>
      <c r="P10" s="104" t="s">
        <v>414</v>
      </c>
      <c r="Q10" s="109" t="s">
        <v>416</v>
      </c>
      <c r="R10" s="107" t="str">
        <f>DEC2HEX(IF(IntelHexUseAbsAddr,MOD(Table1[[#This Row],[Address (dec)]],2^16),Table1[[#This Row],[DW_ADDRESS]]*4),4)</f>
        <v>1010</v>
      </c>
      <c r="S10" s="111" t="s">
        <v>418</v>
      </c>
      <c r="T10" s="113" t="str">
        <f ca="1">UPPER(MID(Table1[[#This Row],[32b hex]],7,2)&amp;MID(Table1[[#This Row],[32b hex]],5,2)&amp;MID(Table1[[#This Row],[32b hex]],3,2)&amp;MID(Table1[[#This Row],[32b hex]],1,2))</f>
        <v>00004203</v>
      </c>
      <c r="U10" s="115" t="str">
        <f t="shared" ca="1" si="0"/>
        <v>97</v>
      </c>
      <c r="V10" s="103" t="str">
        <f t="shared" ca="1" si="1"/>
        <v>:041010000000420397</v>
      </c>
    </row>
    <row r="11" spans="1:22">
      <c r="A11" s="2">
        <v>4116</v>
      </c>
      <c r="B11" s="2" t="str">
        <f>"0x" &amp; DEC2HEX(Table1[[#This Row],[Address (dec)]],4)</f>
        <v>0x1014</v>
      </c>
      <c r="C11" s="2" t="str">
        <f ca="1">DEC2HEX(SUMIFS(MemoryView!$D$4:$D$103,MemoryView!$A$4:$A$103,"0x"&amp;DEC2HEX(Output!$A11+2,4)),4)</f>
        <v>000E</v>
      </c>
      <c r="D11" s="2" t="str">
        <f ca="1">DEC2HEX(SUMIFS(MemoryView!$D$4:$D$103,MemoryView!$A$4:$A$103,"0x"&amp;DEC2HEX(Output!$A11,4)),4)</f>
        <v>0342</v>
      </c>
      <c r="E11" s="103" t="str">
        <f t="shared" ca="1" si="2"/>
        <v>000e0342</v>
      </c>
      <c r="F11" s="2">
        <v>5</v>
      </c>
      <c r="G11" s="2">
        <f ca="1">MOD(LEN(SUBSTITUTE( SUBSTITUTE( SUBSTITUTE( SUBSTITUTE( SUBSTITUTE( SUBSTITUTE( SUBSTITUTE( SUBSTITUTE(
    DEC2HEX(_xlfn.BITAND(QUOTIENT(Table1[[#This Row],[Address (dec)]],4),HEX2DEC(G$1)),5)&amp;DEC2HEX(_xlfn.BITAND(HEX2DEC(Table1[[#This Row],[32b hex]]),HEX2DEC(G$2)),8),
"0", ""), "3", ""), "5", ""), "6", ""), "9", ""), "A", ""), "C", ""), "F", "")),2)</f>
        <v>0</v>
      </c>
      <c r="H11" s="2">
        <f ca="1">MOD(LEN(SUBSTITUTE( SUBSTITUTE( SUBSTITUTE( SUBSTITUTE( SUBSTITUTE( SUBSTITUTE( SUBSTITUTE( SUBSTITUTE(
    DEC2HEX(_xlfn.BITAND(QUOTIENT(Table1[[#This Row],[Address (dec)]],4),HEX2DEC(H$1)),5)&amp;DEC2HEX(_xlfn.BITAND(HEX2DEC(Table1[[#This Row],[32b hex]]),HEX2DEC(H$2)),8),
"0", ""), "3", ""), "5", ""), "6", ""), "9", ""), "A", ""), "C", ""), "F", "")),2)</f>
        <v>1</v>
      </c>
      <c r="I11" s="2">
        <f ca="1">MOD(LEN(SUBSTITUTE( SUBSTITUTE( SUBSTITUTE( SUBSTITUTE( SUBSTITUTE( SUBSTITUTE( SUBSTITUTE( SUBSTITUTE(
    DEC2HEX(_xlfn.BITAND(QUOTIENT(Table1[[#This Row],[Address (dec)]],4),HEX2DEC(I$1)),5)&amp;DEC2HEX(_xlfn.BITAND(HEX2DEC(Table1[[#This Row],[32b hex]]),HEX2DEC(I$2)),8),
"0", ""), "3", ""), "5", ""), "6", ""), "9", ""), "A", ""), "C", ""), "F", "")),2)</f>
        <v>0</v>
      </c>
      <c r="J11" s="2">
        <f ca="1">MOD(LEN(SUBSTITUTE( SUBSTITUTE( SUBSTITUTE( SUBSTITUTE( SUBSTITUTE( SUBSTITUTE( SUBSTITUTE( SUBSTITUTE(
    DEC2HEX(_xlfn.BITAND(QUOTIENT(Table1[[#This Row],[Address (dec)]],4),HEX2DEC(J$1)),5)&amp;DEC2HEX(_xlfn.BITAND(HEX2DEC(Table1[[#This Row],[32b hex]]),HEX2DEC(J$2)),8),
"0", ""), "3", ""), "5", ""), "6", ""), "9", ""), "A", ""), "C", ""), "F", "")),2)</f>
        <v>0</v>
      </c>
      <c r="K11" s="2">
        <f ca="1">MOD(LEN(SUBSTITUTE( SUBSTITUTE( SUBSTITUTE( SUBSTITUTE( SUBSTITUTE( SUBSTITUTE( SUBSTITUTE( SUBSTITUTE(
    DEC2HEX(_xlfn.BITAND(QUOTIENT(Table1[[#This Row],[Address (dec)]],4),HEX2DEC(K$1)),5)&amp;DEC2HEX(_xlfn.BITAND(HEX2DEC(Table1[[#This Row],[32b hex]]),HEX2DEC(K$2)),8),
"0", ""), "3", ""), "5", ""), "6", ""), "9", ""), "A", ""), "C", ""), "F", "")),2)</f>
        <v>1</v>
      </c>
      <c r="L11" s="2">
        <f ca="1">MOD(LEN(SUBSTITUTE( SUBSTITUTE( SUBSTITUTE( SUBSTITUTE( SUBSTITUTE( SUBSTITUTE( SUBSTITUTE( SUBSTITUTE(
    DEC2HEX(_xlfn.BITAND(QUOTIENT(Table1[[#This Row],[Address (dec)]],4),HEX2DEC(L$1)),5)&amp;DEC2HEX(_xlfn.BITAND(HEX2DEC(Table1[[#This Row],[32b hex]]),HEX2DEC(L$2)),8),
"0", ""), "3", ""), "5", ""), "6", ""), "9", ""), "A", ""), "C", ""), "F", "")),2)</f>
        <v>1</v>
      </c>
      <c r="M11" s="2">
        <f ca="1">MOD(LEN(SUBSTITUTE( SUBSTITUTE( SUBSTITUTE( SUBSTITUTE( SUBSTITUTE( SUBSTITUTE( SUBSTITUTE( SUBSTITUTE(
    DEC2HEX(_xlfn.BITAND(QUOTIENT(Table1[[#This Row],[Address (dec)]],4),HEX2DEC(M$1)),5)&amp;DEC2HEX(_xlfn.BITAND(HEX2DEC(Table1[[#This Row],[32b hex]]),HEX2DEC(M$2)),8),
"0", ""), "3", ""), "5", ""), "6", ""), "9", ""), "A", ""), "C", ""), "F", "")),2)</f>
        <v>1</v>
      </c>
      <c r="N11" s="94" t="str">
        <f ca="1">BIN2HEX(Table1[[#This Row],[ECC'[6']]]&amp;Table1[[#This Row],[ECC'[5']]]&amp;Table1[[#This Row],[ECC'[4']]]&amp;Table1[[#This Row],[ECC'[3']]]&amp;Table1[[#This Row],[ECC'[2']]]&amp;Table1[[#This Row],[ECC'[1']]]&amp;Table1[[#This Row],[ECC'[0']]],2)</f>
        <v>27</v>
      </c>
      <c r="O11" s="103" t="str">
        <f ca="1">LOWER(Table1[[#This Row],[ECC (hex)]]&amp;Table1[[#This Row],[32b hex]])</f>
        <v>27000e0342</v>
      </c>
      <c r="P11" s="104" t="s">
        <v>414</v>
      </c>
      <c r="Q11" s="109" t="s">
        <v>416</v>
      </c>
      <c r="R11" s="107" t="str">
        <f>DEC2HEX(IF(IntelHexUseAbsAddr,MOD(Table1[[#This Row],[Address (dec)]],2^16),Table1[[#This Row],[DW_ADDRESS]]*4),4)</f>
        <v>1014</v>
      </c>
      <c r="S11" s="111" t="s">
        <v>418</v>
      </c>
      <c r="T11" s="113" t="str">
        <f ca="1">UPPER(MID(Table1[[#This Row],[32b hex]],7,2)&amp;MID(Table1[[#This Row],[32b hex]],5,2)&amp;MID(Table1[[#This Row],[32b hex]],3,2)&amp;MID(Table1[[#This Row],[32b hex]],1,2))</f>
        <v>42030E00</v>
      </c>
      <c r="U11" s="115" t="str">
        <f t="shared" ca="1" si="0"/>
        <v>85</v>
      </c>
      <c r="V11" s="103" t="str">
        <f t="shared" ca="1" si="1"/>
        <v>:0410140042030E0085</v>
      </c>
    </row>
    <row r="12" spans="1:22">
      <c r="A12" s="2">
        <v>4120</v>
      </c>
      <c r="B12" s="2" t="str">
        <f>"0x" &amp; DEC2HEX(Table1[[#This Row],[Address (dec)]],4)</f>
        <v>0x1018</v>
      </c>
      <c r="C12" s="2" t="str">
        <f ca="1">DEC2HEX(SUMIFS(MemoryView!$D$4:$D$103,MemoryView!$A$4:$A$103,"0x"&amp;DEC2HEX(Output!$A12+2,4)),4)</f>
        <v>2666</v>
      </c>
      <c r="D12" s="2" t="str">
        <f ca="1">DEC2HEX(SUMIFS(MemoryView!$D$4:$D$103,MemoryView!$A$4:$A$103,"0x"&amp;DEC2HEX(Output!$A12,4)),4)</f>
        <v>C7F2</v>
      </c>
      <c r="E12" s="103" t="str">
        <f t="shared" ca="1" si="2"/>
        <v>2666c7f2</v>
      </c>
      <c r="F12" s="2">
        <v>6</v>
      </c>
      <c r="G12" s="2">
        <f ca="1">MOD(LEN(SUBSTITUTE( SUBSTITUTE( SUBSTITUTE( SUBSTITUTE( SUBSTITUTE( SUBSTITUTE( SUBSTITUTE( SUBSTITUTE(
    DEC2HEX(_xlfn.BITAND(QUOTIENT(Table1[[#This Row],[Address (dec)]],4),HEX2DEC(G$1)),5)&amp;DEC2HEX(_xlfn.BITAND(HEX2DEC(Table1[[#This Row],[32b hex]]),HEX2DEC(G$2)),8),
"0", ""), "3", ""), "5", ""), "6", ""), "9", ""), "A", ""), "C", ""), "F", "")),2)</f>
        <v>1</v>
      </c>
      <c r="H12" s="2">
        <f ca="1">MOD(LEN(SUBSTITUTE( SUBSTITUTE( SUBSTITUTE( SUBSTITUTE( SUBSTITUTE( SUBSTITUTE( SUBSTITUTE( SUBSTITUTE(
    DEC2HEX(_xlfn.BITAND(QUOTIENT(Table1[[#This Row],[Address (dec)]],4),HEX2DEC(H$1)),5)&amp;DEC2HEX(_xlfn.BITAND(HEX2DEC(Table1[[#This Row],[32b hex]]),HEX2DEC(H$2)),8),
"0", ""), "3", ""), "5", ""), "6", ""), "9", ""), "A", ""), "C", ""), "F", "")),2)</f>
        <v>0</v>
      </c>
      <c r="I12" s="2">
        <f ca="1">MOD(LEN(SUBSTITUTE( SUBSTITUTE( SUBSTITUTE( SUBSTITUTE( SUBSTITUTE( SUBSTITUTE( SUBSTITUTE( SUBSTITUTE(
    DEC2HEX(_xlfn.BITAND(QUOTIENT(Table1[[#This Row],[Address (dec)]],4),HEX2DEC(I$1)),5)&amp;DEC2HEX(_xlfn.BITAND(HEX2DEC(Table1[[#This Row],[32b hex]]),HEX2DEC(I$2)),8),
"0", ""), "3", ""), "5", ""), "6", ""), "9", ""), "A", ""), "C", ""), "F", "")),2)</f>
        <v>0</v>
      </c>
      <c r="J12" s="2">
        <f ca="1">MOD(LEN(SUBSTITUTE( SUBSTITUTE( SUBSTITUTE( SUBSTITUTE( SUBSTITUTE( SUBSTITUTE( SUBSTITUTE( SUBSTITUTE(
    DEC2HEX(_xlfn.BITAND(QUOTIENT(Table1[[#This Row],[Address (dec)]],4),HEX2DEC(J$1)),5)&amp;DEC2HEX(_xlfn.BITAND(HEX2DEC(Table1[[#This Row],[32b hex]]),HEX2DEC(J$2)),8),
"0", ""), "3", ""), "5", ""), "6", ""), "9", ""), "A", ""), "C", ""), "F", "")),2)</f>
        <v>0</v>
      </c>
      <c r="K12" s="2">
        <f ca="1">MOD(LEN(SUBSTITUTE( SUBSTITUTE( SUBSTITUTE( SUBSTITUTE( SUBSTITUTE( SUBSTITUTE( SUBSTITUTE( SUBSTITUTE(
    DEC2HEX(_xlfn.BITAND(QUOTIENT(Table1[[#This Row],[Address (dec)]],4),HEX2DEC(K$1)),5)&amp;DEC2HEX(_xlfn.BITAND(HEX2DEC(Table1[[#This Row],[32b hex]]),HEX2DEC(K$2)),8),
"0", ""), "3", ""), "5", ""), "6", ""), "9", ""), "A", ""), "C", ""), "F", "")),2)</f>
        <v>1</v>
      </c>
      <c r="L12" s="2">
        <f ca="1">MOD(LEN(SUBSTITUTE( SUBSTITUTE( SUBSTITUTE( SUBSTITUTE( SUBSTITUTE( SUBSTITUTE( SUBSTITUTE( SUBSTITUTE(
    DEC2HEX(_xlfn.BITAND(QUOTIENT(Table1[[#This Row],[Address (dec)]],4),HEX2DEC(L$1)),5)&amp;DEC2HEX(_xlfn.BITAND(HEX2DEC(Table1[[#This Row],[32b hex]]),HEX2DEC(L$2)),8),
"0", ""), "3", ""), "5", ""), "6", ""), "9", ""), "A", ""), "C", ""), "F", "")),2)</f>
        <v>0</v>
      </c>
      <c r="M12" s="2">
        <f ca="1">MOD(LEN(SUBSTITUTE( SUBSTITUTE( SUBSTITUTE( SUBSTITUTE( SUBSTITUTE( SUBSTITUTE( SUBSTITUTE( SUBSTITUTE(
    DEC2HEX(_xlfn.BITAND(QUOTIENT(Table1[[#This Row],[Address (dec)]],4),HEX2DEC(M$1)),5)&amp;DEC2HEX(_xlfn.BITAND(HEX2DEC(Table1[[#This Row],[32b hex]]),HEX2DEC(M$2)),8),
"0", ""), "3", ""), "5", ""), "6", ""), "9", ""), "A", ""), "C", ""), "F", "")),2)</f>
        <v>0</v>
      </c>
      <c r="N12" s="94" t="str">
        <f ca="1">BIN2HEX(Table1[[#This Row],[ECC'[6']]]&amp;Table1[[#This Row],[ECC'[5']]]&amp;Table1[[#This Row],[ECC'[4']]]&amp;Table1[[#This Row],[ECC'[3']]]&amp;Table1[[#This Row],[ECC'[2']]]&amp;Table1[[#This Row],[ECC'[1']]]&amp;Table1[[#This Row],[ECC'[0']]],2)</f>
        <v>44</v>
      </c>
      <c r="O12" s="103" t="str">
        <f ca="1">LOWER(Table1[[#This Row],[ECC (hex)]]&amp;Table1[[#This Row],[32b hex]])</f>
        <v>442666c7f2</v>
      </c>
      <c r="P12" s="104" t="s">
        <v>414</v>
      </c>
      <c r="Q12" s="109" t="s">
        <v>416</v>
      </c>
      <c r="R12" s="107" t="str">
        <f>DEC2HEX(IF(IntelHexUseAbsAddr,MOD(Table1[[#This Row],[Address (dec)]],2^16),Table1[[#This Row],[DW_ADDRESS]]*4),4)</f>
        <v>1018</v>
      </c>
      <c r="S12" s="111" t="s">
        <v>418</v>
      </c>
      <c r="T12" s="113" t="str">
        <f ca="1">UPPER(MID(Table1[[#This Row],[32b hex]],7,2)&amp;MID(Table1[[#This Row],[32b hex]],5,2)&amp;MID(Table1[[#This Row],[32b hex]],3,2)&amp;MID(Table1[[#This Row],[32b hex]],1,2))</f>
        <v>F2C76626</v>
      </c>
      <c r="U12" s="115" t="str">
        <f t="shared" ca="1" si="0"/>
        <v>8F</v>
      </c>
      <c r="V12" s="103" t="str">
        <f t="shared" ca="1" si="1"/>
        <v>:04101800F2C766268F</v>
      </c>
    </row>
    <row r="13" spans="1:22">
      <c r="A13" s="2">
        <v>4124</v>
      </c>
      <c r="B13" s="2" t="str">
        <f>"0x" &amp; DEC2HEX(Table1[[#This Row],[Address (dec)]],4)</f>
        <v>0x101C</v>
      </c>
      <c r="C13" s="2" t="str">
        <f ca="1">DEC2HEX(SUMIFS(MemoryView!$D$4:$D$103,MemoryView!$A$4:$A$103,"0x"&amp;DEC2HEX(Output!$A13+2,4)),4)</f>
        <v>13B3</v>
      </c>
      <c r="D13" s="2" t="str">
        <f ca="1">DEC2HEX(SUMIFS(MemoryView!$D$4:$D$103,MemoryView!$A$4:$A$103,"0x"&amp;DEC2HEX(Output!$A13,4)),4)</f>
        <v>1FCA</v>
      </c>
      <c r="E13" s="103" t="str">
        <f t="shared" ca="1" si="2"/>
        <v>13b31fca</v>
      </c>
      <c r="F13" s="2">
        <v>7</v>
      </c>
      <c r="G13" s="2">
        <f ca="1">MOD(LEN(SUBSTITUTE( SUBSTITUTE( SUBSTITUTE( SUBSTITUTE( SUBSTITUTE( SUBSTITUTE( SUBSTITUTE( SUBSTITUTE(
    DEC2HEX(_xlfn.BITAND(QUOTIENT(Table1[[#This Row],[Address (dec)]],4),HEX2DEC(G$1)),5)&amp;DEC2HEX(_xlfn.BITAND(HEX2DEC(Table1[[#This Row],[32b hex]]),HEX2DEC(G$2)),8),
"0", ""), "3", ""), "5", ""), "6", ""), "9", ""), "A", ""), "C", ""), "F", "")),2)</f>
        <v>1</v>
      </c>
      <c r="H13" s="2">
        <f ca="1">MOD(LEN(SUBSTITUTE( SUBSTITUTE( SUBSTITUTE( SUBSTITUTE( SUBSTITUTE( SUBSTITUTE( SUBSTITUTE( SUBSTITUTE(
    DEC2HEX(_xlfn.BITAND(QUOTIENT(Table1[[#This Row],[Address (dec)]],4),HEX2DEC(H$1)),5)&amp;DEC2HEX(_xlfn.BITAND(HEX2DEC(Table1[[#This Row],[32b hex]]),HEX2DEC(H$2)),8),
"0", ""), "3", ""), "5", ""), "6", ""), "9", ""), "A", ""), "C", ""), "F", "")),2)</f>
        <v>0</v>
      </c>
      <c r="I13" s="2">
        <f ca="1">MOD(LEN(SUBSTITUTE( SUBSTITUTE( SUBSTITUTE( SUBSTITUTE( SUBSTITUTE( SUBSTITUTE( SUBSTITUTE( SUBSTITUTE(
    DEC2HEX(_xlfn.BITAND(QUOTIENT(Table1[[#This Row],[Address (dec)]],4),HEX2DEC(I$1)),5)&amp;DEC2HEX(_xlfn.BITAND(HEX2DEC(Table1[[#This Row],[32b hex]]),HEX2DEC(I$2)),8),
"0", ""), "3", ""), "5", ""), "6", ""), "9", ""), "A", ""), "C", ""), "F", "")),2)</f>
        <v>0</v>
      </c>
      <c r="J13" s="2">
        <f ca="1">MOD(LEN(SUBSTITUTE( SUBSTITUTE( SUBSTITUTE( SUBSTITUTE( SUBSTITUTE( SUBSTITUTE( SUBSTITUTE( SUBSTITUTE(
    DEC2HEX(_xlfn.BITAND(QUOTIENT(Table1[[#This Row],[Address (dec)]],4),HEX2DEC(J$1)),5)&amp;DEC2HEX(_xlfn.BITAND(HEX2DEC(Table1[[#This Row],[32b hex]]),HEX2DEC(J$2)),8),
"0", ""), "3", ""), "5", ""), "6", ""), "9", ""), "A", ""), "C", ""), "F", "")),2)</f>
        <v>1</v>
      </c>
      <c r="K13" s="2">
        <f ca="1">MOD(LEN(SUBSTITUTE( SUBSTITUTE( SUBSTITUTE( SUBSTITUTE( SUBSTITUTE( SUBSTITUTE( SUBSTITUTE( SUBSTITUTE(
    DEC2HEX(_xlfn.BITAND(QUOTIENT(Table1[[#This Row],[Address (dec)]],4),HEX2DEC(K$1)),5)&amp;DEC2HEX(_xlfn.BITAND(HEX2DEC(Table1[[#This Row],[32b hex]]),HEX2DEC(K$2)),8),
"0", ""), "3", ""), "5", ""), "6", ""), "9", ""), "A", ""), "C", ""), "F", "")),2)</f>
        <v>0</v>
      </c>
      <c r="L13" s="2">
        <f ca="1">MOD(LEN(SUBSTITUTE( SUBSTITUTE( SUBSTITUTE( SUBSTITUTE( SUBSTITUTE( SUBSTITUTE( SUBSTITUTE( SUBSTITUTE(
    DEC2HEX(_xlfn.BITAND(QUOTIENT(Table1[[#This Row],[Address (dec)]],4),HEX2DEC(L$1)),5)&amp;DEC2HEX(_xlfn.BITAND(HEX2DEC(Table1[[#This Row],[32b hex]]),HEX2DEC(L$2)),8),
"0", ""), "3", ""), "5", ""), "6", ""), "9", ""), "A", ""), "C", ""), "F", "")),2)</f>
        <v>0</v>
      </c>
      <c r="M13" s="2">
        <f ca="1">MOD(LEN(SUBSTITUTE( SUBSTITUTE( SUBSTITUTE( SUBSTITUTE( SUBSTITUTE( SUBSTITUTE( SUBSTITUTE( SUBSTITUTE(
    DEC2HEX(_xlfn.BITAND(QUOTIENT(Table1[[#This Row],[Address (dec)]],4),HEX2DEC(M$1)),5)&amp;DEC2HEX(_xlfn.BITAND(HEX2DEC(Table1[[#This Row],[32b hex]]),HEX2DEC(M$2)),8),
"0", ""), "3", ""), "5", ""), "6", ""), "9", ""), "A", ""), "C", ""), "F", "")),2)</f>
        <v>1</v>
      </c>
      <c r="N13" s="94" t="str">
        <f ca="1">BIN2HEX(Table1[[#This Row],[ECC'[6']]]&amp;Table1[[#This Row],[ECC'[5']]]&amp;Table1[[#This Row],[ECC'[4']]]&amp;Table1[[#This Row],[ECC'[3']]]&amp;Table1[[#This Row],[ECC'[2']]]&amp;Table1[[#This Row],[ECC'[1']]]&amp;Table1[[#This Row],[ECC'[0']]],2)</f>
        <v>49</v>
      </c>
      <c r="O13" s="103" t="str">
        <f ca="1">LOWER(Table1[[#This Row],[ECC (hex)]]&amp;Table1[[#This Row],[32b hex]])</f>
        <v>4913b31fca</v>
      </c>
      <c r="P13" s="104" t="s">
        <v>414</v>
      </c>
      <c r="Q13" s="109" t="s">
        <v>416</v>
      </c>
      <c r="R13" s="107" t="str">
        <f>DEC2HEX(IF(IntelHexUseAbsAddr,MOD(Table1[[#This Row],[Address (dec)]],2^16),Table1[[#This Row],[DW_ADDRESS]]*4),4)</f>
        <v>101C</v>
      </c>
      <c r="S13" s="111" t="s">
        <v>418</v>
      </c>
      <c r="T13" s="113" t="str">
        <f ca="1">UPPER(MID(Table1[[#This Row],[32b hex]],7,2)&amp;MID(Table1[[#This Row],[32b hex]],5,2)&amp;MID(Table1[[#This Row],[32b hex]],3,2)&amp;MID(Table1[[#This Row],[32b hex]],1,2))</f>
        <v>CA1FB313</v>
      </c>
      <c r="U13" s="115" t="str">
        <f t="shared" ca="1" si="0"/>
        <v>21</v>
      </c>
      <c r="V13" s="103" t="str">
        <f t="shared" ca="1" si="1"/>
        <v>:04101C00CA1FB31321</v>
      </c>
    </row>
    <row r="14" spans="1:22">
      <c r="A14" s="2">
        <v>4128</v>
      </c>
      <c r="B14" s="2" t="str">
        <f>"0x" &amp; DEC2HEX(Table1[[#This Row],[Address (dec)]],4)</f>
        <v>0x1020</v>
      </c>
      <c r="C14" s="2" t="str">
        <f ca="1">DEC2HEX(SUMIFS(MemoryView!$D$4:$D$103,MemoryView!$A$4:$A$103,"0x"&amp;DEC2HEX(Output!$A14+2,4)),4)</f>
        <v>E8C3</v>
      </c>
      <c r="D14" s="2" t="str">
        <f ca="1">DEC2HEX(SUMIFS(MemoryView!$D$4:$D$103,MemoryView!$A$4:$A$103,"0x"&amp;DEC2HEX(Output!$A14,4)),4)</f>
        <v>F144</v>
      </c>
      <c r="E14" s="103" t="str">
        <f t="shared" ca="1" si="2"/>
        <v>e8c3f144</v>
      </c>
      <c r="F14" s="2">
        <v>8</v>
      </c>
      <c r="G14" s="2">
        <f ca="1">MOD(LEN(SUBSTITUTE( SUBSTITUTE( SUBSTITUTE( SUBSTITUTE( SUBSTITUTE( SUBSTITUTE( SUBSTITUTE( SUBSTITUTE(
    DEC2HEX(_xlfn.BITAND(QUOTIENT(Table1[[#This Row],[Address (dec)]],4),HEX2DEC(G$1)),5)&amp;DEC2HEX(_xlfn.BITAND(HEX2DEC(Table1[[#This Row],[32b hex]]),HEX2DEC(G$2)),8),
"0", ""), "3", ""), "5", ""), "6", ""), "9", ""), "A", ""), "C", ""), "F", "")),2)</f>
        <v>1</v>
      </c>
      <c r="H14" s="2">
        <f ca="1">MOD(LEN(SUBSTITUTE( SUBSTITUTE( SUBSTITUTE( SUBSTITUTE( SUBSTITUTE( SUBSTITUTE( SUBSTITUTE( SUBSTITUTE(
    DEC2HEX(_xlfn.BITAND(QUOTIENT(Table1[[#This Row],[Address (dec)]],4),HEX2DEC(H$1)),5)&amp;DEC2HEX(_xlfn.BITAND(HEX2DEC(Table1[[#This Row],[32b hex]]),HEX2DEC(H$2)),8),
"0", ""), "3", ""), "5", ""), "6", ""), "9", ""), "A", ""), "C", ""), "F", "")),2)</f>
        <v>1</v>
      </c>
      <c r="I14" s="2">
        <f ca="1">MOD(LEN(SUBSTITUTE( SUBSTITUTE( SUBSTITUTE( SUBSTITUTE( SUBSTITUTE( SUBSTITUTE( SUBSTITUTE( SUBSTITUTE(
    DEC2HEX(_xlfn.BITAND(QUOTIENT(Table1[[#This Row],[Address (dec)]],4),HEX2DEC(I$1)),5)&amp;DEC2HEX(_xlfn.BITAND(HEX2DEC(Table1[[#This Row],[32b hex]]),HEX2DEC(I$2)),8),
"0", ""), "3", ""), "5", ""), "6", ""), "9", ""), "A", ""), "C", ""), "F", "")),2)</f>
        <v>1</v>
      </c>
      <c r="J14" s="2">
        <f ca="1">MOD(LEN(SUBSTITUTE( SUBSTITUTE( SUBSTITUTE( SUBSTITUTE( SUBSTITUTE( SUBSTITUTE( SUBSTITUTE( SUBSTITUTE(
    DEC2HEX(_xlfn.BITAND(QUOTIENT(Table1[[#This Row],[Address (dec)]],4),HEX2DEC(J$1)),5)&amp;DEC2HEX(_xlfn.BITAND(HEX2DEC(Table1[[#This Row],[32b hex]]),HEX2DEC(J$2)),8),
"0", ""), "3", ""), "5", ""), "6", ""), "9", ""), "A", ""), "C", ""), "F", "")),2)</f>
        <v>0</v>
      </c>
      <c r="K14" s="2">
        <f ca="1">MOD(LEN(SUBSTITUTE( SUBSTITUTE( SUBSTITUTE( SUBSTITUTE( SUBSTITUTE( SUBSTITUTE( SUBSTITUTE( SUBSTITUTE(
    DEC2HEX(_xlfn.BITAND(QUOTIENT(Table1[[#This Row],[Address (dec)]],4),HEX2DEC(K$1)),5)&amp;DEC2HEX(_xlfn.BITAND(HEX2DEC(Table1[[#This Row],[32b hex]]),HEX2DEC(K$2)),8),
"0", ""), "3", ""), "5", ""), "6", ""), "9", ""), "A", ""), "C", ""), "F", "")),2)</f>
        <v>1</v>
      </c>
      <c r="L14" s="2">
        <f ca="1">MOD(LEN(SUBSTITUTE( SUBSTITUTE( SUBSTITUTE( SUBSTITUTE( SUBSTITUTE( SUBSTITUTE( SUBSTITUTE( SUBSTITUTE(
    DEC2HEX(_xlfn.BITAND(QUOTIENT(Table1[[#This Row],[Address (dec)]],4),HEX2DEC(L$1)),5)&amp;DEC2HEX(_xlfn.BITAND(HEX2DEC(Table1[[#This Row],[32b hex]]),HEX2DEC(L$2)),8),
"0", ""), "3", ""), "5", ""), "6", ""), "9", ""), "A", ""), "C", ""), "F", "")),2)</f>
        <v>0</v>
      </c>
      <c r="M14" s="2">
        <f ca="1">MOD(LEN(SUBSTITUTE( SUBSTITUTE( SUBSTITUTE( SUBSTITUTE( SUBSTITUTE( SUBSTITUTE( SUBSTITUTE( SUBSTITUTE(
    DEC2HEX(_xlfn.BITAND(QUOTIENT(Table1[[#This Row],[Address (dec)]],4),HEX2DEC(M$1)),5)&amp;DEC2HEX(_xlfn.BITAND(HEX2DEC(Table1[[#This Row],[32b hex]]),HEX2DEC(M$2)),8),
"0", ""), "3", ""), "5", ""), "6", ""), "9", ""), "A", ""), "C", ""), "F", "")),2)</f>
        <v>1</v>
      </c>
      <c r="N14" s="94" t="str">
        <f ca="1">BIN2HEX(Table1[[#This Row],[ECC'[6']]]&amp;Table1[[#This Row],[ECC'[5']]]&amp;Table1[[#This Row],[ECC'[4']]]&amp;Table1[[#This Row],[ECC'[3']]]&amp;Table1[[#This Row],[ECC'[2']]]&amp;Table1[[#This Row],[ECC'[1']]]&amp;Table1[[#This Row],[ECC'[0']]],2)</f>
        <v>75</v>
      </c>
      <c r="O14" s="103" t="str">
        <f ca="1">LOWER(Table1[[#This Row],[ECC (hex)]]&amp;Table1[[#This Row],[32b hex]])</f>
        <v>75e8c3f144</v>
      </c>
      <c r="P14" s="104" t="s">
        <v>414</v>
      </c>
      <c r="Q14" s="109" t="s">
        <v>416</v>
      </c>
      <c r="R14" s="107" t="str">
        <f>DEC2HEX(IF(IntelHexUseAbsAddr,MOD(Table1[[#This Row],[Address (dec)]],2^16),Table1[[#This Row],[DW_ADDRESS]]*4),4)</f>
        <v>1020</v>
      </c>
      <c r="S14" s="111" t="s">
        <v>418</v>
      </c>
      <c r="T14" s="113" t="str">
        <f ca="1">UPPER(MID(Table1[[#This Row],[32b hex]],7,2)&amp;MID(Table1[[#This Row],[32b hex]],5,2)&amp;MID(Table1[[#This Row],[32b hex]],3,2)&amp;MID(Table1[[#This Row],[32b hex]],1,2))</f>
        <v>44F1C3E8</v>
      </c>
      <c r="U14" s="115" t="str">
        <f t="shared" ca="1" si="0"/>
        <v>EC</v>
      </c>
      <c r="V14" s="103" t="str">
        <f t="shared" ca="1" si="1"/>
        <v>:0410200044F1C3E8EC</v>
      </c>
    </row>
    <row r="15" spans="1:22">
      <c r="A15" s="2">
        <v>4132</v>
      </c>
      <c r="B15" s="2" t="str">
        <f>"0x" &amp; DEC2HEX(Table1[[#This Row],[Address (dec)]],4)</f>
        <v>0x1024</v>
      </c>
      <c r="C15" s="2" t="str">
        <f ca="1">DEC2HEX(SUMIFS(MemoryView!$D$4:$D$103,MemoryView!$A$4:$A$103,"0x"&amp;DEC2HEX(Output!$A15+2,4)),4)</f>
        <v>2133</v>
      </c>
      <c r="D15" s="2" t="str">
        <f ca="1">DEC2HEX(SUMIFS(MemoryView!$D$4:$D$103,MemoryView!$A$4:$A$103,"0x"&amp;DEC2HEX(Output!$A15,4)),4)</f>
        <v>3C03</v>
      </c>
      <c r="E15" s="103" t="str">
        <f t="shared" ca="1" si="2"/>
        <v>21333c03</v>
      </c>
      <c r="F15" s="2">
        <v>9</v>
      </c>
      <c r="G15" s="2">
        <f ca="1">MOD(LEN(SUBSTITUTE( SUBSTITUTE( SUBSTITUTE( SUBSTITUTE( SUBSTITUTE( SUBSTITUTE( SUBSTITUTE( SUBSTITUTE(
    DEC2HEX(_xlfn.BITAND(QUOTIENT(Table1[[#This Row],[Address (dec)]],4),HEX2DEC(G$1)),5)&amp;DEC2HEX(_xlfn.BITAND(HEX2DEC(Table1[[#This Row],[32b hex]]),HEX2DEC(G$2)),8),
"0", ""), "3", ""), "5", ""), "6", ""), "9", ""), "A", ""), "C", ""), "F", "")),2)</f>
        <v>0</v>
      </c>
      <c r="H15" s="2">
        <f ca="1">MOD(LEN(SUBSTITUTE( SUBSTITUTE( SUBSTITUTE( SUBSTITUTE( SUBSTITUTE( SUBSTITUTE( SUBSTITUTE( SUBSTITUTE(
    DEC2HEX(_xlfn.BITAND(QUOTIENT(Table1[[#This Row],[Address (dec)]],4),HEX2DEC(H$1)),5)&amp;DEC2HEX(_xlfn.BITAND(HEX2DEC(Table1[[#This Row],[32b hex]]),HEX2DEC(H$2)),8),
"0", ""), "3", ""), "5", ""), "6", ""), "9", ""), "A", ""), "C", ""), "F", "")),2)</f>
        <v>0</v>
      </c>
      <c r="I15" s="2">
        <f ca="1">MOD(LEN(SUBSTITUTE( SUBSTITUTE( SUBSTITUTE( SUBSTITUTE( SUBSTITUTE( SUBSTITUTE( SUBSTITUTE( SUBSTITUTE(
    DEC2HEX(_xlfn.BITAND(QUOTIENT(Table1[[#This Row],[Address (dec)]],4),HEX2DEC(I$1)),5)&amp;DEC2HEX(_xlfn.BITAND(HEX2DEC(Table1[[#This Row],[32b hex]]),HEX2DEC(I$2)),8),
"0", ""), "3", ""), "5", ""), "6", ""), "9", ""), "A", ""), "C", ""), "F", "")),2)</f>
        <v>0</v>
      </c>
      <c r="J15" s="2">
        <f ca="1">MOD(LEN(SUBSTITUTE( SUBSTITUTE( SUBSTITUTE( SUBSTITUTE( SUBSTITUTE( SUBSTITUTE( SUBSTITUTE( SUBSTITUTE(
    DEC2HEX(_xlfn.BITAND(QUOTIENT(Table1[[#This Row],[Address (dec)]],4),HEX2DEC(J$1)),5)&amp;DEC2HEX(_xlfn.BITAND(HEX2DEC(Table1[[#This Row],[32b hex]]),HEX2DEC(J$2)),8),
"0", ""), "3", ""), "5", ""), "6", ""), "9", ""), "A", ""), "C", ""), "F", "")),2)</f>
        <v>0</v>
      </c>
      <c r="K15" s="2">
        <f ca="1">MOD(LEN(SUBSTITUTE( SUBSTITUTE( SUBSTITUTE( SUBSTITUTE( SUBSTITUTE( SUBSTITUTE( SUBSTITUTE( SUBSTITUTE(
    DEC2HEX(_xlfn.BITAND(QUOTIENT(Table1[[#This Row],[Address (dec)]],4),HEX2DEC(K$1)),5)&amp;DEC2HEX(_xlfn.BITAND(HEX2DEC(Table1[[#This Row],[32b hex]]),HEX2DEC(K$2)),8),
"0", ""), "3", ""), "5", ""), "6", ""), "9", ""), "A", ""), "C", ""), "F", "")),2)</f>
        <v>0</v>
      </c>
      <c r="L15" s="2">
        <f ca="1">MOD(LEN(SUBSTITUTE( SUBSTITUTE( SUBSTITUTE( SUBSTITUTE( SUBSTITUTE( SUBSTITUTE( SUBSTITUTE( SUBSTITUTE(
    DEC2HEX(_xlfn.BITAND(QUOTIENT(Table1[[#This Row],[Address (dec)]],4),HEX2DEC(L$1)),5)&amp;DEC2HEX(_xlfn.BITAND(HEX2DEC(Table1[[#This Row],[32b hex]]),HEX2DEC(L$2)),8),
"0", ""), "3", ""), "5", ""), "6", ""), "9", ""), "A", ""), "C", ""), "F", "")),2)</f>
        <v>1</v>
      </c>
      <c r="M15" s="2">
        <f ca="1">MOD(LEN(SUBSTITUTE( SUBSTITUTE( SUBSTITUTE( SUBSTITUTE( SUBSTITUTE( SUBSTITUTE( SUBSTITUTE( SUBSTITUTE(
    DEC2HEX(_xlfn.BITAND(QUOTIENT(Table1[[#This Row],[Address (dec)]],4),HEX2DEC(M$1)),5)&amp;DEC2HEX(_xlfn.BITAND(HEX2DEC(Table1[[#This Row],[32b hex]]),HEX2DEC(M$2)),8),
"0", ""), "3", ""), "5", ""), "6", ""), "9", ""), "A", ""), "C", ""), "F", "")),2)</f>
        <v>0</v>
      </c>
      <c r="N15" s="94" t="str">
        <f ca="1">BIN2HEX(Table1[[#This Row],[ECC'[6']]]&amp;Table1[[#This Row],[ECC'[5']]]&amp;Table1[[#This Row],[ECC'[4']]]&amp;Table1[[#This Row],[ECC'[3']]]&amp;Table1[[#This Row],[ECC'[2']]]&amp;Table1[[#This Row],[ECC'[1']]]&amp;Table1[[#This Row],[ECC'[0']]],2)</f>
        <v>02</v>
      </c>
      <c r="O15" s="103" t="str">
        <f ca="1">LOWER(Table1[[#This Row],[ECC (hex)]]&amp;Table1[[#This Row],[32b hex]])</f>
        <v>0221333c03</v>
      </c>
      <c r="P15" s="104" t="s">
        <v>414</v>
      </c>
      <c r="Q15" s="109" t="s">
        <v>416</v>
      </c>
      <c r="R15" s="107" t="str">
        <f>DEC2HEX(IF(IntelHexUseAbsAddr,MOD(Table1[[#This Row],[Address (dec)]],2^16),Table1[[#This Row],[DW_ADDRESS]]*4),4)</f>
        <v>1024</v>
      </c>
      <c r="S15" s="111" t="s">
        <v>418</v>
      </c>
      <c r="T15" s="113" t="str">
        <f ca="1">UPPER(MID(Table1[[#This Row],[32b hex]],7,2)&amp;MID(Table1[[#This Row],[32b hex]],5,2)&amp;MID(Table1[[#This Row],[32b hex]],3,2)&amp;MID(Table1[[#This Row],[32b hex]],1,2))</f>
        <v>033C3321</v>
      </c>
      <c r="U15" s="115" t="str">
        <f t="shared" ca="1" si="0"/>
        <v>35</v>
      </c>
      <c r="V15" s="103" t="str">
        <f t="shared" ca="1" si="1"/>
        <v>:04102400033C332135</v>
      </c>
    </row>
    <row r="16" spans="1:22">
      <c r="A16" s="2">
        <v>4136</v>
      </c>
      <c r="B16" s="2" t="str">
        <f>"0x" &amp; DEC2HEX(Table1[[#This Row],[Address (dec)]],4)</f>
        <v>0x1028</v>
      </c>
      <c r="C16" s="2" t="str">
        <f ca="1">DEC2HEX(SUMIFS(MemoryView!$D$4:$D$103,MemoryView!$A$4:$A$103,"0x"&amp;DEC2HEX(Output!$A16+2,4)),4)</f>
        <v>D574</v>
      </c>
      <c r="D16" s="2" t="str">
        <f ca="1">DEC2HEX(SUMIFS(MemoryView!$D$4:$D$103,MemoryView!$A$4:$A$103,"0x"&amp;DEC2HEX(Output!$A16,4)),4)</f>
        <v>D8B1</v>
      </c>
      <c r="E16" s="103" t="str">
        <f t="shared" ca="1" si="2"/>
        <v>d574d8b1</v>
      </c>
      <c r="F16" s="2">
        <v>10</v>
      </c>
      <c r="G16" s="2">
        <f ca="1">MOD(LEN(SUBSTITUTE( SUBSTITUTE( SUBSTITUTE( SUBSTITUTE( SUBSTITUTE( SUBSTITUTE( SUBSTITUTE( SUBSTITUTE(
    DEC2HEX(_xlfn.BITAND(QUOTIENT(Table1[[#This Row],[Address (dec)]],4),HEX2DEC(G$1)),5)&amp;DEC2HEX(_xlfn.BITAND(HEX2DEC(Table1[[#This Row],[32b hex]]),HEX2DEC(G$2)),8),
"0", ""), "3", ""), "5", ""), "6", ""), "9", ""), "A", ""), "C", ""), "F", "")),2)</f>
        <v>0</v>
      </c>
      <c r="H16" s="2">
        <f ca="1">MOD(LEN(SUBSTITUTE( SUBSTITUTE( SUBSTITUTE( SUBSTITUTE( SUBSTITUTE( SUBSTITUTE( SUBSTITUTE( SUBSTITUTE(
    DEC2HEX(_xlfn.BITAND(QUOTIENT(Table1[[#This Row],[Address (dec)]],4),HEX2DEC(H$1)),5)&amp;DEC2HEX(_xlfn.BITAND(HEX2DEC(Table1[[#This Row],[32b hex]]),HEX2DEC(H$2)),8),
"0", ""), "3", ""), "5", ""), "6", ""), "9", ""), "A", ""), "C", ""), "F", "")),2)</f>
        <v>1</v>
      </c>
      <c r="I16" s="2">
        <f ca="1">MOD(LEN(SUBSTITUTE( SUBSTITUTE( SUBSTITUTE( SUBSTITUTE( SUBSTITUTE( SUBSTITUTE( SUBSTITUTE( SUBSTITUTE(
    DEC2HEX(_xlfn.BITAND(QUOTIENT(Table1[[#This Row],[Address (dec)]],4),HEX2DEC(I$1)),5)&amp;DEC2HEX(_xlfn.BITAND(HEX2DEC(Table1[[#This Row],[32b hex]]),HEX2DEC(I$2)),8),
"0", ""), "3", ""), "5", ""), "6", ""), "9", ""), "A", ""), "C", ""), "F", "")),2)</f>
        <v>1</v>
      </c>
      <c r="J16" s="2">
        <f ca="1">MOD(LEN(SUBSTITUTE( SUBSTITUTE( SUBSTITUTE( SUBSTITUTE( SUBSTITUTE( SUBSTITUTE( SUBSTITUTE( SUBSTITUTE(
    DEC2HEX(_xlfn.BITAND(QUOTIENT(Table1[[#This Row],[Address (dec)]],4),HEX2DEC(J$1)),5)&amp;DEC2HEX(_xlfn.BITAND(HEX2DEC(Table1[[#This Row],[32b hex]]),HEX2DEC(J$2)),8),
"0", ""), "3", ""), "5", ""), "6", ""), "9", ""), "A", ""), "C", ""), "F", "")),2)</f>
        <v>0</v>
      </c>
      <c r="K16" s="2">
        <f ca="1">MOD(LEN(SUBSTITUTE( SUBSTITUTE( SUBSTITUTE( SUBSTITUTE( SUBSTITUTE( SUBSTITUTE( SUBSTITUTE( SUBSTITUTE(
    DEC2HEX(_xlfn.BITAND(QUOTIENT(Table1[[#This Row],[Address (dec)]],4),HEX2DEC(K$1)),5)&amp;DEC2HEX(_xlfn.BITAND(HEX2DEC(Table1[[#This Row],[32b hex]]),HEX2DEC(K$2)),8),
"0", ""), "3", ""), "5", ""), "6", ""), "9", ""), "A", ""), "C", ""), "F", "")),2)</f>
        <v>1</v>
      </c>
      <c r="L16" s="2">
        <f ca="1">MOD(LEN(SUBSTITUTE( SUBSTITUTE( SUBSTITUTE( SUBSTITUTE( SUBSTITUTE( SUBSTITUTE( SUBSTITUTE( SUBSTITUTE(
    DEC2HEX(_xlfn.BITAND(QUOTIENT(Table1[[#This Row],[Address (dec)]],4),HEX2DEC(L$1)),5)&amp;DEC2HEX(_xlfn.BITAND(HEX2DEC(Table1[[#This Row],[32b hex]]),HEX2DEC(L$2)),8),
"0", ""), "3", ""), "5", ""), "6", ""), "9", ""), "A", ""), "C", ""), "F", "")),2)</f>
        <v>1</v>
      </c>
      <c r="M16" s="2">
        <f ca="1">MOD(LEN(SUBSTITUTE( SUBSTITUTE( SUBSTITUTE( SUBSTITUTE( SUBSTITUTE( SUBSTITUTE( SUBSTITUTE( SUBSTITUTE(
    DEC2HEX(_xlfn.BITAND(QUOTIENT(Table1[[#This Row],[Address (dec)]],4),HEX2DEC(M$1)),5)&amp;DEC2HEX(_xlfn.BITAND(HEX2DEC(Table1[[#This Row],[32b hex]]),HEX2DEC(M$2)),8),
"0", ""), "3", ""), "5", ""), "6", ""), "9", ""), "A", ""), "C", ""), "F", "")),2)</f>
        <v>0</v>
      </c>
      <c r="N16" s="94" t="str">
        <f ca="1">BIN2HEX(Table1[[#This Row],[ECC'[6']]]&amp;Table1[[#This Row],[ECC'[5']]]&amp;Table1[[#This Row],[ECC'[4']]]&amp;Table1[[#This Row],[ECC'[3']]]&amp;Table1[[#This Row],[ECC'[2']]]&amp;Table1[[#This Row],[ECC'[1']]]&amp;Table1[[#This Row],[ECC'[0']]],2)</f>
        <v>36</v>
      </c>
      <c r="O16" s="103" t="str">
        <f ca="1">LOWER(Table1[[#This Row],[ECC (hex)]]&amp;Table1[[#This Row],[32b hex]])</f>
        <v>36d574d8b1</v>
      </c>
      <c r="P16" s="104" t="s">
        <v>414</v>
      </c>
      <c r="Q16" s="109" t="s">
        <v>416</v>
      </c>
      <c r="R16" s="107" t="str">
        <f>DEC2HEX(IF(IntelHexUseAbsAddr,MOD(Table1[[#This Row],[Address (dec)]],2^16),Table1[[#This Row],[DW_ADDRESS]]*4),4)</f>
        <v>1028</v>
      </c>
      <c r="S16" s="111" t="s">
        <v>418</v>
      </c>
      <c r="T16" s="113" t="str">
        <f ca="1">UPPER(MID(Table1[[#This Row],[32b hex]],7,2)&amp;MID(Table1[[#This Row],[32b hex]],5,2)&amp;MID(Table1[[#This Row],[32b hex]],3,2)&amp;MID(Table1[[#This Row],[32b hex]],1,2))</f>
        <v>B1D874D5</v>
      </c>
      <c r="U16" s="115" t="str">
        <f t="shared" ca="1" si="0"/>
        <v>F2</v>
      </c>
      <c r="V16" s="103" t="str">
        <f t="shared" ca="1" si="1"/>
        <v>:04102800B1D874D5F2</v>
      </c>
    </row>
    <row r="17" spans="1:22">
      <c r="A17" s="2">
        <v>4140</v>
      </c>
      <c r="B17" s="2" t="str">
        <f>"0x" &amp; DEC2HEX(Table1[[#This Row],[Address (dec)]],4)</f>
        <v>0x102C</v>
      </c>
      <c r="C17" s="2" t="str">
        <f ca="1">DEC2HEX(SUMIFS(MemoryView!$D$4:$D$103,MemoryView!$A$4:$A$103,"0x"&amp;DEC2HEX(Output!$A17+2,4)),4)</f>
        <v>0000</v>
      </c>
      <c r="D17" s="2" t="str">
        <f ca="1">DEC2HEX(SUMIFS(MemoryView!$D$4:$D$103,MemoryView!$A$4:$A$103,"0x"&amp;DEC2HEX(Output!$A17,4)),4)</f>
        <v>FFFE</v>
      </c>
      <c r="E17" s="103" t="str">
        <f t="shared" ca="1" si="2"/>
        <v>0000fffe</v>
      </c>
      <c r="F17" s="2">
        <v>11</v>
      </c>
      <c r="G17" s="2">
        <f ca="1">MOD(LEN(SUBSTITUTE( SUBSTITUTE( SUBSTITUTE( SUBSTITUTE( SUBSTITUTE( SUBSTITUTE( SUBSTITUTE( SUBSTITUTE(
    DEC2HEX(_xlfn.BITAND(QUOTIENT(Table1[[#This Row],[Address (dec)]],4),HEX2DEC(G$1)),5)&amp;DEC2HEX(_xlfn.BITAND(HEX2DEC(Table1[[#This Row],[32b hex]]),HEX2DEC(G$2)),8),
"0", ""), "3", ""), "5", ""), "6", ""), "9", ""), "A", ""), "C", ""), "F", "")),2)</f>
        <v>1</v>
      </c>
      <c r="H17" s="95">
        <f ca="1">MOD(LEN(SUBSTITUTE( SUBSTITUTE( SUBSTITUTE( SUBSTITUTE( SUBSTITUTE( SUBSTITUTE( SUBSTITUTE( SUBSTITUTE(
    DEC2HEX(_xlfn.BITAND(QUOTIENT(Table1[[#This Row],[Address (dec)]],4),HEX2DEC(H$1)),5)&amp;DEC2HEX(_xlfn.BITAND(HEX2DEC(Table1[[#This Row],[32b hex]]),HEX2DEC(H$2)),8),
"0", ""), "3", ""), "5", ""), "6", ""), "9", ""), "A", ""), "C", ""), "F", "")),2)</f>
        <v>1</v>
      </c>
      <c r="I17" s="2">
        <f ca="1">MOD(LEN(SUBSTITUTE( SUBSTITUTE( SUBSTITUTE( SUBSTITUTE( SUBSTITUTE( SUBSTITUTE( SUBSTITUTE( SUBSTITUTE(
    DEC2HEX(_xlfn.BITAND(QUOTIENT(Table1[[#This Row],[Address (dec)]],4),HEX2DEC(I$1)),5)&amp;DEC2HEX(_xlfn.BITAND(HEX2DEC(Table1[[#This Row],[32b hex]]),HEX2DEC(I$2)),8),
"0", ""), "3", ""), "5", ""), "6", ""), "9", ""), "A", ""), "C", ""), "F", "")),2)</f>
        <v>1</v>
      </c>
      <c r="J17" s="2">
        <f ca="1">MOD(LEN(SUBSTITUTE( SUBSTITUTE( SUBSTITUTE( SUBSTITUTE( SUBSTITUTE( SUBSTITUTE( SUBSTITUTE( SUBSTITUTE(
    DEC2HEX(_xlfn.BITAND(QUOTIENT(Table1[[#This Row],[Address (dec)]],4),HEX2DEC(J$1)),5)&amp;DEC2HEX(_xlfn.BITAND(HEX2DEC(Table1[[#This Row],[32b hex]]),HEX2DEC(J$2)),8),
"0", ""), "3", ""), "5", ""), "6", ""), "9", ""), "A", ""), "C", ""), "F", "")),2)</f>
        <v>0</v>
      </c>
      <c r="K17" s="2">
        <f ca="1">MOD(LEN(SUBSTITUTE( SUBSTITUTE( SUBSTITUTE( SUBSTITUTE( SUBSTITUTE( SUBSTITUTE( SUBSTITUTE( SUBSTITUTE(
    DEC2HEX(_xlfn.BITAND(QUOTIENT(Table1[[#This Row],[Address (dec)]],4),HEX2DEC(K$1)),5)&amp;DEC2HEX(_xlfn.BITAND(HEX2DEC(Table1[[#This Row],[32b hex]]),HEX2DEC(K$2)),8),
"0", ""), "3", ""), "5", ""), "6", ""), "9", ""), "A", ""), "C", ""), "F", "")),2)</f>
        <v>0</v>
      </c>
      <c r="L17" s="2">
        <f ca="1">MOD(LEN(SUBSTITUTE( SUBSTITUTE( SUBSTITUTE( SUBSTITUTE( SUBSTITUTE( SUBSTITUTE( SUBSTITUTE( SUBSTITUTE(
    DEC2HEX(_xlfn.BITAND(QUOTIENT(Table1[[#This Row],[Address (dec)]],4),HEX2DEC(L$1)),5)&amp;DEC2HEX(_xlfn.BITAND(HEX2DEC(Table1[[#This Row],[32b hex]]),HEX2DEC(L$2)),8),
"0", ""), "3", ""), "5", ""), "6", ""), "9", ""), "A", ""), "C", ""), "F", "")),2)</f>
        <v>0</v>
      </c>
      <c r="M17" s="2">
        <f ca="1">MOD(LEN(SUBSTITUTE( SUBSTITUTE( SUBSTITUTE( SUBSTITUTE( SUBSTITUTE( SUBSTITUTE( SUBSTITUTE( SUBSTITUTE(
    DEC2HEX(_xlfn.BITAND(QUOTIENT(Table1[[#This Row],[Address (dec)]],4),HEX2DEC(M$1)),5)&amp;DEC2HEX(_xlfn.BITAND(HEX2DEC(Table1[[#This Row],[32b hex]]),HEX2DEC(M$2)),8),
"0", ""), "3", ""), "5", ""), "6", ""), "9", ""), "A", ""), "C", ""), "F", "")),2)</f>
        <v>0</v>
      </c>
      <c r="N17" s="94" t="str">
        <f ca="1">BIN2HEX(Table1[[#This Row],[ECC'[6']]]&amp;Table1[[#This Row],[ECC'[5']]]&amp;Table1[[#This Row],[ECC'[4']]]&amp;Table1[[#This Row],[ECC'[3']]]&amp;Table1[[#This Row],[ECC'[2']]]&amp;Table1[[#This Row],[ECC'[1']]]&amp;Table1[[#This Row],[ECC'[0']]],2)</f>
        <v>70</v>
      </c>
      <c r="O17" s="103" t="str">
        <f ca="1">LOWER(Table1[[#This Row],[ECC (hex)]]&amp;Table1[[#This Row],[32b hex]])</f>
        <v>700000fffe</v>
      </c>
      <c r="P17" s="104" t="s">
        <v>414</v>
      </c>
      <c r="Q17" s="109" t="s">
        <v>416</v>
      </c>
      <c r="R17" s="107" t="str">
        <f>DEC2HEX(IF(IntelHexUseAbsAddr,MOD(Table1[[#This Row],[Address (dec)]],2^16),Table1[[#This Row],[DW_ADDRESS]]*4),4)</f>
        <v>102C</v>
      </c>
      <c r="S17" s="111" t="s">
        <v>418</v>
      </c>
      <c r="T17" s="113" t="str">
        <f ca="1">UPPER(MID(Table1[[#This Row],[32b hex]],7,2)&amp;MID(Table1[[#This Row],[32b hex]],5,2)&amp;MID(Table1[[#This Row],[32b hex]],3,2)&amp;MID(Table1[[#This Row],[32b hex]],1,2))</f>
        <v>FEFF0000</v>
      </c>
      <c r="U17" s="115" t="str">
        <f t="shared" ca="1" si="0"/>
        <v>C3</v>
      </c>
      <c r="V17" s="103" t="str">
        <f t="shared" ca="1" si="1"/>
        <v>:04102C00FEFF0000C3</v>
      </c>
    </row>
    <row r="18" spans="1:22">
      <c r="A18" s="2">
        <v>4144</v>
      </c>
      <c r="B18" s="2" t="str">
        <f>"0x" &amp; DEC2HEX(Table1[[#This Row],[Address (dec)]],4)</f>
        <v>0x1030</v>
      </c>
      <c r="C18" s="2" t="str">
        <f ca="1">DEC2HEX(SUMIFS(MemoryView!$D$4:$D$103,MemoryView!$A$4:$A$103,"0x"&amp;DEC2HEX(Output!$A18+2,4)),4)</f>
        <v>06AB</v>
      </c>
      <c r="D18" s="2" t="str">
        <f ca="1">DEC2HEX(SUMIFS(MemoryView!$D$4:$D$103,MemoryView!$A$4:$A$103,"0x"&amp;DEC2HEX(Output!$A18,4)),4)</f>
        <v>7FD6</v>
      </c>
      <c r="E18" s="103" t="str">
        <f t="shared" ca="1" si="2"/>
        <v>06ab7fd6</v>
      </c>
      <c r="F18" s="2">
        <v>12</v>
      </c>
      <c r="G18" s="2">
        <f ca="1">MOD(LEN(SUBSTITUTE( SUBSTITUTE( SUBSTITUTE( SUBSTITUTE( SUBSTITUTE( SUBSTITUTE( SUBSTITUTE( SUBSTITUTE(
    DEC2HEX(_xlfn.BITAND(QUOTIENT(Table1[[#This Row],[Address (dec)]],4),HEX2DEC(G$1)),5)&amp;DEC2HEX(_xlfn.BITAND(HEX2DEC(Table1[[#This Row],[32b hex]]),HEX2DEC(G$2)),8),
"0", ""), "3", ""), "5", ""), "6", ""), "9", ""), "A", ""), "C", ""), "F", "")),2)</f>
        <v>0</v>
      </c>
      <c r="H18" s="95">
        <f ca="1">MOD(LEN(SUBSTITUTE( SUBSTITUTE( SUBSTITUTE( SUBSTITUTE( SUBSTITUTE( SUBSTITUTE( SUBSTITUTE( SUBSTITUTE(
    DEC2HEX(_xlfn.BITAND(QUOTIENT(Table1[[#This Row],[Address (dec)]],4),HEX2DEC(H$1)),5)&amp;DEC2HEX(_xlfn.BITAND(HEX2DEC(Table1[[#This Row],[32b hex]]),HEX2DEC(H$2)),8),
"0", ""), "3", ""), "5", ""), "6", ""), "9", ""), "A", ""), "C", ""), "F", "")),2)</f>
        <v>0</v>
      </c>
      <c r="I18" s="2">
        <f ca="1">MOD(LEN(SUBSTITUTE( SUBSTITUTE( SUBSTITUTE( SUBSTITUTE( SUBSTITUTE( SUBSTITUTE( SUBSTITUTE( SUBSTITUTE(
    DEC2HEX(_xlfn.BITAND(QUOTIENT(Table1[[#This Row],[Address (dec)]],4),HEX2DEC(I$1)),5)&amp;DEC2HEX(_xlfn.BITAND(HEX2DEC(Table1[[#This Row],[32b hex]]),HEX2DEC(I$2)),8),
"0", ""), "3", ""), "5", ""), "6", ""), "9", ""), "A", ""), "C", ""), "F", "")),2)</f>
        <v>1</v>
      </c>
      <c r="J18" s="2">
        <f ca="1">MOD(LEN(SUBSTITUTE( SUBSTITUTE( SUBSTITUTE( SUBSTITUTE( SUBSTITUTE( SUBSTITUTE( SUBSTITUTE( SUBSTITUTE(
    DEC2HEX(_xlfn.BITAND(QUOTIENT(Table1[[#This Row],[Address (dec)]],4),HEX2DEC(J$1)),5)&amp;DEC2HEX(_xlfn.BITAND(HEX2DEC(Table1[[#This Row],[32b hex]]),HEX2DEC(J$2)),8),
"0", ""), "3", ""), "5", ""), "6", ""), "9", ""), "A", ""), "C", ""), "F", "")),2)</f>
        <v>1</v>
      </c>
      <c r="K18" s="2">
        <f ca="1">MOD(LEN(SUBSTITUTE( SUBSTITUTE( SUBSTITUTE( SUBSTITUTE( SUBSTITUTE( SUBSTITUTE( SUBSTITUTE( SUBSTITUTE(
    DEC2HEX(_xlfn.BITAND(QUOTIENT(Table1[[#This Row],[Address (dec)]],4),HEX2DEC(K$1)),5)&amp;DEC2HEX(_xlfn.BITAND(HEX2DEC(Table1[[#This Row],[32b hex]]),HEX2DEC(K$2)),8),
"0", ""), "3", ""), "5", ""), "6", ""), "9", ""), "A", ""), "C", ""), "F", "")),2)</f>
        <v>0</v>
      </c>
      <c r="L18" s="2">
        <f ca="1">MOD(LEN(SUBSTITUTE( SUBSTITUTE( SUBSTITUTE( SUBSTITUTE( SUBSTITUTE( SUBSTITUTE( SUBSTITUTE( SUBSTITUTE(
    DEC2HEX(_xlfn.BITAND(QUOTIENT(Table1[[#This Row],[Address (dec)]],4),HEX2DEC(L$1)),5)&amp;DEC2HEX(_xlfn.BITAND(HEX2DEC(Table1[[#This Row],[32b hex]]),HEX2DEC(L$2)),8),
"0", ""), "3", ""), "5", ""), "6", ""), "9", ""), "A", ""), "C", ""), "F", "")),2)</f>
        <v>0</v>
      </c>
      <c r="M18" s="2">
        <f ca="1">MOD(LEN(SUBSTITUTE( SUBSTITUTE( SUBSTITUTE( SUBSTITUTE( SUBSTITUTE( SUBSTITUTE( SUBSTITUTE( SUBSTITUTE(
    DEC2HEX(_xlfn.BITAND(QUOTIENT(Table1[[#This Row],[Address (dec)]],4),HEX2DEC(M$1)),5)&amp;DEC2HEX(_xlfn.BITAND(HEX2DEC(Table1[[#This Row],[32b hex]]),HEX2DEC(M$2)),8),
"0", ""), "3", ""), "5", ""), "6", ""), "9", ""), "A", ""), "C", ""), "F", "")),2)</f>
        <v>0</v>
      </c>
      <c r="N18" s="94" t="str">
        <f ca="1">BIN2HEX(Table1[[#This Row],[ECC'[6']]]&amp;Table1[[#This Row],[ECC'[5']]]&amp;Table1[[#This Row],[ECC'[4']]]&amp;Table1[[#This Row],[ECC'[3']]]&amp;Table1[[#This Row],[ECC'[2']]]&amp;Table1[[#This Row],[ECC'[1']]]&amp;Table1[[#This Row],[ECC'[0']]],2)</f>
        <v>18</v>
      </c>
      <c r="O18" s="103" t="str">
        <f ca="1">LOWER(Table1[[#This Row],[ECC (hex)]]&amp;Table1[[#This Row],[32b hex]])</f>
        <v>1806ab7fd6</v>
      </c>
      <c r="P18" s="104" t="s">
        <v>414</v>
      </c>
      <c r="Q18" s="109" t="s">
        <v>416</v>
      </c>
      <c r="R18" s="107" t="str">
        <f>DEC2HEX(IF(IntelHexUseAbsAddr,MOD(Table1[[#This Row],[Address (dec)]],2^16),Table1[[#This Row],[DW_ADDRESS]]*4),4)</f>
        <v>1030</v>
      </c>
      <c r="S18" s="111" t="s">
        <v>418</v>
      </c>
      <c r="T18" s="113" t="str">
        <f ca="1">UPPER(MID(Table1[[#This Row],[32b hex]],7,2)&amp;MID(Table1[[#This Row],[32b hex]],5,2)&amp;MID(Table1[[#This Row],[32b hex]],3,2)&amp;MID(Table1[[#This Row],[32b hex]],1,2))</f>
        <v>D67FAB06</v>
      </c>
      <c r="U18" s="115" t="str">
        <f t="shared" ca="1" si="0"/>
        <v>B6</v>
      </c>
      <c r="V18" s="103" t="str">
        <f t="shared" ca="1" si="1"/>
        <v>:04103000D67FAB06B6</v>
      </c>
    </row>
    <row r="19" spans="1:22">
      <c r="A19" s="2">
        <v>4148</v>
      </c>
      <c r="B19" s="2" t="str">
        <f>"0x" &amp; DEC2HEX(Table1[[#This Row],[Address (dec)]],4)</f>
        <v>0x1034</v>
      </c>
      <c r="C19" s="2" t="str">
        <f ca="1">DEC2HEX(SUMIFS(MemoryView!$D$4:$D$103,MemoryView!$A$4:$A$103,"0x"&amp;DEC2HEX(Output!$A19+2,4)),4)</f>
        <v>FF6A</v>
      </c>
      <c r="D19" s="2" t="str">
        <f ca="1">DEC2HEX(SUMIFS(MemoryView!$D$4:$D$103,MemoryView!$A$4:$A$103,"0x"&amp;DEC2HEX(Output!$A19,4)),4)</f>
        <v>17C2</v>
      </c>
      <c r="E19" s="103" t="str">
        <f t="shared" ca="1" si="2"/>
        <v>ff6a17c2</v>
      </c>
      <c r="F19" s="2">
        <v>13</v>
      </c>
      <c r="G19" s="2">
        <f ca="1">MOD(LEN(SUBSTITUTE( SUBSTITUTE( SUBSTITUTE( SUBSTITUTE( SUBSTITUTE( SUBSTITUTE( SUBSTITUTE( SUBSTITUTE(
    DEC2HEX(_xlfn.BITAND(QUOTIENT(Table1[[#This Row],[Address (dec)]],4),HEX2DEC(G$1)),5)&amp;DEC2HEX(_xlfn.BITAND(HEX2DEC(Table1[[#This Row],[32b hex]]),HEX2DEC(G$2)),8),
"0", ""), "3", ""), "5", ""), "6", ""), "9", ""), "A", ""), "C", ""), "F", "")),2)</f>
        <v>1</v>
      </c>
      <c r="H19" s="95">
        <f ca="1">MOD(LEN(SUBSTITUTE( SUBSTITUTE( SUBSTITUTE( SUBSTITUTE( SUBSTITUTE( SUBSTITUTE( SUBSTITUTE( SUBSTITUTE(
    DEC2HEX(_xlfn.BITAND(QUOTIENT(Table1[[#This Row],[Address (dec)]],4),HEX2DEC(H$1)),5)&amp;DEC2HEX(_xlfn.BITAND(HEX2DEC(Table1[[#This Row],[32b hex]]),HEX2DEC(H$2)),8),
"0", ""), "3", ""), "5", ""), "6", ""), "9", ""), "A", ""), "C", ""), "F", "")),2)</f>
        <v>0</v>
      </c>
      <c r="I19" s="2">
        <f ca="1">MOD(LEN(SUBSTITUTE( SUBSTITUTE( SUBSTITUTE( SUBSTITUTE( SUBSTITUTE( SUBSTITUTE( SUBSTITUTE( SUBSTITUTE(
    DEC2HEX(_xlfn.BITAND(QUOTIENT(Table1[[#This Row],[Address (dec)]],4),HEX2DEC(I$1)),5)&amp;DEC2HEX(_xlfn.BITAND(HEX2DEC(Table1[[#This Row],[32b hex]]),HEX2DEC(I$2)),8),
"0", ""), "3", ""), "5", ""), "6", ""), "9", ""), "A", ""), "C", ""), "F", "")),2)</f>
        <v>0</v>
      </c>
      <c r="J19" s="2">
        <f ca="1">MOD(LEN(SUBSTITUTE( SUBSTITUTE( SUBSTITUTE( SUBSTITUTE( SUBSTITUTE( SUBSTITUTE( SUBSTITUTE( SUBSTITUTE(
    DEC2HEX(_xlfn.BITAND(QUOTIENT(Table1[[#This Row],[Address (dec)]],4),HEX2DEC(J$1)),5)&amp;DEC2HEX(_xlfn.BITAND(HEX2DEC(Table1[[#This Row],[32b hex]]),HEX2DEC(J$2)),8),
"0", ""), "3", ""), "5", ""), "6", ""), "9", ""), "A", ""), "C", ""), "F", "")),2)</f>
        <v>0</v>
      </c>
      <c r="K19" s="2">
        <f ca="1">MOD(LEN(SUBSTITUTE( SUBSTITUTE( SUBSTITUTE( SUBSTITUTE( SUBSTITUTE( SUBSTITUTE( SUBSTITUTE( SUBSTITUTE(
    DEC2HEX(_xlfn.BITAND(QUOTIENT(Table1[[#This Row],[Address (dec)]],4),HEX2DEC(K$1)),5)&amp;DEC2HEX(_xlfn.BITAND(HEX2DEC(Table1[[#This Row],[32b hex]]),HEX2DEC(K$2)),8),
"0", ""), "3", ""), "5", ""), "6", ""), "9", ""), "A", ""), "C", ""), "F", "")),2)</f>
        <v>1</v>
      </c>
      <c r="L19" s="2">
        <f ca="1">MOD(LEN(SUBSTITUTE( SUBSTITUTE( SUBSTITUTE( SUBSTITUTE( SUBSTITUTE( SUBSTITUTE( SUBSTITUTE( SUBSTITUTE(
    DEC2HEX(_xlfn.BITAND(QUOTIENT(Table1[[#This Row],[Address (dec)]],4),HEX2DEC(L$1)),5)&amp;DEC2HEX(_xlfn.BITAND(HEX2DEC(Table1[[#This Row],[32b hex]]),HEX2DEC(L$2)),8),
"0", ""), "3", ""), "5", ""), "6", ""), "9", ""), "A", ""), "C", ""), "F", "")),2)</f>
        <v>0</v>
      </c>
      <c r="M19" s="2">
        <f ca="1">MOD(LEN(SUBSTITUTE( SUBSTITUTE( SUBSTITUTE( SUBSTITUTE( SUBSTITUTE( SUBSTITUTE( SUBSTITUTE( SUBSTITUTE(
    DEC2HEX(_xlfn.BITAND(QUOTIENT(Table1[[#This Row],[Address (dec)]],4),HEX2DEC(M$1)),5)&amp;DEC2HEX(_xlfn.BITAND(HEX2DEC(Table1[[#This Row],[32b hex]]),HEX2DEC(M$2)),8),
"0", ""), "3", ""), "5", ""), "6", ""), "9", ""), "A", ""), "C", ""), "F", "")),2)</f>
        <v>1</v>
      </c>
      <c r="N19" s="94" t="str">
        <f ca="1">BIN2HEX(Table1[[#This Row],[ECC'[6']]]&amp;Table1[[#This Row],[ECC'[5']]]&amp;Table1[[#This Row],[ECC'[4']]]&amp;Table1[[#This Row],[ECC'[3']]]&amp;Table1[[#This Row],[ECC'[2']]]&amp;Table1[[#This Row],[ECC'[1']]]&amp;Table1[[#This Row],[ECC'[0']]],2)</f>
        <v>45</v>
      </c>
      <c r="O19" s="103" t="str">
        <f ca="1">LOWER(Table1[[#This Row],[ECC (hex)]]&amp;Table1[[#This Row],[32b hex]])</f>
        <v>45ff6a17c2</v>
      </c>
      <c r="P19" s="104" t="s">
        <v>414</v>
      </c>
      <c r="Q19" s="109" t="s">
        <v>416</v>
      </c>
      <c r="R19" s="107" t="str">
        <f>DEC2HEX(IF(IntelHexUseAbsAddr,MOD(Table1[[#This Row],[Address (dec)]],2^16),Table1[[#This Row],[DW_ADDRESS]]*4),4)</f>
        <v>1034</v>
      </c>
      <c r="S19" s="111" t="s">
        <v>418</v>
      </c>
      <c r="T19" s="113" t="str">
        <f ca="1">UPPER(MID(Table1[[#This Row],[32b hex]],7,2)&amp;MID(Table1[[#This Row],[32b hex]],5,2)&amp;MID(Table1[[#This Row],[32b hex]],3,2)&amp;MID(Table1[[#This Row],[32b hex]],1,2))</f>
        <v>C2176AFF</v>
      </c>
      <c r="U19" s="115" t="str">
        <f t="shared" ca="1" si="0"/>
        <v>76</v>
      </c>
      <c r="V19" s="103" t="str">
        <f t="shared" ca="1" si="1"/>
        <v>:04103400C2176AFF76</v>
      </c>
    </row>
    <row r="20" spans="1:22">
      <c r="A20" s="2">
        <v>4152</v>
      </c>
      <c r="B20" s="2" t="str">
        <f>"0x" &amp; DEC2HEX(Table1[[#This Row],[Address (dec)]],4)</f>
        <v>0x1038</v>
      </c>
      <c r="C20" s="2" t="str">
        <f ca="1">DEC2HEX(SUMIFS(MemoryView!$D$4:$D$103,MemoryView!$A$4:$A$103,"0x"&amp;DEC2HEX(Output!$A20+2,4)),4)</f>
        <v>E5B4</v>
      </c>
      <c r="D20" s="2" t="str">
        <f ca="1">DEC2HEX(SUMIFS(MemoryView!$D$4:$D$103,MemoryView!$A$4:$A$103,"0x"&amp;DEC2HEX(Output!$A20,4)),4)</f>
        <v>34BC</v>
      </c>
      <c r="E20" s="103" t="str">
        <f t="shared" ca="1" si="2"/>
        <v>e5b434bc</v>
      </c>
      <c r="F20" s="2">
        <v>14</v>
      </c>
      <c r="G20" s="2">
        <f ca="1">MOD(LEN(SUBSTITUTE( SUBSTITUTE( SUBSTITUTE( SUBSTITUTE( SUBSTITUTE( SUBSTITUTE( SUBSTITUTE( SUBSTITUTE(
    DEC2HEX(_xlfn.BITAND(QUOTIENT(Table1[[#This Row],[Address (dec)]],4),HEX2DEC(G$1)),5)&amp;DEC2HEX(_xlfn.BITAND(HEX2DEC(Table1[[#This Row],[32b hex]]),HEX2DEC(G$2)),8),
"0", ""), "3", ""), "5", ""), "6", ""), "9", ""), "A", ""), "C", ""), "F", "")),2)</f>
        <v>0</v>
      </c>
      <c r="H20" s="95">
        <f ca="1">MOD(LEN(SUBSTITUTE( SUBSTITUTE( SUBSTITUTE( SUBSTITUTE( SUBSTITUTE( SUBSTITUTE( SUBSTITUTE( SUBSTITUTE(
    DEC2HEX(_xlfn.BITAND(QUOTIENT(Table1[[#This Row],[Address (dec)]],4),HEX2DEC(H$1)),5)&amp;DEC2HEX(_xlfn.BITAND(HEX2DEC(Table1[[#This Row],[32b hex]]),HEX2DEC(H$2)),8),
"0", ""), "3", ""), "5", ""), "6", ""), "9", ""), "A", ""), "C", ""), "F", "")),2)</f>
        <v>0</v>
      </c>
      <c r="I20" s="2">
        <f ca="1">MOD(LEN(SUBSTITUTE( SUBSTITUTE( SUBSTITUTE( SUBSTITUTE( SUBSTITUTE( SUBSTITUTE( SUBSTITUTE( SUBSTITUTE(
    DEC2HEX(_xlfn.BITAND(QUOTIENT(Table1[[#This Row],[Address (dec)]],4),HEX2DEC(I$1)),5)&amp;DEC2HEX(_xlfn.BITAND(HEX2DEC(Table1[[#This Row],[32b hex]]),HEX2DEC(I$2)),8),
"0", ""), "3", ""), "5", ""), "6", ""), "9", ""), "A", ""), "C", ""), "F", "")),2)</f>
        <v>0</v>
      </c>
      <c r="J20" s="2">
        <f ca="1">MOD(LEN(SUBSTITUTE( SUBSTITUTE( SUBSTITUTE( SUBSTITUTE( SUBSTITUTE( SUBSTITUTE( SUBSTITUTE( SUBSTITUTE(
    DEC2HEX(_xlfn.BITAND(QUOTIENT(Table1[[#This Row],[Address (dec)]],4),HEX2DEC(J$1)),5)&amp;DEC2HEX(_xlfn.BITAND(HEX2DEC(Table1[[#This Row],[32b hex]]),HEX2DEC(J$2)),8),
"0", ""), "3", ""), "5", ""), "6", ""), "9", ""), "A", ""), "C", ""), "F", "")),2)</f>
        <v>0</v>
      </c>
      <c r="K20" s="2">
        <f ca="1">MOD(LEN(SUBSTITUTE( SUBSTITUTE( SUBSTITUTE( SUBSTITUTE( SUBSTITUTE( SUBSTITUTE( SUBSTITUTE( SUBSTITUTE(
    DEC2HEX(_xlfn.BITAND(QUOTIENT(Table1[[#This Row],[Address (dec)]],4),HEX2DEC(K$1)),5)&amp;DEC2HEX(_xlfn.BITAND(HEX2DEC(Table1[[#This Row],[32b hex]]),HEX2DEC(K$2)),8),
"0", ""), "3", ""), "5", ""), "6", ""), "9", ""), "A", ""), "C", ""), "F", "")),2)</f>
        <v>0</v>
      </c>
      <c r="L20" s="2">
        <f ca="1">MOD(LEN(SUBSTITUTE( SUBSTITUTE( SUBSTITUTE( SUBSTITUTE( SUBSTITUTE( SUBSTITUTE( SUBSTITUTE( SUBSTITUTE(
    DEC2HEX(_xlfn.BITAND(QUOTIENT(Table1[[#This Row],[Address (dec)]],4),HEX2DEC(L$1)),5)&amp;DEC2HEX(_xlfn.BITAND(HEX2DEC(Table1[[#This Row],[32b hex]]),HEX2DEC(L$2)),8),
"0", ""), "3", ""), "5", ""), "6", ""), "9", ""), "A", ""), "C", ""), "F", "")),2)</f>
        <v>0</v>
      </c>
      <c r="M20" s="2">
        <f ca="1">MOD(LEN(SUBSTITUTE( SUBSTITUTE( SUBSTITUTE( SUBSTITUTE( SUBSTITUTE( SUBSTITUTE( SUBSTITUTE( SUBSTITUTE(
    DEC2HEX(_xlfn.BITAND(QUOTIENT(Table1[[#This Row],[Address (dec)]],4),HEX2DEC(M$1)),5)&amp;DEC2HEX(_xlfn.BITAND(HEX2DEC(Table1[[#This Row],[32b hex]]),HEX2DEC(M$2)),8),
"0", ""), "3", ""), "5", ""), "6", ""), "9", ""), "A", ""), "C", ""), "F", "")),2)</f>
        <v>1</v>
      </c>
      <c r="N20" s="94" t="str">
        <f ca="1">BIN2HEX(Table1[[#This Row],[ECC'[6']]]&amp;Table1[[#This Row],[ECC'[5']]]&amp;Table1[[#This Row],[ECC'[4']]]&amp;Table1[[#This Row],[ECC'[3']]]&amp;Table1[[#This Row],[ECC'[2']]]&amp;Table1[[#This Row],[ECC'[1']]]&amp;Table1[[#This Row],[ECC'[0']]],2)</f>
        <v>01</v>
      </c>
      <c r="O20" s="103" t="str">
        <f ca="1">LOWER(Table1[[#This Row],[ECC (hex)]]&amp;Table1[[#This Row],[32b hex]])</f>
        <v>01e5b434bc</v>
      </c>
      <c r="P20" s="104" t="s">
        <v>414</v>
      </c>
      <c r="Q20" s="109" t="s">
        <v>416</v>
      </c>
      <c r="R20" s="107" t="str">
        <f>DEC2HEX(IF(IntelHexUseAbsAddr,MOD(Table1[[#This Row],[Address (dec)]],2^16),Table1[[#This Row],[DW_ADDRESS]]*4),4)</f>
        <v>1038</v>
      </c>
      <c r="S20" s="111" t="s">
        <v>418</v>
      </c>
      <c r="T20" s="113" t="str">
        <f ca="1">UPPER(MID(Table1[[#This Row],[32b hex]],7,2)&amp;MID(Table1[[#This Row],[32b hex]],5,2)&amp;MID(Table1[[#This Row],[32b hex]],3,2)&amp;MID(Table1[[#This Row],[32b hex]],1,2))</f>
        <v>BC34B4E5</v>
      </c>
      <c r="U20" s="115" t="str">
        <f t="shared" ca="1" si="0"/>
        <v>2B</v>
      </c>
      <c r="V20" s="103" t="str">
        <f t="shared" ca="1" si="1"/>
        <v>:04103800BC34B4E52B</v>
      </c>
    </row>
    <row r="21" spans="1:22">
      <c r="A21" s="2">
        <v>4156</v>
      </c>
      <c r="B21" s="2" t="str">
        <f>"0x" &amp; DEC2HEX(Table1[[#This Row],[Address (dec)]],4)</f>
        <v>0x103C</v>
      </c>
      <c r="C21" s="2" t="str">
        <f ca="1">DEC2HEX(SUMIFS(MemoryView!$D$4:$D$103,MemoryView!$A$4:$A$103,"0x"&amp;DEC2HEX(Output!$A21+2,4)),4)</f>
        <v>0076</v>
      </c>
      <c r="D21" s="2" t="str">
        <f ca="1">DEC2HEX(SUMIFS(MemoryView!$D$4:$D$103,MemoryView!$A$4:$A$103,"0x"&amp;DEC2HEX(Output!$A21,4)),4)</f>
        <v>4C8A</v>
      </c>
      <c r="E21" s="103" t="str">
        <f t="shared" ca="1" si="2"/>
        <v>00764c8a</v>
      </c>
      <c r="F21" s="2">
        <v>15</v>
      </c>
      <c r="G21" s="2">
        <f ca="1">MOD(LEN(SUBSTITUTE( SUBSTITUTE( SUBSTITUTE( SUBSTITUTE( SUBSTITUTE( SUBSTITUTE( SUBSTITUTE( SUBSTITUTE(
    DEC2HEX(_xlfn.BITAND(QUOTIENT(Table1[[#This Row],[Address (dec)]],4),HEX2DEC(G$1)),5)&amp;DEC2HEX(_xlfn.BITAND(HEX2DEC(Table1[[#This Row],[32b hex]]),HEX2DEC(G$2)),8),
"0", ""), "3", ""), "5", ""), "6", ""), "9", ""), "A", ""), "C", ""), "F", "")),2)</f>
        <v>0</v>
      </c>
      <c r="H21" s="95">
        <f ca="1">MOD(LEN(SUBSTITUTE( SUBSTITUTE( SUBSTITUTE( SUBSTITUTE( SUBSTITUTE( SUBSTITUTE( SUBSTITUTE( SUBSTITUTE(
    DEC2HEX(_xlfn.BITAND(QUOTIENT(Table1[[#This Row],[Address (dec)]],4),HEX2DEC(H$1)),5)&amp;DEC2HEX(_xlfn.BITAND(HEX2DEC(Table1[[#This Row],[32b hex]]),HEX2DEC(H$2)),8),
"0", ""), "3", ""), "5", ""), "6", ""), "9", ""), "A", ""), "C", ""), "F", "")),2)</f>
        <v>1</v>
      </c>
      <c r="I21" s="2">
        <f ca="1">MOD(LEN(SUBSTITUTE( SUBSTITUTE( SUBSTITUTE( SUBSTITUTE( SUBSTITUTE( SUBSTITUTE( SUBSTITUTE( SUBSTITUTE(
    DEC2HEX(_xlfn.BITAND(QUOTIENT(Table1[[#This Row],[Address (dec)]],4),HEX2DEC(I$1)),5)&amp;DEC2HEX(_xlfn.BITAND(HEX2DEC(Table1[[#This Row],[32b hex]]),HEX2DEC(I$2)),8),
"0", ""), "3", ""), "5", ""), "6", ""), "9", ""), "A", ""), "C", ""), "F", "")),2)</f>
        <v>1</v>
      </c>
      <c r="J21" s="2">
        <f ca="1">MOD(LEN(SUBSTITUTE( SUBSTITUTE( SUBSTITUTE( SUBSTITUTE( SUBSTITUTE( SUBSTITUTE( SUBSTITUTE( SUBSTITUTE(
    DEC2HEX(_xlfn.BITAND(QUOTIENT(Table1[[#This Row],[Address (dec)]],4),HEX2DEC(J$1)),5)&amp;DEC2HEX(_xlfn.BITAND(HEX2DEC(Table1[[#This Row],[32b hex]]),HEX2DEC(J$2)),8),
"0", ""), "3", ""), "5", ""), "6", ""), "9", ""), "A", ""), "C", ""), "F", "")),2)</f>
        <v>1</v>
      </c>
      <c r="K21" s="2">
        <f ca="1">MOD(LEN(SUBSTITUTE( SUBSTITUTE( SUBSTITUTE( SUBSTITUTE( SUBSTITUTE( SUBSTITUTE( SUBSTITUTE( SUBSTITUTE(
    DEC2HEX(_xlfn.BITAND(QUOTIENT(Table1[[#This Row],[Address (dec)]],4),HEX2DEC(K$1)),5)&amp;DEC2HEX(_xlfn.BITAND(HEX2DEC(Table1[[#This Row],[32b hex]]),HEX2DEC(K$2)),8),
"0", ""), "3", ""), "5", ""), "6", ""), "9", ""), "A", ""), "C", ""), "F", "")),2)</f>
        <v>1</v>
      </c>
      <c r="L21" s="2">
        <f ca="1">MOD(LEN(SUBSTITUTE( SUBSTITUTE( SUBSTITUTE( SUBSTITUTE( SUBSTITUTE( SUBSTITUTE( SUBSTITUTE( SUBSTITUTE(
    DEC2HEX(_xlfn.BITAND(QUOTIENT(Table1[[#This Row],[Address (dec)]],4),HEX2DEC(L$1)),5)&amp;DEC2HEX(_xlfn.BITAND(HEX2DEC(Table1[[#This Row],[32b hex]]),HEX2DEC(L$2)),8),
"0", ""), "3", ""), "5", ""), "6", ""), "9", ""), "A", ""), "C", ""), "F", "")),2)</f>
        <v>0</v>
      </c>
      <c r="M21" s="2">
        <f ca="1">MOD(LEN(SUBSTITUTE( SUBSTITUTE( SUBSTITUTE( SUBSTITUTE( SUBSTITUTE( SUBSTITUTE( SUBSTITUTE( SUBSTITUTE(
    DEC2HEX(_xlfn.BITAND(QUOTIENT(Table1[[#This Row],[Address (dec)]],4),HEX2DEC(M$1)),5)&amp;DEC2HEX(_xlfn.BITAND(HEX2DEC(Table1[[#This Row],[32b hex]]),HEX2DEC(M$2)),8),
"0", ""), "3", ""), "5", ""), "6", ""), "9", ""), "A", ""), "C", ""), "F", "")),2)</f>
        <v>0</v>
      </c>
      <c r="N21" s="94" t="str">
        <f ca="1">BIN2HEX(Table1[[#This Row],[ECC'[6']]]&amp;Table1[[#This Row],[ECC'[5']]]&amp;Table1[[#This Row],[ECC'[4']]]&amp;Table1[[#This Row],[ECC'[3']]]&amp;Table1[[#This Row],[ECC'[2']]]&amp;Table1[[#This Row],[ECC'[1']]]&amp;Table1[[#This Row],[ECC'[0']]],2)</f>
        <v>3C</v>
      </c>
      <c r="O21" s="103" t="str">
        <f ca="1">LOWER(Table1[[#This Row],[ECC (hex)]]&amp;Table1[[#This Row],[32b hex]])</f>
        <v>3c00764c8a</v>
      </c>
      <c r="P21" s="104" t="s">
        <v>414</v>
      </c>
      <c r="Q21" s="109" t="s">
        <v>416</v>
      </c>
      <c r="R21" s="107" t="str">
        <f>DEC2HEX(IF(IntelHexUseAbsAddr,MOD(Table1[[#This Row],[Address (dec)]],2^16),Table1[[#This Row],[DW_ADDRESS]]*4),4)</f>
        <v>103C</v>
      </c>
      <c r="S21" s="111" t="s">
        <v>418</v>
      </c>
      <c r="T21" s="113" t="str">
        <f ca="1">UPPER(MID(Table1[[#This Row],[32b hex]],7,2)&amp;MID(Table1[[#This Row],[32b hex]],5,2)&amp;MID(Table1[[#This Row],[32b hex]],3,2)&amp;MID(Table1[[#This Row],[32b hex]],1,2))</f>
        <v>8A4C7600</v>
      </c>
      <c r="U21" s="115" t="str">
        <f t="shared" ca="1" si="0"/>
        <v>64</v>
      </c>
      <c r="V21" s="103" t="str">
        <f t="shared" ca="1" si="1"/>
        <v>:04103C008A4C760064</v>
      </c>
    </row>
    <row r="22" spans="1:22">
      <c r="A22" s="2">
        <v>4160</v>
      </c>
      <c r="B22" s="2" t="str">
        <f>"0x" &amp; DEC2HEX(Table1[[#This Row],[Address (dec)]],4)</f>
        <v>0x1040</v>
      </c>
      <c r="C22" s="2" t="str">
        <f ca="1">DEC2HEX(SUMIFS(MemoryView!$D$4:$D$103,MemoryView!$A$4:$A$103,"0x"&amp;DEC2HEX(Output!$A22+2,4)),4)</f>
        <v>0061</v>
      </c>
      <c r="D22" s="2" t="str">
        <f ca="1">DEC2HEX(SUMIFS(MemoryView!$D$4:$D$103,MemoryView!$A$4:$A$103,"0x"&amp;DEC2HEX(Output!$A22,4)),4)</f>
        <v>0303</v>
      </c>
      <c r="E22" s="103" t="str">
        <f t="shared" ca="1" si="2"/>
        <v>00610303</v>
      </c>
      <c r="F22" s="2">
        <v>16</v>
      </c>
      <c r="G22" s="2">
        <f ca="1">MOD(LEN(SUBSTITUTE( SUBSTITUTE( SUBSTITUTE( SUBSTITUTE( SUBSTITUTE( SUBSTITUTE( SUBSTITUTE( SUBSTITUTE(
    DEC2HEX(_xlfn.BITAND(QUOTIENT(Table1[[#This Row],[Address (dec)]],4),HEX2DEC(G$1)),5)&amp;DEC2HEX(_xlfn.BITAND(HEX2DEC(Table1[[#This Row],[32b hex]]),HEX2DEC(G$2)),8),
"0", ""), "3", ""), "5", ""), "6", ""), "9", ""), "A", ""), "C", ""), "F", "")),2)</f>
        <v>0</v>
      </c>
      <c r="H22" s="95">
        <f ca="1">MOD(LEN(SUBSTITUTE( SUBSTITUTE( SUBSTITUTE( SUBSTITUTE( SUBSTITUTE( SUBSTITUTE( SUBSTITUTE( SUBSTITUTE(
    DEC2HEX(_xlfn.BITAND(QUOTIENT(Table1[[#This Row],[Address (dec)]],4),HEX2DEC(H$1)),5)&amp;DEC2HEX(_xlfn.BITAND(HEX2DEC(Table1[[#This Row],[32b hex]]),HEX2DEC(H$2)),8),
"0", ""), "3", ""), "5", ""), "6", ""), "9", ""), "A", ""), "C", ""), "F", "")),2)</f>
        <v>0</v>
      </c>
      <c r="I22" s="2">
        <f ca="1">MOD(LEN(SUBSTITUTE( SUBSTITUTE( SUBSTITUTE( SUBSTITUTE( SUBSTITUTE( SUBSTITUTE( SUBSTITUTE( SUBSTITUTE(
    DEC2HEX(_xlfn.BITAND(QUOTIENT(Table1[[#This Row],[Address (dec)]],4),HEX2DEC(I$1)),5)&amp;DEC2HEX(_xlfn.BITAND(HEX2DEC(Table1[[#This Row],[32b hex]]),HEX2DEC(I$2)),8),
"0", ""), "3", ""), "5", ""), "6", ""), "9", ""), "A", ""), "C", ""), "F", "")),2)</f>
        <v>1</v>
      </c>
      <c r="J22" s="2">
        <f ca="1">MOD(LEN(SUBSTITUTE( SUBSTITUTE( SUBSTITUTE( SUBSTITUTE( SUBSTITUTE( SUBSTITUTE( SUBSTITUTE( SUBSTITUTE(
    DEC2HEX(_xlfn.BITAND(QUOTIENT(Table1[[#This Row],[Address (dec)]],4),HEX2DEC(J$1)),5)&amp;DEC2HEX(_xlfn.BITAND(HEX2DEC(Table1[[#This Row],[32b hex]]),HEX2DEC(J$2)),8),
"0", ""), "3", ""), "5", ""), "6", ""), "9", ""), "A", ""), "C", ""), "F", "")),2)</f>
        <v>0</v>
      </c>
      <c r="K22" s="2">
        <f ca="1">MOD(LEN(SUBSTITUTE( SUBSTITUTE( SUBSTITUTE( SUBSTITUTE( SUBSTITUTE( SUBSTITUTE( SUBSTITUTE( SUBSTITUTE(
    DEC2HEX(_xlfn.BITAND(QUOTIENT(Table1[[#This Row],[Address (dec)]],4),HEX2DEC(K$1)),5)&amp;DEC2HEX(_xlfn.BITAND(HEX2DEC(Table1[[#This Row],[32b hex]]),HEX2DEC(K$2)),8),
"0", ""), "3", ""), "5", ""), "6", ""), "9", ""), "A", ""), "C", ""), "F", "")),2)</f>
        <v>0</v>
      </c>
      <c r="L22" s="2">
        <f ca="1">MOD(LEN(SUBSTITUTE( SUBSTITUTE( SUBSTITUTE( SUBSTITUTE( SUBSTITUTE( SUBSTITUTE( SUBSTITUTE( SUBSTITUTE(
    DEC2HEX(_xlfn.BITAND(QUOTIENT(Table1[[#This Row],[Address (dec)]],4),HEX2DEC(L$1)),5)&amp;DEC2HEX(_xlfn.BITAND(HEX2DEC(Table1[[#This Row],[32b hex]]),HEX2DEC(L$2)),8),
"0", ""), "3", ""), "5", ""), "6", ""), "9", ""), "A", ""), "C", ""), "F", "")),2)</f>
        <v>1</v>
      </c>
      <c r="M22" s="2">
        <f ca="1">MOD(LEN(SUBSTITUTE( SUBSTITUTE( SUBSTITUTE( SUBSTITUTE( SUBSTITUTE( SUBSTITUTE( SUBSTITUTE( SUBSTITUTE(
    DEC2HEX(_xlfn.BITAND(QUOTIENT(Table1[[#This Row],[Address (dec)]],4),HEX2DEC(M$1)),5)&amp;DEC2HEX(_xlfn.BITAND(HEX2DEC(Table1[[#This Row],[32b hex]]),HEX2DEC(M$2)),8),
"0", ""), "3", ""), "5", ""), "6", ""), "9", ""), "A", ""), "C", ""), "F", "")),2)</f>
        <v>1</v>
      </c>
      <c r="N22" s="94" t="str">
        <f ca="1">BIN2HEX(Table1[[#This Row],[ECC'[6']]]&amp;Table1[[#This Row],[ECC'[5']]]&amp;Table1[[#This Row],[ECC'[4']]]&amp;Table1[[#This Row],[ECC'[3']]]&amp;Table1[[#This Row],[ECC'[2']]]&amp;Table1[[#This Row],[ECC'[1']]]&amp;Table1[[#This Row],[ECC'[0']]],2)</f>
        <v>13</v>
      </c>
      <c r="O22" s="103" t="str">
        <f ca="1">LOWER(Table1[[#This Row],[ECC (hex)]]&amp;Table1[[#This Row],[32b hex]])</f>
        <v>1300610303</v>
      </c>
      <c r="P22" s="104" t="s">
        <v>414</v>
      </c>
      <c r="Q22" s="109" t="s">
        <v>416</v>
      </c>
      <c r="R22" s="107" t="str">
        <f>DEC2HEX(IF(IntelHexUseAbsAddr,MOD(Table1[[#This Row],[Address (dec)]],2^16),Table1[[#This Row],[DW_ADDRESS]]*4),4)</f>
        <v>1040</v>
      </c>
      <c r="S22" s="111" t="s">
        <v>418</v>
      </c>
      <c r="T22" s="113" t="str">
        <f ca="1">UPPER(MID(Table1[[#This Row],[32b hex]],7,2)&amp;MID(Table1[[#This Row],[32b hex]],5,2)&amp;MID(Table1[[#This Row],[32b hex]],3,2)&amp;MID(Table1[[#This Row],[32b hex]],1,2))</f>
        <v>03036100</v>
      </c>
      <c r="U22" s="115" t="str">
        <f t="shared" ca="1" si="0"/>
        <v>45</v>
      </c>
      <c r="V22" s="103" t="str">
        <f t="shared" ca="1" si="1"/>
        <v>:041040000303610045</v>
      </c>
    </row>
    <row r="23" spans="1:22">
      <c r="A23" s="2">
        <v>4164</v>
      </c>
      <c r="B23" s="2" t="str">
        <f>"0x" &amp; DEC2HEX(Table1[[#This Row],[Address (dec)]],4)</f>
        <v>0x1044</v>
      </c>
      <c r="C23" s="2" t="str">
        <f ca="1">DEC2HEX(SUMIFS(MemoryView!$D$4:$D$103,MemoryView!$A$4:$A$103,"0x"&amp;DEC2HEX(Output!$A23+2,4)),4)</f>
        <v>0002</v>
      </c>
      <c r="D23" s="2" t="str">
        <f ca="1">DEC2HEX(SUMIFS(MemoryView!$D$4:$D$103,MemoryView!$A$4:$A$103,"0x"&amp;DEC2HEX(Output!$A23,4)),4)</f>
        <v>94CB</v>
      </c>
      <c r="E23" s="103" t="str">
        <f t="shared" ca="1" si="2"/>
        <v>000294cb</v>
      </c>
      <c r="F23" s="2">
        <v>17</v>
      </c>
      <c r="G23" s="2">
        <f ca="1">MOD(LEN(SUBSTITUTE( SUBSTITUTE( SUBSTITUTE( SUBSTITUTE( SUBSTITUTE( SUBSTITUTE( SUBSTITUTE( SUBSTITUTE(
    DEC2HEX(_xlfn.BITAND(QUOTIENT(Table1[[#This Row],[Address (dec)]],4),HEX2DEC(G$1)),5)&amp;DEC2HEX(_xlfn.BITAND(HEX2DEC(Table1[[#This Row],[32b hex]]),HEX2DEC(G$2)),8),
"0", ""), "3", ""), "5", ""), "6", ""), "9", ""), "A", ""), "C", ""), "F", "")),2)</f>
        <v>1</v>
      </c>
      <c r="H23" s="95">
        <f ca="1">MOD(LEN(SUBSTITUTE( SUBSTITUTE( SUBSTITUTE( SUBSTITUTE( SUBSTITUTE( SUBSTITUTE( SUBSTITUTE( SUBSTITUTE(
    DEC2HEX(_xlfn.BITAND(QUOTIENT(Table1[[#This Row],[Address (dec)]],4),HEX2DEC(H$1)),5)&amp;DEC2HEX(_xlfn.BITAND(HEX2DEC(Table1[[#This Row],[32b hex]]),HEX2DEC(H$2)),8),
"0", ""), "3", ""), "5", ""), "6", ""), "9", ""), "A", ""), "C", ""), "F", "")),2)</f>
        <v>0</v>
      </c>
      <c r="I23" s="2">
        <f ca="1">MOD(LEN(SUBSTITUTE( SUBSTITUTE( SUBSTITUTE( SUBSTITUTE( SUBSTITUTE( SUBSTITUTE( SUBSTITUTE( SUBSTITUTE(
    DEC2HEX(_xlfn.BITAND(QUOTIENT(Table1[[#This Row],[Address (dec)]],4),HEX2DEC(I$1)),5)&amp;DEC2HEX(_xlfn.BITAND(HEX2DEC(Table1[[#This Row],[32b hex]]),HEX2DEC(I$2)),8),
"0", ""), "3", ""), "5", ""), "6", ""), "9", ""), "A", ""), "C", ""), "F", "")),2)</f>
        <v>1</v>
      </c>
      <c r="J23" s="2">
        <f ca="1">MOD(LEN(SUBSTITUTE( SUBSTITUTE( SUBSTITUTE( SUBSTITUTE( SUBSTITUTE( SUBSTITUTE( SUBSTITUTE( SUBSTITUTE(
    DEC2HEX(_xlfn.BITAND(QUOTIENT(Table1[[#This Row],[Address (dec)]],4),HEX2DEC(J$1)),5)&amp;DEC2HEX(_xlfn.BITAND(HEX2DEC(Table1[[#This Row],[32b hex]]),HEX2DEC(J$2)),8),
"0", ""), "3", ""), "5", ""), "6", ""), "9", ""), "A", ""), "C", ""), "F", "")),2)</f>
        <v>1</v>
      </c>
      <c r="K23" s="2">
        <f ca="1">MOD(LEN(SUBSTITUTE( SUBSTITUTE( SUBSTITUTE( SUBSTITUTE( SUBSTITUTE( SUBSTITUTE( SUBSTITUTE( SUBSTITUTE(
    DEC2HEX(_xlfn.BITAND(QUOTIENT(Table1[[#This Row],[Address (dec)]],4),HEX2DEC(K$1)),5)&amp;DEC2HEX(_xlfn.BITAND(HEX2DEC(Table1[[#This Row],[32b hex]]),HEX2DEC(K$2)),8),
"0", ""), "3", ""), "5", ""), "6", ""), "9", ""), "A", ""), "C", ""), "F", "")),2)</f>
        <v>1</v>
      </c>
      <c r="L23" s="2">
        <f ca="1">MOD(LEN(SUBSTITUTE( SUBSTITUTE( SUBSTITUTE( SUBSTITUTE( SUBSTITUTE( SUBSTITUTE( SUBSTITUTE( SUBSTITUTE(
    DEC2HEX(_xlfn.BITAND(QUOTIENT(Table1[[#This Row],[Address (dec)]],4),HEX2DEC(L$1)),5)&amp;DEC2HEX(_xlfn.BITAND(HEX2DEC(Table1[[#This Row],[32b hex]]),HEX2DEC(L$2)),8),
"0", ""), "3", ""), "5", ""), "6", ""), "9", ""), "A", ""), "C", ""), "F", "")),2)</f>
        <v>0</v>
      </c>
      <c r="M23" s="2">
        <f ca="1">MOD(LEN(SUBSTITUTE( SUBSTITUTE( SUBSTITUTE( SUBSTITUTE( SUBSTITUTE( SUBSTITUTE( SUBSTITUTE( SUBSTITUTE(
    DEC2HEX(_xlfn.BITAND(QUOTIENT(Table1[[#This Row],[Address (dec)]],4),HEX2DEC(M$1)),5)&amp;DEC2HEX(_xlfn.BITAND(HEX2DEC(Table1[[#This Row],[32b hex]]),HEX2DEC(M$2)),8),
"0", ""), "3", ""), "5", ""), "6", ""), "9", ""), "A", ""), "C", ""), "F", "")),2)</f>
        <v>0</v>
      </c>
      <c r="N23" s="94" t="str">
        <f ca="1">BIN2HEX(Table1[[#This Row],[ECC'[6']]]&amp;Table1[[#This Row],[ECC'[5']]]&amp;Table1[[#This Row],[ECC'[4']]]&amp;Table1[[#This Row],[ECC'[3']]]&amp;Table1[[#This Row],[ECC'[2']]]&amp;Table1[[#This Row],[ECC'[1']]]&amp;Table1[[#This Row],[ECC'[0']]],2)</f>
        <v>5C</v>
      </c>
      <c r="O23" s="103" t="str">
        <f ca="1">LOWER(Table1[[#This Row],[ECC (hex)]]&amp;Table1[[#This Row],[32b hex]])</f>
        <v>5c000294cb</v>
      </c>
      <c r="P23" s="104" t="s">
        <v>414</v>
      </c>
      <c r="Q23" s="109" t="s">
        <v>416</v>
      </c>
      <c r="R23" s="107" t="str">
        <f>DEC2HEX(IF(IntelHexUseAbsAddr,MOD(Table1[[#This Row],[Address (dec)]],2^16),Table1[[#This Row],[DW_ADDRESS]]*4),4)</f>
        <v>1044</v>
      </c>
      <c r="S23" s="111" t="s">
        <v>418</v>
      </c>
      <c r="T23" s="113" t="str">
        <f ca="1">UPPER(MID(Table1[[#This Row],[32b hex]],7,2)&amp;MID(Table1[[#This Row],[32b hex]],5,2)&amp;MID(Table1[[#This Row],[32b hex]],3,2)&amp;MID(Table1[[#This Row],[32b hex]],1,2))</f>
        <v>CB940200</v>
      </c>
      <c r="U23" s="115" t="str">
        <f t="shared" ca="1" si="0"/>
        <v>47</v>
      </c>
      <c r="V23" s="103" t="str">
        <f t="shared" ca="1" si="1"/>
        <v>:04104400CB94020047</v>
      </c>
    </row>
    <row r="24" spans="1:22">
      <c r="A24" s="2">
        <v>4168</v>
      </c>
      <c r="B24" s="2" t="str">
        <f>"0x" &amp; DEC2HEX(Table1[[#This Row],[Address (dec)]],4)</f>
        <v>0x1048</v>
      </c>
      <c r="C24" s="2" t="str">
        <f ca="1">DEC2HEX(SUMIFS(MemoryView!$D$4:$D$103,MemoryView!$A$4:$A$103,"0x"&amp;DEC2HEX(Output!$A24+2,4)),4)</f>
        <v>0000</v>
      </c>
      <c r="D24" s="2" t="str">
        <f ca="1">DEC2HEX(SUMIFS(MemoryView!$D$4:$D$103,MemoryView!$A$4:$A$103,"0x"&amp;DEC2HEX(Output!$A24,4)),4)</f>
        <v>1400</v>
      </c>
      <c r="E24" s="103" t="str">
        <f t="shared" ca="1" si="2"/>
        <v>00001400</v>
      </c>
      <c r="F24" s="2">
        <v>18</v>
      </c>
      <c r="G24" s="2">
        <f ca="1">MOD(LEN(SUBSTITUTE( SUBSTITUTE( SUBSTITUTE( SUBSTITUTE( SUBSTITUTE( SUBSTITUTE( SUBSTITUTE( SUBSTITUTE(
    DEC2HEX(_xlfn.BITAND(QUOTIENT(Table1[[#This Row],[Address (dec)]],4),HEX2DEC(G$1)),5)&amp;DEC2HEX(_xlfn.BITAND(HEX2DEC(Table1[[#This Row],[32b hex]]),HEX2DEC(G$2)),8),
"0", ""), "3", ""), "5", ""), "6", ""), "9", ""), "A", ""), "C", ""), "F", "")),2)</f>
        <v>0</v>
      </c>
      <c r="H24" s="2">
        <f ca="1">MOD(LEN(SUBSTITUTE( SUBSTITUTE( SUBSTITUTE( SUBSTITUTE( SUBSTITUTE( SUBSTITUTE( SUBSTITUTE( SUBSTITUTE(
    DEC2HEX(_xlfn.BITAND(QUOTIENT(Table1[[#This Row],[Address (dec)]],4),HEX2DEC(H$1)),5)&amp;DEC2HEX(_xlfn.BITAND(HEX2DEC(Table1[[#This Row],[32b hex]]),HEX2DEC(H$2)),8),
"0", ""), "3", ""), "5", ""), "6", ""), "9", ""), "A", ""), "C", ""), "F", "")),2)</f>
        <v>0</v>
      </c>
      <c r="I24" s="2">
        <f ca="1">MOD(LEN(SUBSTITUTE( SUBSTITUTE( SUBSTITUTE( SUBSTITUTE( SUBSTITUTE( SUBSTITUTE( SUBSTITUTE( SUBSTITUTE(
    DEC2HEX(_xlfn.BITAND(QUOTIENT(Table1[[#This Row],[Address (dec)]],4),HEX2DEC(I$1)),5)&amp;DEC2HEX(_xlfn.BITAND(HEX2DEC(Table1[[#This Row],[32b hex]]),HEX2DEC(I$2)),8),
"0", ""), "3", ""), "5", ""), "6", ""), "9", ""), "A", ""), "C", ""), "F", "")),2)</f>
        <v>1</v>
      </c>
      <c r="J24" s="2">
        <f ca="1">MOD(LEN(SUBSTITUTE( SUBSTITUTE( SUBSTITUTE( SUBSTITUTE( SUBSTITUTE( SUBSTITUTE( SUBSTITUTE( SUBSTITUTE(
    DEC2HEX(_xlfn.BITAND(QUOTIENT(Table1[[#This Row],[Address (dec)]],4),HEX2DEC(J$1)),5)&amp;DEC2HEX(_xlfn.BITAND(HEX2DEC(Table1[[#This Row],[32b hex]]),HEX2DEC(J$2)),8),
"0", ""), "3", ""), "5", ""), "6", ""), "9", ""), "A", ""), "C", ""), "F", "")),2)</f>
        <v>0</v>
      </c>
      <c r="K24" s="2">
        <f ca="1">MOD(LEN(SUBSTITUTE( SUBSTITUTE( SUBSTITUTE( SUBSTITUTE( SUBSTITUTE( SUBSTITUTE( SUBSTITUTE( SUBSTITUTE(
    DEC2HEX(_xlfn.BITAND(QUOTIENT(Table1[[#This Row],[Address (dec)]],4),HEX2DEC(K$1)),5)&amp;DEC2HEX(_xlfn.BITAND(HEX2DEC(Table1[[#This Row],[32b hex]]),HEX2DEC(K$2)),8),
"0", ""), "3", ""), "5", ""), "6", ""), "9", ""), "A", ""), "C", ""), "F", "")),2)</f>
        <v>0</v>
      </c>
      <c r="L24" s="2">
        <f ca="1">MOD(LEN(SUBSTITUTE( SUBSTITUTE( SUBSTITUTE( SUBSTITUTE( SUBSTITUTE( SUBSTITUTE( SUBSTITUTE( SUBSTITUTE(
    DEC2HEX(_xlfn.BITAND(QUOTIENT(Table1[[#This Row],[Address (dec)]],4),HEX2DEC(L$1)),5)&amp;DEC2HEX(_xlfn.BITAND(HEX2DEC(Table1[[#This Row],[32b hex]]),HEX2DEC(L$2)),8),
"0", ""), "3", ""), "5", ""), "6", ""), "9", ""), "A", ""), "C", ""), "F", "")),2)</f>
        <v>1</v>
      </c>
      <c r="M24" s="2">
        <f ca="1">MOD(LEN(SUBSTITUTE( SUBSTITUTE( SUBSTITUTE( SUBSTITUTE( SUBSTITUTE( SUBSTITUTE( SUBSTITUTE( SUBSTITUTE(
    DEC2HEX(_xlfn.BITAND(QUOTIENT(Table1[[#This Row],[Address (dec)]],4),HEX2DEC(M$1)),5)&amp;DEC2HEX(_xlfn.BITAND(HEX2DEC(Table1[[#This Row],[32b hex]]),HEX2DEC(M$2)),8),
"0", ""), "3", ""), "5", ""), "6", ""), "9", ""), "A", ""), "C", ""), "F", "")),2)</f>
        <v>1</v>
      </c>
      <c r="N24" s="94" t="str">
        <f ca="1">BIN2HEX(Table1[[#This Row],[ECC'[6']]]&amp;Table1[[#This Row],[ECC'[5']]]&amp;Table1[[#This Row],[ECC'[4']]]&amp;Table1[[#This Row],[ECC'[3']]]&amp;Table1[[#This Row],[ECC'[2']]]&amp;Table1[[#This Row],[ECC'[1']]]&amp;Table1[[#This Row],[ECC'[0']]],2)</f>
        <v>13</v>
      </c>
      <c r="O24" s="103" t="str">
        <f ca="1">LOWER(Table1[[#This Row],[ECC (hex)]]&amp;Table1[[#This Row],[32b hex]])</f>
        <v>1300001400</v>
      </c>
      <c r="P24" s="104" t="s">
        <v>414</v>
      </c>
      <c r="Q24" s="109" t="s">
        <v>416</v>
      </c>
      <c r="R24" s="107" t="str">
        <f>DEC2HEX(IF(IntelHexUseAbsAddr,MOD(Table1[[#This Row],[Address (dec)]],2^16),Table1[[#This Row],[DW_ADDRESS]]*4),4)</f>
        <v>1048</v>
      </c>
      <c r="S24" s="111" t="s">
        <v>418</v>
      </c>
      <c r="T24" s="113" t="str">
        <f ca="1">UPPER(MID(Table1[[#This Row],[32b hex]],7,2)&amp;MID(Table1[[#This Row],[32b hex]],5,2)&amp;MID(Table1[[#This Row],[32b hex]],3,2)&amp;MID(Table1[[#This Row],[32b hex]],1,2))</f>
        <v>00140000</v>
      </c>
      <c r="U24" s="115" t="str">
        <f t="shared" ca="1" si="0"/>
        <v>90</v>
      </c>
      <c r="V24" s="103" t="str">
        <f t="shared" ca="1" si="1"/>
        <v>:041048000014000090</v>
      </c>
    </row>
    <row r="25" spans="1:22">
      <c r="A25" s="2">
        <v>4172</v>
      </c>
      <c r="B25" s="2" t="str">
        <f>"0x" &amp; DEC2HEX(Table1[[#This Row],[Address (dec)]],4)</f>
        <v>0x104C</v>
      </c>
      <c r="C25" s="2" t="str">
        <f ca="1">DEC2HEX(SUMIFS(MemoryView!$D$4:$D$103,MemoryView!$A$4:$A$103,"0x"&amp;DEC2HEX(Output!$A25+2,4)),4)</f>
        <v>0000</v>
      </c>
      <c r="D25" s="2" t="str">
        <f ca="1">DEC2HEX(SUMIFS(MemoryView!$D$4:$D$103,MemoryView!$A$4:$A$103,"0x"&amp;DEC2HEX(Output!$A25,4)),4)</f>
        <v>0000</v>
      </c>
      <c r="E25" s="103" t="str">
        <f t="shared" ca="1" si="2"/>
        <v>00000000</v>
      </c>
      <c r="F25" s="2">
        <v>19</v>
      </c>
      <c r="G25" s="2">
        <f ca="1">MOD(LEN(SUBSTITUTE( SUBSTITUTE( SUBSTITUTE( SUBSTITUTE( SUBSTITUTE( SUBSTITUTE( SUBSTITUTE( SUBSTITUTE(
    DEC2HEX(_xlfn.BITAND(QUOTIENT(Table1[[#This Row],[Address (dec)]],4),HEX2DEC(G$1)),5)&amp;DEC2HEX(_xlfn.BITAND(HEX2DEC(Table1[[#This Row],[32b hex]]),HEX2DEC(G$2)),8),
"0", ""), "3", ""), "5", ""), "6", ""), "9", ""), "A", ""), "C", ""), "F", "")),2)</f>
        <v>0</v>
      </c>
      <c r="H25" s="2">
        <f ca="1">MOD(LEN(SUBSTITUTE( SUBSTITUTE( SUBSTITUTE( SUBSTITUTE( SUBSTITUTE( SUBSTITUTE( SUBSTITUTE( SUBSTITUTE(
    DEC2HEX(_xlfn.BITAND(QUOTIENT(Table1[[#This Row],[Address (dec)]],4),HEX2DEC(H$1)),5)&amp;DEC2HEX(_xlfn.BITAND(HEX2DEC(Table1[[#This Row],[32b hex]]),HEX2DEC(H$2)),8),
"0", ""), "3", ""), "5", ""), "6", ""), "9", ""), "A", ""), "C", ""), "F", "")),2)</f>
        <v>1</v>
      </c>
      <c r="I25" s="2">
        <f ca="1">MOD(LEN(SUBSTITUTE( SUBSTITUTE( SUBSTITUTE( SUBSTITUTE( SUBSTITUTE( SUBSTITUTE( SUBSTITUTE( SUBSTITUTE(
    DEC2HEX(_xlfn.BITAND(QUOTIENT(Table1[[#This Row],[Address (dec)]],4),HEX2DEC(I$1)),5)&amp;DEC2HEX(_xlfn.BITAND(HEX2DEC(Table1[[#This Row],[32b hex]]),HEX2DEC(I$2)),8),
"0", ""), "3", ""), "5", ""), "6", ""), "9", ""), "A", ""), "C", ""), "F", "")),2)</f>
        <v>0</v>
      </c>
      <c r="J25" s="2">
        <f ca="1">MOD(LEN(SUBSTITUTE( SUBSTITUTE( SUBSTITUTE( SUBSTITUTE( SUBSTITUTE( SUBSTITUTE( SUBSTITUTE( SUBSTITUTE(
    DEC2HEX(_xlfn.BITAND(QUOTIENT(Table1[[#This Row],[Address (dec)]],4),HEX2DEC(J$1)),5)&amp;DEC2HEX(_xlfn.BITAND(HEX2DEC(Table1[[#This Row],[32b hex]]),HEX2DEC(J$2)),8),
"0", ""), "3", ""), "5", ""), "6", ""), "9", ""), "A", ""), "C", ""), "F", "")),2)</f>
        <v>1</v>
      </c>
      <c r="K25" s="2">
        <f ca="1">MOD(LEN(SUBSTITUTE( SUBSTITUTE( SUBSTITUTE( SUBSTITUTE( SUBSTITUTE( SUBSTITUTE( SUBSTITUTE( SUBSTITUTE(
    DEC2HEX(_xlfn.BITAND(QUOTIENT(Table1[[#This Row],[Address (dec)]],4),HEX2DEC(K$1)),5)&amp;DEC2HEX(_xlfn.BITAND(HEX2DEC(Table1[[#This Row],[32b hex]]),HEX2DEC(K$2)),8),
"0", ""), "3", ""), "5", ""), "6", ""), "9", ""), "A", ""), "C", ""), "F", "")),2)</f>
        <v>1</v>
      </c>
      <c r="L25" s="2">
        <f ca="1">MOD(LEN(SUBSTITUTE( SUBSTITUTE( SUBSTITUTE( SUBSTITUTE( SUBSTITUTE( SUBSTITUTE( SUBSTITUTE( SUBSTITUTE(
    DEC2HEX(_xlfn.BITAND(QUOTIENT(Table1[[#This Row],[Address (dec)]],4),HEX2DEC(L$1)),5)&amp;DEC2HEX(_xlfn.BITAND(HEX2DEC(Table1[[#This Row],[32b hex]]),HEX2DEC(L$2)),8),
"0", ""), "3", ""), "5", ""), "6", ""), "9", ""), "A", ""), "C", ""), "F", "")),2)</f>
        <v>0</v>
      </c>
      <c r="M25" s="2">
        <f ca="1">MOD(LEN(SUBSTITUTE( SUBSTITUTE( SUBSTITUTE( SUBSTITUTE( SUBSTITUTE( SUBSTITUTE( SUBSTITUTE( SUBSTITUTE(
    DEC2HEX(_xlfn.BITAND(QUOTIENT(Table1[[#This Row],[Address (dec)]],4),HEX2DEC(M$1)),5)&amp;DEC2HEX(_xlfn.BITAND(HEX2DEC(Table1[[#This Row],[32b hex]]),HEX2DEC(M$2)),8),
"0", ""), "3", ""), "5", ""), "6", ""), "9", ""), "A", ""), "C", ""), "F", "")),2)</f>
        <v>1</v>
      </c>
      <c r="N25" s="94" t="str">
        <f ca="1">BIN2HEX(Table1[[#This Row],[ECC'[6']]]&amp;Table1[[#This Row],[ECC'[5']]]&amp;Table1[[#This Row],[ECC'[4']]]&amp;Table1[[#This Row],[ECC'[3']]]&amp;Table1[[#This Row],[ECC'[2']]]&amp;Table1[[#This Row],[ECC'[1']]]&amp;Table1[[#This Row],[ECC'[0']]],2)</f>
        <v>2D</v>
      </c>
      <c r="O25" s="103" t="str">
        <f ca="1">LOWER(Table1[[#This Row],[ECC (hex)]]&amp;Table1[[#This Row],[32b hex]])</f>
        <v>2d00000000</v>
      </c>
      <c r="P25" s="104" t="s">
        <v>414</v>
      </c>
      <c r="Q25" s="109" t="s">
        <v>416</v>
      </c>
      <c r="R25" s="107" t="str">
        <f>DEC2HEX(IF(IntelHexUseAbsAddr,MOD(Table1[[#This Row],[Address (dec)]],2^16),Table1[[#This Row],[DW_ADDRESS]]*4),4)</f>
        <v>104C</v>
      </c>
      <c r="S25" s="111" t="s">
        <v>418</v>
      </c>
      <c r="T25" s="113" t="str">
        <f ca="1">UPPER(MID(Table1[[#This Row],[32b hex]],7,2)&amp;MID(Table1[[#This Row],[32b hex]],5,2)&amp;MID(Table1[[#This Row],[32b hex]],3,2)&amp;MID(Table1[[#This Row],[32b hex]],1,2))</f>
        <v>00000000</v>
      </c>
      <c r="U25" s="115" t="str">
        <f t="shared" ca="1" si="0"/>
        <v>A0</v>
      </c>
      <c r="V25" s="103" t="str">
        <f t="shared" ca="1" si="1"/>
        <v>:04104C0000000000A0</v>
      </c>
    </row>
    <row r="26" spans="1:22">
      <c r="A26" s="2">
        <v>4176</v>
      </c>
      <c r="B26" s="2" t="str">
        <f>"0x" &amp; DEC2HEX(Table1[[#This Row],[Address (dec)]],4)</f>
        <v>0x1050</v>
      </c>
      <c r="C26" s="2" t="str">
        <f ca="1">DEC2HEX(SUMIFS(MemoryView!$D$4:$D$103,MemoryView!$A$4:$A$103,"0x"&amp;DEC2HEX(Output!$A26+2,4)),4)</f>
        <v>0000</v>
      </c>
      <c r="D26" s="2" t="str">
        <f ca="1">DEC2HEX(SUMIFS(MemoryView!$D$4:$D$103,MemoryView!$A$4:$A$103,"0x"&amp;DEC2HEX(Output!$A26,4)),4)</f>
        <v>0000</v>
      </c>
      <c r="E26" s="103" t="str">
        <f t="shared" ca="1" si="2"/>
        <v>00000000</v>
      </c>
      <c r="F26" s="2">
        <v>20</v>
      </c>
      <c r="G26" s="2">
        <f ca="1">MOD(LEN(SUBSTITUTE( SUBSTITUTE( SUBSTITUTE( SUBSTITUTE( SUBSTITUTE( SUBSTITUTE( SUBSTITUTE( SUBSTITUTE(
    DEC2HEX(_xlfn.BITAND(QUOTIENT(Table1[[#This Row],[Address (dec)]],4),HEX2DEC(G$1)),5)&amp;DEC2HEX(_xlfn.BITAND(HEX2DEC(Table1[[#This Row],[32b hex]]),HEX2DEC(G$2)),8),
"0", ""), "3", ""), "5", ""), "6", ""), "9", ""), "A", ""), "C", ""), "F", "")),2)</f>
        <v>1</v>
      </c>
      <c r="H26" s="2">
        <f ca="1">MOD(LEN(SUBSTITUTE( SUBSTITUTE( SUBSTITUTE( SUBSTITUTE( SUBSTITUTE( SUBSTITUTE( SUBSTITUTE( SUBSTITUTE(
    DEC2HEX(_xlfn.BITAND(QUOTIENT(Table1[[#This Row],[Address (dec)]],4),HEX2DEC(H$1)),5)&amp;DEC2HEX(_xlfn.BITAND(HEX2DEC(Table1[[#This Row],[32b hex]]),HEX2DEC(H$2)),8),
"0", ""), "3", ""), "5", ""), "6", ""), "9", ""), "A", ""), "C", ""), "F", "")),2)</f>
        <v>1</v>
      </c>
      <c r="I26" s="2">
        <f ca="1">MOD(LEN(SUBSTITUTE( SUBSTITUTE( SUBSTITUTE( SUBSTITUTE( SUBSTITUTE( SUBSTITUTE( SUBSTITUTE( SUBSTITUTE(
    DEC2HEX(_xlfn.BITAND(QUOTIENT(Table1[[#This Row],[Address (dec)]],4),HEX2DEC(I$1)),5)&amp;DEC2HEX(_xlfn.BITAND(HEX2DEC(Table1[[#This Row],[32b hex]]),HEX2DEC(I$2)),8),
"0", ""), "3", ""), "5", ""), "6", ""), "9", ""), "A", ""), "C", ""), "F", "")),2)</f>
        <v>0</v>
      </c>
      <c r="J26" s="2">
        <f ca="1">MOD(LEN(SUBSTITUTE( SUBSTITUTE( SUBSTITUTE( SUBSTITUTE( SUBSTITUTE( SUBSTITUTE( SUBSTITUTE( SUBSTITUTE(
    DEC2HEX(_xlfn.BITAND(QUOTIENT(Table1[[#This Row],[Address (dec)]],4),HEX2DEC(J$1)),5)&amp;DEC2HEX(_xlfn.BITAND(HEX2DEC(Table1[[#This Row],[32b hex]]),HEX2DEC(J$2)),8),
"0", ""), "3", ""), "5", ""), "6", ""), "9", ""), "A", ""), "C", ""), "F", "")),2)</f>
        <v>0</v>
      </c>
      <c r="K26" s="2">
        <f ca="1">MOD(LEN(SUBSTITUTE( SUBSTITUTE( SUBSTITUTE( SUBSTITUTE( SUBSTITUTE( SUBSTITUTE( SUBSTITUTE( SUBSTITUTE(
    DEC2HEX(_xlfn.BITAND(QUOTIENT(Table1[[#This Row],[Address (dec)]],4),HEX2DEC(K$1)),5)&amp;DEC2HEX(_xlfn.BITAND(HEX2DEC(Table1[[#This Row],[32b hex]]),HEX2DEC(K$2)),8),
"0", ""), "3", ""), "5", ""), "6", ""), "9", ""), "A", ""), "C", ""), "F", "")),2)</f>
        <v>0</v>
      </c>
      <c r="L26" s="2">
        <f ca="1">MOD(LEN(SUBSTITUTE( SUBSTITUTE( SUBSTITUTE( SUBSTITUTE( SUBSTITUTE( SUBSTITUTE( SUBSTITUTE( SUBSTITUTE(
    DEC2HEX(_xlfn.BITAND(QUOTIENT(Table1[[#This Row],[Address (dec)]],4),HEX2DEC(L$1)),5)&amp;DEC2HEX(_xlfn.BITAND(HEX2DEC(Table1[[#This Row],[32b hex]]),HEX2DEC(L$2)),8),
"0", ""), "3", ""), "5", ""), "6", ""), "9", ""), "A", ""), "C", ""), "F", "")),2)</f>
        <v>1</v>
      </c>
      <c r="M26" s="2">
        <f ca="1">MOD(LEN(SUBSTITUTE( SUBSTITUTE( SUBSTITUTE( SUBSTITUTE( SUBSTITUTE( SUBSTITUTE( SUBSTITUTE( SUBSTITUTE(
    DEC2HEX(_xlfn.BITAND(QUOTIENT(Table1[[#This Row],[Address (dec)]],4),HEX2DEC(M$1)),5)&amp;DEC2HEX(_xlfn.BITAND(HEX2DEC(Table1[[#This Row],[32b hex]]),HEX2DEC(M$2)),8),
"0", ""), "3", ""), "5", ""), "6", ""), "9", ""), "A", ""), "C", ""), "F", "")),2)</f>
        <v>0</v>
      </c>
      <c r="N26" s="94" t="str">
        <f ca="1">BIN2HEX(Table1[[#This Row],[ECC'[6']]]&amp;Table1[[#This Row],[ECC'[5']]]&amp;Table1[[#This Row],[ECC'[4']]]&amp;Table1[[#This Row],[ECC'[3']]]&amp;Table1[[#This Row],[ECC'[2']]]&amp;Table1[[#This Row],[ECC'[1']]]&amp;Table1[[#This Row],[ECC'[0']]],2)</f>
        <v>62</v>
      </c>
      <c r="O26" s="103" t="str">
        <f ca="1">LOWER(Table1[[#This Row],[ECC (hex)]]&amp;Table1[[#This Row],[32b hex]])</f>
        <v>6200000000</v>
      </c>
      <c r="P26" s="104" t="s">
        <v>414</v>
      </c>
      <c r="Q26" s="109" t="s">
        <v>416</v>
      </c>
      <c r="R26" s="107" t="str">
        <f>DEC2HEX(IF(IntelHexUseAbsAddr,MOD(Table1[[#This Row],[Address (dec)]],2^16),Table1[[#This Row],[DW_ADDRESS]]*4),4)</f>
        <v>1050</v>
      </c>
      <c r="S26" s="111" t="s">
        <v>418</v>
      </c>
      <c r="T26" s="113" t="str">
        <f ca="1">UPPER(MID(Table1[[#This Row],[32b hex]],7,2)&amp;MID(Table1[[#This Row],[32b hex]],5,2)&amp;MID(Table1[[#This Row],[32b hex]],3,2)&amp;MID(Table1[[#This Row],[32b hex]],1,2))</f>
        <v>00000000</v>
      </c>
      <c r="U26" s="115" t="str">
        <f t="shared" ca="1" si="0"/>
        <v>9C</v>
      </c>
      <c r="V26" s="103" t="str">
        <f t="shared" ca="1" si="1"/>
        <v>:04105000000000009C</v>
      </c>
    </row>
    <row r="27" spans="1:22">
      <c r="A27" s="2">
        <v>4180</v>
      </c>
      <c r="B27" s="2" t="str">
        <f>"0x" &amp; DEC2HEX(Table1[[#This Row],[Address (dec)]],4)</f>
        <v>0x1054</v>
      </c>
      <c r="C27" s="2" t="str">
        <f ca="1">DEC2HEX(SUMIFS(MemoryView!$D$4:$D$103,MemoryView!$A$4:$A$103,"0x"&amp;DEC2HEX(Output!$A27+2,4)),4)</f>
        <v>0000</v>
      </c>
      <c r="D27" s="2" t="str">
        <f ca="1">DEC2HEX(SUMIFS(MemoryView!$D$4:$D$103,MemoryView!$A$4:$A$103,"0x"&amp;DEC2HEX(Output!$A27,4)),4)</f>
        <v>0000</v>
      </c>
      <c r="E27" s="103" t="str">
        <f t="shared" ca="1" si="2"/>
        <v>00000000</v>
      </c>
      <c r="F27" s="2">
        <v>21</v>
      </c>
      <c r="G27" s="2">
        <f ca="1">MOD(LEN(SUBSTITUTE( SUBSTITUTE( SUBSTITUTE( SUBSTITUTE( SUBSTITUTE( SUBSTITUTE( SUBSTITUTE( SUBSTITUTE(
    DEC2HEX(_xlfn.BITAND(QUOTIENT(Table1[[#This Row],[Address (dec)]],4),HEX2DEC(G$1)),5)&amp;DEC2HEX(_xlfn.BITAND(HEX2DEC(Table1[[#This Row],[32b hex]]),HEX2DEC(G$2)),8),
"0", ""), "3", ""), "5", ""), "6", ""), "9", ""), "A", ""), "C", ""), "F", "")),2)</f>
        <v>0</v>
      </c>
      <c r="H27" s="2">
        <f ca="1">MOD(LEN(SUBSTITUTE( SUBSTITUTE( SUBSTITUTE( SUBSTITUTE( SUBSTITUTE( SUBSTITUTE( SUBSTITUTE( SUBSTITUTE(
    DEC2HEX(_xlfn.BITAND(QUOTIENT(Table1[[#This Row],[Address (dec)]],4),HEX2DEC(H$1)),5)&amp;DEC2HEX(_xlfn.BITAND(HEX2DEC(Table1[[#This Row],[32b hex]]),HEX2DEC(H$2)),8),
"0", ""), "3", ""), "5", ""), "6", ""), "9", ""), "A", ""), "C", ""), "F", "")),2)</f>
        <v>0</v>
      </c>
      <c r="I27" s="2">
        <f ca="1">MOD(LEN(SUBSTITUTE( SUBSTITUTE( SUBSTITUTE( SUBSTITUTE( SUBSTITUTE( SUBSTITUTE( SUBSTITUTE( SUBSTITUTE(
    DEC2HEX(_xlfn.BITAND(QUOTIENT(Table1[[#This Row],[Address (dec)]],4),HEX2DEC(I$1)),5)&amp;DEC2HEX(_xlfn.BITAND(HEX2DEC(Table1[[#This Row],[32b hex]]),HEX2DEC(I$2)),8),
"0", ""), "3", ""), "5", ""), "6", ""), "9", ""), "A", ""), "C", ""), "F", "")),2)</f>
        <v>0</v>
      </c>
      <c r="J27" s="2">
        <f ca="1">MOD(LEN(SUBSTITUTE( SUBSTITUTE( SUBSTITUTE( SUBSTITUTE( SUBSTITUTE( SUBSTITUTE( SUBSTITUTE( SUBSTITUTE(
    DEC2HEX(_xlfn.BITAND(QUOTIENT(Table1[[#This Row],[Address (dec)]],4),HEX2DEC(J$1)),5)&amp;DEC2HEX(_xlfn.BITAND(HEX2DEC(Table1[[#This Row],[32b hex]]),HEX2DEC(J$2)),8),
"0", ""), "3", ""), "5", ""), "6", ""), "9", ""), "A", ""), "C", ""), "F", "")),2)</f>
        <v>1</v>
      </c>
      <c r="K27" s="2">
        <f ca="1">MOD(LEN(SUBSTITUTE( SUBSTITUTE( SUBSTITUTE( SUBSTITUTE( SUBSTITUTE( SUBSTITUTE( SUBSTITUTE( SUBSTITUTE(
    DEC2HEX(_xlfn.BITAND(QUOTIENT(Table1[[#This Row],[Address (dec)]],4),HEX2DEC(K$1)),5)&amp;DEC2HEX(_xlfn.BITAND(HEX2DEC(Table1[[#This Row],[32b hex]]),HEX2DEC(K$2)),8),
"0", ""), "3", ""), "5", ""), "6", ""), "9", ""), "A", ""), "C", ""), "F", "")),2)</f>
        <v>0</v>
      </c>
      <c r="L27" s="2">
        <f ca="1">MOD(LEN(SUBSTITUTE( SUBSTITUTE( SUBSTITUTE( SUBSTITUTE( SUBSTITUTE( SUBSTITUTE( SUBSTITUTE( SUBSTITUTE(
    DEC2HEX(_xlfn.BITAND(QUOTIENT(Table1[[#This Row],[Address (dec)]],4),HEX2DEC(L$1)),5)&amp;DEC2HEX(_xlfn.BITAND(HEX2DEC(Table1[[#This Row],[32b hex]]),HEX2DEC(L$2)),8),
"0", ""), "3", ""), "5", ""), "6", ""), "9", ""), "A", ""), "C", ""), "F", "")),2)</f>
        <v>0</v>
      </c>
      <c r="M27" s="2">
        <f ca="1">MOD(LEN(SUBSTITUTE( SUBSTITUTE( SUBSTITUTE( SUBSTITUTE( SUBSTITUTE( SUBSTITUTE( SUBSTITUTE( SUBSTITUTE(
    DEC2HEX(_xlfn.BITAND(QUOTIENT(Table1[[#This Row],[Address (dec)]],4),HEX2DEC(M$1)),5)&amp;DEC2HEX(_xlfn.BITAND(HEX2DEC(Table1[[#This Row],[32b hex]]),HEX2DEC(M$2)),8),
"0", ""), "3", ""), "5", ""), "6", ""), "9", ""), "A", ""), "C", ""), "F", "")),2)</f>
        <v>1</v>
      </c>
      <c r="N27" s="94" t="str">
        <f ca="1">BIN2HEX(Table1[[#This Row],[ECC'[6']]]&amp;Table1[[#This Row],[ECC'[5']]]&amp;Table1[[#This Row],[ECC'[4']]]&amp;Table1[[#This Row],[ECC'[3']]]&amp;Table1[[#This Row],[ECC'[2']]]&amp;Table1[[#This Row],[ECC'[1']]]&amp;Table1[[#This Row],[ECC'[0']]],2)</f>
        <v>09</v>
      </c>
      <c r="O27" s="103" t="str">
        <f ca="1">LOWER(Table1[[#This Row],[ECC (hex)]]&amp;Table1[[#This Row],[32b hex]])</f>
        <v>0900000000</v>
      </c>
      <c r="P27" s="104" t="s">
        <v>414</v>
      </c>
      <c r="Q27" s="109" t="s">
        <v>416</v>
      </c>
      <c r="R27" s="107" t="str">
        <f>DEC2HEX(IF(IntelHexUseAbsAddr,MOD(Table1[[#This Row],[Address (dec)]],2^16),Table1[[#This Row],[DW_ADDRESS]]*4),4)</f>
        <v>1054</v>
      </c>
      <c r="S27" s="111" t="s">
        <v>418</v>
      </c>
      <c r="T27" s="113" t="str">
        <f ca="1">UPPER(MID(Table1[[#This Row],[32b hex]],7,2)&amp;MID(Table1[[#This Row],[32b hex]],5,2)&amp;MID(Table1[[#This Row],[32b hex]],3,2)&amp;MID(Table1[[#This Row],[32b hex]],1,2))</f>
        <v>00000000</v>
      </c>
      <c r="U27" s="115" t="str">
        <f t="shared" ca="1" si="0"/>
        <v>98</v>
      </c>
      <c r="V27" s="103" t="str">
        <f t="shared" ca="1" si="1"/>
        <v>:041054000000000098</v>
      </c>
    </row>
    <row r="28" spans="1:22">
      <c r="A28" s="2">
        <v>4184</v>
      </c>
      <c r="B28" s="2" t="str">
        <f>"0x" &amp; DEC2HEX(Table1[[#This Row],[Address (dec)]],4)</f>
        <v>0x1058</v>
      </c>
      <c r="C28" s="2" t="str">
        <f ca="1">DEC2HEX(SUMIFS(MemoryView!$D$4:$D$103,MemoryView!$A$4:$A$103,"0x"&amp;DEC2HEX(Output!$A28+2,4)),4)</f>
        <v>0000</v>
      </c>
      <c r="D28" s="2" t="str">
        <f ca="1">DEC2HEX(SUMIFS(MemoryView!$D$4:$D$103,MemoryView!$A$4:$A$103,"0x"&amp;DEC2HEX(Output!$A28,4)),4)</f>
        <v>0000</v>
      </c>
      <c r="E28" s="103" t="str">
        <f t="shared" ca="1" si="2"/>
        <v>00000000</v>
      </c>
      <c r="F28" s="2">
        <v>22</v>
      </c>
      <c r="G28" s="2">
        <f ca="1">MOD(LEN(SUBSTITUTE( SUBSTITUTE( SUBSTITUTE( SUBSTITUTE( SUBSTITUTE( SUBSTITUTE( SUBSTITUTE( SUBSTITUTE(
    DEC2HEX(_xlfn.BITAND(QUOTIENT(Table1[[#This Row],[Address (dec)]],4),HEX2DEC(G$1)),5)&amp;DEC2HEX(_xlfn.BITAND(HEX2DEC(Table1[[#This Row],[32b hex]]),HEX2DEC(G$2)),8),
"0", ""), "3", ""), "5", ""), "6", ""), "9", ""), "A", ""), "C", ""), "F", "")),2)</f>
        <v>0</v>
      </c>
      <c r="H28" s="2">
        <f ca="1">MOD(LEN(SUBSTITUTE( SUBSTITUTE( SUBSTITUTE( SUBSTITUTE( SUBSTITUTE( SUBSTITUTE( SUBSTITUTE( SUBSTITUTE(
    DEC2HEX(_xlfn.BITAND(QUOTIENT(Table1[[#This Row],[Address (dec)]],4),HEX2DEC(H$1)),5)&amp;DEC2HEX(_xlfn.BITAND(HEX2DEC(Table1[[#This Row],[32b hex]]),HEX2DEC(H$2)),8),
"0", ""), "3", ""), "5", ""), "6", ""), "9", ""), "A", ""), "C", ""), "F", "")),2)</f>
        <v>1</v>
      </c>
      <c r="I28" s="2">
        <f ca="1">MOD(LEN(SUBSTITUTE( SUBSTITUTE( SUBSTITUTE( SUBSTITUTE( SUBSTITUTE( SUBSTITUTE( SUBSTITUTE( SUBSTITUTE(
    DEC2HEX(_xlfn.BITAND(QUOTIENT(Table1[[#This Row],[Address (dec)]],4),HEX2DEC(I$1)),5)&amp;DEC2HEX(_xlfn.BITAND(HEX2DEC(Table1[[#This Row],[32b hex]]),HEX2DEC(I$2)),8),
"0", ""), "3", ""), "5", ""), "6", ""), "9", ""), "A", ""), "C", ""), "F", "")),2)</f>
        <v>1</v>
      </c>
      <c r="J28" s="2">
        <f ca="1">MOD(LEN(SUBSTITUTE( SUBSTITUTE( SUBSTITUTE( SUBSTITUTE( SUBSTITUTE( SUBSTITUTE( SUBSTITUTE( SUBSTITUTE(
    DEC2HEX(_xlfn.BITAND(QUOTIENT(Table1[[#This Row],[Address (dec)]],4),HEX2DEC(J$1)),5)&amp;DEC2HEX(_xlfn.BITAND(HEX2DEC(Table1[[#This Row],[32b hex]]),HEX2DEC(J$2)),8),
"0", ""), "3", ""), "5", ""), "6", ""), "9", ""), "A", ""), "C", ""), "F", "")),2)</f>
        <v>1</v>
      </c>
      <c r="K28" s="2">
        <f ca="1">MOD(LEN(SUBSTITUTE( SUBSTITUTE( SUBSTITUTE( SUBSTITUTE( SUBSTITUTE( SUBSTITUTE( SUBSTITUTE( SUBSTITUTE(
    DEC2HEX(_xlfn.BITAND(QUOTIENT(Table1[[#This Row],[Address (dec)]],4),HEX2DEC(K$1)),5)&amp;DEC2HEX(_xlfn.BITAND(HEX2DEC(Table1[[#This Row],[32b hex]]),HEX2DEC(K$2)),8),
"0", ""), "3", ""), "5", ""), "6", ""), "9", ""), "A", ""), "C", ""), "F", "")),2)</f>
        <v>1</v>
      </c>
      <c r="L28" s="2">
        <f ca="1">MOD(LEN(SUBSTITUTE( SUBSTITUTE( SUBSTITUTE( SUBSTITUTE( SUBSTITUTE( SUBSTITUTE( SUBSTITUTE( SUBSTITUTE(
    DEC2HEX(_xlfn.BITAND(QUOTIENT(Table1[[#This Row],[Address (dec)]],4),HEX2DEC(L$1)),5)&amp;DEC2HEX(_xlfn.BITAND(HEX2DEC(Table1[[#This Row],[32b hex]]),HEX2DEC(L$2)),8),
"0", ""), "3", ""), "5", ""), "6", ""), "9", ""), "A", ""), "C", ""), "F", "")),2)</f>
        <v>1</v>
      </c>
      <c r="M28" s="2">
        <f ca="1">MOD(LEN(SUBSTITUTE( SUBSTITUTE( SUBSTITUTE( SUBSTITUTE( SUBSTITUTE( SUBSTITUTE( SUBSTITUTE( SUBSTITUTE(
    DEC2HEX(_xlfn.BITAND(QUOTIENT(Table1[[#This Row],[Address (dec)]],4),HEX2DEC(M$1)),5)&amp;DEC2HEX(_xlfn.BITAND(HEX2DEC(Table1[[#This Row],[32b hex]]),HEX2DEC(M$2)),8),
"0", ""), "3", ""), "5", ""), "6", ""), "9", ""), "A", ""), "C", ""), "F", "")),2)</f>
        <v>1</v>
      </c>
      <c r="N28" s="94" t="str">
        <f ca="1">BIN2HEX(Table1[[#This Row],[ECC'[6']]]&amp;Table1[[#This Row],[ECC'[5']]]&amp;Table1[[#This Row],[ECC'[4']]]&amp;Table1[[#This Row],[ECC'[3']]]&amp;Table1[[#This Row],[ECC'[2']]]&amp;Table1[[#This Row],[ECC'[1']]]&amp;Table1[[#This Row],[ECC'[0']]],2)</f>
        <v>3F</v>
      </c>
      <c r="O28" s="103" t="str">
        <f ca="1">LOWER(Table1[[#This Row],[ECC (hex)]]&amp;Table1[[#This Row],[32b hex]])</f>
        <v>3f00000000</v>
      </c>
      <c r="P28" s="104" t="s">
        <v>414</v>
      </c>
      <c r="Q28" s="109" t="s">
        <v>416</v>
      </c>
      <c r="R28" s="107" t="str">
        <f>DEC2HEX(IF(IntelHexUseAbsAddr,MOD(Table1[[#This Row],[Address (dec)]],2^16),Table1[[#This Row],[DW_ADDRESS]]*4),4)</f>
        <v>1058</v>
      </c>
      <c r="S28" s="111" t="s">
        <v>418</v>
      </c>
      <c r="T28" s="113" t="str">
        <f ca="1">UPPER(MID(Table1[[#This Row],[32b hex]],7,2)&amp;MID(Table1[[#This Row],[32b hex]],5,2)&amp;MID(Table1[[#This Row],[32b hex]],3,2)&amp;MID(Table1[[#This Row],[32b hex]],1,2))</f>
        <v>00000000</v>
      </c>
      <c r="U28" s="115" t="str">
        <f t="shared" ca="1" si="0"/>
        <v>94</v>
      </c>
      <c r="V28" s="103" t="str">
        <f t="shared" ca="1" si="1"/>
        <v>:041058000000000094</v>
      </c>
    </row>
    <row r="29" spans="1:22">
      <c r="A29" s="2">
        <v>4188</v>
      </c>
      <c r="B29" s="2" t="str">
        <f>"0x" &amp; DEC2HEX(Table1[[#This Row],[Address (dec)]],4)</f>
        <v>0x105C</v>
      </c>
      <c r="C29" s="2" t="str">
        <f ca="1">DEC2HEX(SUMIFS(MemoryView!$D$4:$D$103,MemoryView!$A$4:$A$103,"0x"&amp;DEC2HEX(Output!$A29+2,4)),4)</f>
        <v>0000</v>
      </c>
      <c r="D29" s="2" t="str">
        <f ca="1">DEC2HEX(SUMIFS(MemoryView!$D$4:$D$103,MemoryView!$A$4:$A$103,"0x"&amp;DEC2HEX(Output!$A29,4)),4)</f>
        <v>0000</v>
      </c>
      <c r="E29" s="103" t="str">
        <f t="shared" ca="1" si="2"/>
        <v>00000000</v>
      </c>
      <c r="F29" s="2">
        <v>23</v>
      </c>
      <c r="G29" s="2">
        <f ca="1">MOD(LEN(SUBSTITUTE( SUBSTITUTE( SUBSTITUTE( SUBSTITUTE( SUBSTITUTE( SUBSTITUTE( SUBSTITUTE( SUBSTITUTE(
    DEC2HEX(_xlfn.BITAND(QUOTIENT(Table1[[#This Row],[Address (dec)]],4),HEX2DEC(G$1)),5)&amp;DEC2HEX(_xlfn.BITAND(HEX2DEC(Table1[[#This Row],[32b hex]]),HEX2DEC(G$2)),8),
"0", ""), "3", ""), "5", ""), "6", ""), "9", ""), "A", ""), "C", ""), "F", "")),2)</f>
        <v>1</v>
      </c>
      <c r="H29" s="2">
        <f ca="1">MOD(LEN(SUBSTITUTE( SUBSTITUTE( SUBSTITUTE( SUBSTITUTE( SUBSTITUTE( SUBSTITUTE( SUBSTITUTE( SUBSTITUTE(
    DEC2HEX(_xlfn.BITAND(QUOTIENT(Table1[[#This Row],[Address (dec)]],4),HEX2DEC(H$1)),5)&amp;DEC2HEX(_xlfn.BITAND(HEX2DEC(Table1[[#This Row],[32b hex]]),HEX2DEC(H$2)),8),
"0", ""), "3", ""), "5", ""), "6", ""), "9", ""), "A", ""), "C", ""), "F", "")),2)</f>
        <v>0</v>
      </c>
      <c r="I29" s="2">
        <f ca="1">MOD(LEN(SUBSTITUTE( SUBSTITUTE( SUBSTITUTE( SUBSTITUTE( SUBSTITUTE( SUBSTITUTE( SUBSTITUTE( SUBSTITUTE(
    DEC2HEX(_xlfn.BITAND(QUOTIENT(Table1[[#This Row],[Address (dec)]],4),HEX2DEC(I$1)),5)&amp;DEC2HEX(_xlfn.BITAND(HEX2DEC(Table1[[#This Row],[32b hex]]),HEX2DEC(I$2)),8),
"0", ""), "3", ""), "5", ""), "6", ""), "9", ""), "A", ""), "C", ""), "F", "")),2)</f>
        <v>1</v>
      </c>
      <c r="J29" s="2">
        <f ca="1">MOD(LEN(SUBSTITUTE( SUBSTITUTE( SUBSTITUTE( SUBSTITUTE( SUBSTITUTE( SUBSTITUTE( SUBSTITUTE( SUBSTITUTE(
    DEC2HEX(_xlfn.BITAND(QUOTIENT(Table1[[#This Row],[Address (dec)]],4),HEX2DEC(J$1)),5)&amp;DEC2HEX(_xlfn.BITAND(HEX2DEC(Table1[[#This Row],[32b hex]]),HEX2DEC(J$2)),8),
"0", ""), "3", ""), "5", ""), "6", ""), "9", ""), "A", ""), "C", ""), "F", "")),2)</f>
        <v>0</v>
      </c>
      <c r="K29" s="2">
        <f ca="1">MOD(LEN(SUBSTITUTE( SUBSTITUTE( SUBSTITUTE( SUBSTITUTE( SUBSTITUTE( SUBSTITUTE( SUBSTITUTE( SUBSTITUTE(
    DEC2HEX(_xlfn.BITAND(QUOTIENT(Table1[[#This Row],[Address (dec)]],4),HEX2DEC(K$1)),5)&amp;DEC2HEX(_xlfn.BITAND(HEX2DEC(Table1[[#This Row],[32b hex]]),HEX2DEC(K$2)),8),
"0", ""), "3", ""), "5", ""), "6", ""), "9", ""), "A", ""), "C", ""), "F", "")),2)</f>
        <v>1</v>
      </c>
      <c r="L29" s="2">
        <f ca="1">MOD(LEN(SUBSTITUTE( SUBSTITUTE( SUBSTITUTE( SUBSTITUTE( SUBSTITUTE( SUBSTITUTE( SUBSTITUTE( SUBSTITUTE(
    DEC2HEX(_xlfn.BITAND(QUOTIENT(Table1[[#This Row],[Address (dec)]],4),HEX2DEC(L$1)),5)&amp;DEC2HEX(_xlfn.BITAND(HEX2DEC(Table1[[#This Row],[32b hex]]),HEX2DEC(L$2)),8),
"0", ""), "3", ""), "5", ""), "6", ""), "9", ""), "A", ""), "C", ""), "F", "")),2)</f>
        <v>0</v>
      </c>
      <c r="M29" s="2">
        <f ca="1">MOD(LEN(SUBSTITUTE( SUBSTITUTE( SUBSTITUTE( SUBSTITUTE( SUBSTITUTE( SUBSTITUTE( SUBSTITUTE( SUBSTITUTE(
    DEC2HEX(_xlfn.BITAND(QUOTIENT(Table1[[#This Row],[Address (dec)]],4),HEX2DEC(M$1)),5)&amp;DEC2HEX(_xlfn.BITAND(HEX2DEC(Table1[[#This Row],[32b hex]]),HEX2DEC(M$2)),8),
"0", ""), "3", ""), "5", ""), "6", ""), "9", ""), "A", ""), "C", ""), "F", "")),2)</f>
        <v>0</v>
      </c>
      <c r="N29" s="94" t="str">
        <f ca="1">BIN2HEX(Table1[[#This Row],[ECC'[6']]]&amp;Table1[[#This Row],[ECC'[5']]]&amp;Table1[[#This Row],[ECC'[4']]]&amp;Table1[[#This Row],[ECC'[3']]]&amp;Table1[[#This Row],[ECC'[2']]]&amp;Table1[[#This Row],[ECC'[1']]]&amp;Table1[[#This Row],[ECC'[0']]],2)</f>
        <v>54</v>
      </c>
      <c r="O29" s="103" t="str">
        <f ca="1">LOWER(Table1[[#This Row],[ECC (hex)]]&amp;Table1[[#This Row],[32b hex]])</f>
        <v>5400000000</v>
      </c>
      <c r="P29" s="104" t="s">
        <v>414</v>
      </c>
      <c r="Q29" s="109" t="s">
        <v>416</v>
      </c>
      <c r="R29" s="107" t="str">
        <f>DEC2HEX(IF(IntelHexUseAbsAddr,MOD(Table1[[#This Row],[Address (dec)]],2^16),Table1[[#This Row],[DW_ADDRESS]]*4),4)</f>
        <v>105C</v>
      </c>
      <c r="S29" s="111" t="s">
        <v>418</v>
      </c>
      <c r="T29" s="113" t="str">
        <f ca="1">UPPER(MID(Table1[[#This Row],[32b hex]],7,2)&amp;MID(Table1[[#This Row],[32b hex]],5,2)&amp;MID(Table1[[#This Row],[32b hex]],3,2)&amp;MID(Table1[[#This Row],[32b hex]],1,2))</f>
        <v>00000000</v>
      </c>
      <c r="U29" s="115" t="str">
        <f t="shared" ca="1" si="0"/>
        <v>90</v>
      </c>
      <c r="V29" s="103" t="str">
        <f t="shared" ca="1" si="1"/>
        <v>:04105C000000000090</v>
      </c>
    </row>
    <row r="30" spans="1:22">
      <c r="A30" s="2">
        <v>4192</v>
      </c>
      <c r="B30" s="2" t="str">
        <f>"0x" &amp; DEC2HEX(Table1[[#This Row],[Address (dec)]],4)</f>
        <v>0x1060</v>
      </c>
      <c r="C30" s="2" t="str">
        <f ca="1">DEC2HEX(SUMIFS(MemoryView!$D$4:$D$103,MemoryView!$A$4:$A$103,"0x"&amp;DEC2HEX(Output!$A30+2,4)),4)</f>
        <v>0000</v>
      </c>
      <c r="D30" s="2" t="str">
        <f ca="1">DEC2HEX(SUMIFS(MemoryView!$D$4:$D$103,MemoryView!$A$4:$A$103,"0x"&amp;DEC2HEX(Output!$A30,4)),4)</f>
        <v>0000</v>
      </c>
      <c r="E30" s="103" t="str">
        <f t="shared" ca="1" si="2"/>
        <v>00000000</v>
      </c>
      <c r="F30" s="2">
        <v>24</v>
      </c>
      <c r="G30" s="2">
        <f ca="1">MOD(LEN(SUBSTITUTE( SUBSTITUTE( SUBSTITUTE( SUBSTITUTE( SUBSTITUTE( SUBSTITUTE( SUBSTITUTE( SUBSTITUTE(
    DEC2HEX(_xlfn.BITAND(QUOTIENT(Table1[[#This Row],[Address (dec)]],4),HEX2DEC(G$1)),5)&amp;DEC2HEX(_xlfn.BITAND(HEX2DEC(Table1[[#This Row],[32b hex]]),HEX2DEC(G$2)),8),
"0", ""), "3", ""), "5", ""), "6", ""), "9", ""), "A", ""), "C", ""), "F", "")),2)</f>
        <v>0</v>
      </c>
      <c r="H30" s="2">
        <f ca="1">MOD(LEN(SUBSTITUTE( SUBSTITUTE( SUBSTITUTE( SUBSTITUTE( SUBSTITUTE( SUBSTITUTE( SUBSTITUTE( SUBSTITUTE(
    DEC2HEX(_xlfn.BITAND(QUOTIENT(Table1[[#This Row],[Address (dec)]],4),HEX2DEC(H$1)),5)&amp;DEC2HEX(_xlfn.BITAND(HEX2DEC(Table1[[#This Row],[32b hex]]),HEX2DEC(H$2)),8),
"0", ""), "3", ""), "5", ""), "6", ""), "9", ""), "A", ""), "C", ""), "F", "")),2)</f>
        <v>1</v>
      </c>
      <c r="I30" s="2">
        <f ca="1">MOD(LEN(SUBSTITUTE( SUBSTITUTE( SUBSTITUTE( SUBSTITUTE( SUBSTITUTE( SUBSTITUTE( SUBSTITUTE( SUBSTITUTE(
    DEC2HEX(_xlfn.BITAND(QUOTIENT(Table1[[#This Row],[Address (dec)]],4),HEX2DEC(I$1)),5)&amp;DEC2HEX(_xlfn.BITAND(HEX2DEC(Table1[[#This Row],[32b hex]]),HEX2DEC(I$2)),8),
"0", ""), "3", ""), "5", ""), "6", ""), "9", ""), "A", ""), "C", ""), "F", "")),2)</f>
        <v>0</v>
      </c>
      <c r="J30" s="2">
        <f ca="1">MOD(LEN(SUBSTITUTE( SUBSTITUTE( SUBSTITUTE( SUBSTITUTE( SUBSTITUTE( SUBSTITUTE( SUBSTITUTE( SUBSTITUTE(
    DEC2HEX(_xlfn.BITAND(QUOTIENT(Table1[[#This Row],[Address (dec)]],4),HEX2DEC(J$1)),5)&amp;DEC2HEX(_xlfn.BITAND(HEX2DEC(Table1[[#This Row],[32b hex]]),HEX2DEC(J$2)),8),
"0", ""), "3", ""), "5", ""), "6", ""), "9", ""), "A", ""), "C", ""), "F", "")),2)</f>
        <v>0</v>
      </c>
      <c r="K30" s="2">
        <f ca="1">MOD(LEN(SUBSTITUTE( SUBSTITUTE( SUBSTITUTE( SUBSTITUTE( SUBSTITUTE( SUBSTITUTE( SUBSTITUTE( SUBSTITUTE(
    DEC2HEX(_xlfn.BITAND(QUOTIENT(Table1[[#This Row],[Address (dec)]],4),HEX2DEC(K$1)),5)&amp;DEC2HEX(_xlfn.BITAND(HEX2DEC(Table1[[#This Row],[32b hex]]),HEX2DEC(K$2)),8),
"0", ""), "3", ""), "5", ""), "6", ""), "9", ""), "A", ""), "C", ""), "F", "")),2)</f>
        <v>1</v>
      </c>
      <c r="L30" s="2">
        <f ca="1">MOD(LEN(SUBSTITUTE( SUBSTITUTE( SUBSTITUTE( SUBSTITUTE( SUBSTITUTE( SUBSTITUTE( SUBSTITUTE( SUBSTITUTE(
    DEC2HEX(_xlfn.BITAND(QUOTIENT(Table1[[#This Row],[Address (dec)]],4),HEX2DEC(L$1)),5)&amp;DEC2HEX(_xlfn.BITAND(HEX2DEC(Table1[[#This Row],[32b hex]]),HEX2DEC(L$2)),8),
"0", ""), "3", ""), "5", ""), "6", ""), "9", ""), "A", ""), "C", ""), "F", "")),2)</f>
        <v>0</v>
      </c>
      <c r="M30" s="2">
        <f ca="1">MOD(LEN(SUBSTITUTE( SUBSTITUTE( SUBSTITUTE( SUBSTITUTE( SUBSTITUTE( SUBSTITUTE( SUBSTITUTE( SUBSTITUTE(
    DEC2HEX(_xlfn.BITAND(QUOTIENT(Table1[[#This Row],[Address (dec)]],4),HEX2DEC(M$1)),5)&amp;DEC2HEX(_xlfn.BITAND(HEX2DEC(Table1[[#This Row],[32b hex]]),HEX2DEC(M$2)),8),
"0", ""), "3", ""), "5", ""), "6", ""), "9", ""), "A", ""), "C", ""), "F", "")),2)</f>
        <v>1</v>
      </c>
      <c r="N30" s="94" t="str">
        <f ca="1">BIN2HEX(Table1[[#This Row],[ECC'[6']]]&amp;Table1[[#This Row],[ECC'[5']]]&amp;Table1[[#This Row],[ECC'[4']]]&amp;Table1[[#This Row],[ECC'[3']]]&amp;Table1[[#This Row],[ECC'[2']]]&amp;Table1[[#This Row],[ECC'[1']]]&amp;Table1[[#This Row],[ECC'[0']]],2)</f>
        <v>25</v>
      </c>
      <c r="O30" s="103" t="str">
        <f ca="1">LOWER(Table1[[#This Row],[ECC (hex)]]&amp;Table1[[#This Row],[32b hex]])</f>
        <v>2500000000</v>
      </c>
      <c r="P30" s="104" t="s">
        <v>414</v>
      </c>
      <c r="Q30" s="109" t="s">
        <v>416</v>
      </c>
      <c r="R30" s="107" t="str">
        <f>DEC2HEX(IF(IntelHexUseAbsAddr,MOD(Table1[[#This Row],[Address (dec)]],2^16),Table1[[#This Row],[DW_ADDRESS]]*4),4)</f>
        <v>1060</v>
      </c>
      <c r="S30" s="111" t="s">
        <v>418</v>
      </c>
      <c r="T30" s="113" t="str">
        <f ca="1">UPPER(MID(Table1[[#This Row],[32b hex]],7,2)&amp;MID(Table1[[#This Row],[32b hex]],5,2)&amp;MID(Table1[[#This Row],[32b hex]],3,2)&amp;MID(Table1[[#This Row],[32b hex]],1,2))</f>
        <v>00000000</v>
      </c>
      <c r="U30" s="115" t="str">
        <f t="shared" ca="1" si="0"/>
        <v>8C</v>
      </c>
      <c r="V30" s="103" t="str">
        <f t="shared" ca="1" si="1"/>
        <v>:04106000000000008C</v>
      </c>
    </row>
    <row r="31" spans="1:22">
      <c r="A31" s="2">
        <v>4196</v>
      </c>
      <c r="B31" s="2" t="str">
        <f>"0x" &amp; DEC2HEX(Table1[[#This Row],[Address (dec)]],4)</f>
        <v>0x1064</v>
      </c>
      <c r="C31" s="2" t="str">
        <f ca="1">DEC2HEX(SUMIFS(MemoryView!$D$4:$D$103,MemoryView!$A$4:$A$103,"0x"&amp;DEC2HEX(Output!$A31+2,4)),4)</f>
        <v>2666</v>
      </c>
      <c r="D31" s="2" t="str">
        <f ca="1">DEC2HEX(SUMIFS(MemoryView!$D$4:$D$103,MemoryView!$A$4:$A$103,"0x"&amp;DEC2HEX(Output!$A31,4)),4)</f>
        <v>0000</v>
      </c>
      <c r="E31" s="103" t="str">
        <f t="shared" ca="1" si="2"/>
        <v>26660000</v>
      </c>
      <c r="F31" s="2">
        <v>25</v>
      </c>
      <c r="G31" s="2">
        <f ca="1">MOD(LEN(SUBSTITUTE( SUBSTITUTE( SUBSTITUTE( SUBSTITUTE( SUBSTITUTE( SUBSTITUTE( SUBSTITUTE( SUBSTITUTE(
    DEC2HEX(_xlfn.BITAND(QUOTIENT(Table1[[#This Row],[Address (dec)]],4),HEX2DEC(G$1)),5)&amp;DEC2HEX(_xlfn.BITAND(HEX2DEC(Table1[[#This Row],[32b hex]]),HEX2DEC(G$2)),8),
"0", ""), "3", ""), "5", ""), "6", ""), "9", ""), "A", ""), "C", ""), "F", "")),2)</f>
        <v>0</v>
      </c>
      <c r="H31" s="2">
        <f ca="1">MOD(LEN(SUBSTITUTE( SUBSTITUTE( SUBSTITUTE( SUBSTITUTE( SUBSTITUTE( SUBSTITUTE( SUBSTITUTE( SUBSTITUTE(
    DEC2HEX(_xlfn.BITAND(QUOTIENT(Table1[[#This Row],[Address (dec)]],4),HEX2DEC(H$1)),5)&amp;DEC2HEX(_xlfn.BITAND(HEX2DEC(Table1[[#This Row],[32b hex]]),HEX2DEC(H$2)),8),
"0", ""), "3", ""), "5", ""), "6", ""), "9", ""), "A", ""), "C", ""), "F", "")),2)</f>
        <v>1</v>
      </c>
      <c r="I31" s="2">
        <f ca="1">MOD(LEN(SUBSTITUTE( SUBSTITUTE( SUBSTITUTE( SUBSTITUTE( SUBSTITUTE( SUBSTITUTE( SUBSTITUTE( SUBSTITUTE(
    DEC2HEX(_xlfn.BITAND(QUOTIENT(Table1[[#This Row],[Address (dec)]],4),HEX2DEC(I$1)),5)&amp;DEC2HEX(_xlfn.BITAND(HEX2DEC(Table1[[#This Row],[32b hex]]),HEX2DEC(I$2)),8),
"0", ""), "3", ""), "5", ""), "6", ""), "9", ""), "A", ""), "C", ""), "F", "")),2)</f>
        <v>0</v>
      </c>
      <c r="J31" s="2">
        <f ca="1">MOD(LEN(SUBSTITUTE( SUBSTITUTE( SUBSTITUTE( SUBSTITUTE( SUBSTITUTE( SUBSTITUTE( SUBSTITUTE( SUBSTITUTE(
    DEC2HEX(_xlfn.BITAND(QUOTIENT(Table1[[#This Row],[Address (dec)]],4),HEX2DEC(J$1)),5)&amp;DEC2HEX(_xlfn.BITAND(HEX2DEC(Table1[[#This Row],[32b hex]]),HEX2DEC(J$2)),8),
"0", ""), "3", ""), "5", ""), "6", ""), "9", ""), "A", ""), "C", ""), "F", "")),2)</f>
        <v>0</v>
      </c>
      <c r="K31" s="2">
        <f ca="1">MOD(LEN(SUBSTITUTE( SUBSTITUTE( SUBSTITUTE( SUBSTITUTE( SUBSTITUTE( SUBSTITUTE( SUBSTITUTE( SUBSTITUTE(
    DEC2HEX(_xlfn.BITAND(QUOTIENT(Table1[[#This Row],[Address (dec)]],4),HEX2DEC(K$1)),5)&amp;DEC2HEX(_xlfn.BITAND(HEX2DEC(Table1[[#This Row],[32b hex]]),HEX2DEC(K$2)),8),
"0", ""), "3", ""), "5", ""), "6", ""), "9", ""), "A", ""), "C", ""), "F", "")),2)</f>
        <v>1</v>
      </c>
      <c r="L31" s="2">
        <f ca="1">MOD(LEN(SUBSTITUTE( SUBSTITUTE( SUBSTITUTE( SUBSTITUTE( SUBSTITUTE( SUBSTITUTE( SUBSTITUTE( SUBSTITUTE(
    DEC2HEX(_xlfn.BITAND(QUOTIENT(Table1[[#This Row],[Address (dec)]],4),HEX2DEC(L$1)),5)&amp;DEC2HEX(_xlfn.BITAND(HEX2DEC(Table1[[#This Row],[32b hex]]),HEX2DEC(L$2)),8),
"0", ""), "3", ""), "5", ""), "6", ""), "9", ""), "A", ""), "C", ""), "F", "")),2)</f>
        <v>1</v>
      </c>
      <c r="M31" s="2">
        <f ca="1">MOD(LEN(SUBSTITUTE( SUBSTITUTE( SUBSTITUTE( SUBSTITUTE( SUBSTITUTE( SUBSTITUTE( SUBSTITUTE( SUBSTITUTE(
    DEC2HEX(_xlfn.BITAND(QUOTIENT(Table1[[#This Row],[Address (dec)]],4),HEX2DEC(M$1)),5)&amp;DEC2HEX(_xlfn.BITAND(HEX2DEC(Table1[[#This Row],[32b hex]]),HEX2DEC(M$2)),8),
"0", ""), "3", ""), "5", ""), "6", ""), "9", ""), "A", ""), "C", ""), "F", "")),2)</f>
        <v>0</v>
      </c>
      <c r="N31" s="94" t="str">
        <f ca="1">BIN2HEX(Table1[[#This Row],[ECC'[6']]]&amp;Table1[[#This Row],[ECC'[5']]]&amp;Table1[[#This Row],[ECC'[4']]]&amp;Table1[[#This Row],[ECC'[3']]]&amp;Table1[[#This Row],[ECC'[2']]]&amp;Table1[[#This Row],[ECC'[1']]]&amp;Table1[[#This Row],[ECC'[0']]],2)</f>
        <v>26</v>
      </c>
      <c r="O31" s="103" t="str">
        <f ca="1">LOWER(Table1[[#This Row],[ECC (hex)]]&amp;Table1[[#This Row],[32b hex]])</f>
        <v>2626660000</v>
      </c>
      <c r="P31" s="104" t="s">
        <v>414</v>
      </c>
      <c r="Q31" s="109" t="s">
        <v>416</v>
      </c>
      <c r="R31" s="107" t="str">
        <f>DEC2HEX(IF(IntelHexUseAbsAddr,MOD(Table1[[#This Row],[Address (dec)]],2^16),Table1[[#This Row],[DW_ADDRESS]]*4),4)</f>
        <v>1064</v>
      </c>
      <c r="S31" s="111" t="s">
        <v>418</v>
      </c>
      <c r="T31" s="113" t="str">
        <f ca="1">UPPER(MID(Table1[[#This Row],[32b hex]],7,2)&amp;MID(Table1[[#This Row],[32b hex]],5,2)&amp;MID(Table1[[#This Row],[32b hex]],3,2)&amp;MID(Table1[[#This Row],[32b hex]],1,2))</f>
        <v>00006626</v>
      </c>
      <c r="U31" s="115" t="str">
        <f t="shared" ca="1" si="0"/>
        <v>FC</v>
      </c>
      <c r="V31" s="103" t="str">
        <f t="shared" ca="1" si="1"/>
        <v>:0410640000006626FC</v>
      </c>
    </row>
    <row r="32" spans="1:22">
      <c r="A32" s="2">
        <v>4200</v>
      </c>
      <c r="B32" s="2" t="str">
        <f>"0x" &amp; DEC2HEX(Table1[[#This Row],[Address (dec)]],4)</f>
        <v>0x1068</v>
      </c>
      <c r="C32" s="2" t="str">
        <f ca="1">DEC2HEX(SUMIFS(MemoryView!$D$4:$D$103,MemoryView!$A$4:$A$103,"0x"&amp;DEC2HEX(Output!$A32+2,4)),4)</f>
        <v>F5D8</v>
      </c>
      <c r="D32" s="2" t="str">
        <f ca="1">DEC2HEX(SUMIFS(MemoryView!$D$4:$D$103,MemoryView!$A$4:$A$103,"0x"&amp;DEC2HEX(Output!$A32,4)),4)</f>
        <v>1FF2</v>
      </c>
      <c r="E32" s="103" t="str">
        <f t="shared" ca="1" si="2"/>
        <v>f5d81ff2</v>
      </c>
      <c r="F32" s="2">
        <v>26</v>
      </c>
      <c r="G32" s="2">
        <f ca="1">MOD(LEN(SUBSTITUTE( SUBSTITUTE( SUBSTITUTE( SUBSTITUTE( SUBSTITUTE( SUBSTITUTE( SUBSTITUTE( SUBSTITUTE(
    DEC2HEX(_xlfn.BITAND(QUOTIENT(Table1[[#This Row],[Address (dec)]],4),HEX2DEC(G$1)),5)&amp;DEC2HEX(_xlfn.BITAND(HEX2DEC(Table1[[#This Row],[32b hex]]),HEX2DEC(G$2)),8),
"0", ""), "3", ""), "5", ""), "6", ""), "9", ""), "A", ""), "C", ""), "F", "")),2)</f>
        <v>1</v>
      </c>
      <c r="H32" s="2">
        <f ca="1">MOD(LEN(SUBSTITUTE( SUBSTITUTE( SUBSTITUTE( SUBSTITUTE( SUBSTITUTE( SUBSTITUTE( SUBSTITUTE( SUBSTITUTE(
    DEC2HEX(_xlfn.BITAND(QUOTIENT(Table1[[#This Row],[Address (dec)]],4),HEX2DEC(H$1)),5)&amp;DEC2HEX(_xlfn.BITAND(HEX2DEC(Table1[[#This Row],[32b hex]]),HEX2DEC(H$2)),8),
"0", ""), "3", ""), "5", ""), "6", ""), "9", ""), "A", ""), "C", ""), "F", "")),2)</f>
        <v>0</v>
      </c>
      <c r="I32" s="2">
        <f ca="1">MOD(LEN(SUBSTITUTE( SUBSTITUTE( SUBSTITUTE( SUBSTITUTE( SUBSTITUTE( SUBSTITUTE( SUBSTITUTE( SUBSTITUTE(
    DEC2HEX(_xlfn.BITAND(QUOTIENT(Table1[[#This Row],[Address (dec)]],4),HEX2DEC(I$1)),5)&amp;DEC2HEX(_xlfn.BITAND(HEX2DEC(Table1[[#This Row],[32b hex]]),HEX2DEC(I$2)),8),
"0", ""), "3", ""), "5", ""), "6", ""), "9", ""), "A", ""), "C", ""), "F", "")),2)</f>
        <v>1</v>
      </c>
      <c r="J32" s="2">
        <f ca="1">MOD(LEN(SUBSTITUTE( SUBSTITUTE( SUBSTITUTE( SUBSTITUTE( SUBSTITUTE( SUBSTITUTE( SUBSTITUTE( SUBSTITUTE(
    DEC2HEX(_xlfn.BITAND(QUOTIENT(Table1[[#This Row],[Address (dec)]],4),HEX2DEC(J$1)),5)&amp;DEC2HEX(_xlfn.BITAND(HEX2DEC(Table1[[#This Row],[32b hex]]),HEX2DEC(J$2)),8),
"0", ""), "3", ""), "5", ""), "6", ""), "9", ""), "A", ""), "C", ""), "F", "")),2)</f>
        <v>1</v>
      </c>
      <c r="K32" s="2">
        <f ca="1">MOD(LEN(SUBSTITUTE( SUBSTITUTE( SUBSTITUTE( SUBSTITUTE( SUBSTITUTE( SUBSTITUTE( SUBSTITUTE( SUBSTITUTE(
    DEC2HEX(_xlfn.BITAND(QUOTIENT(Table1[[#This Row],[Address (dec)]],4),HEX2DEC(K$1)),5)&amp;DEC2HEX(_xlfn.BITAND(HEX2DEC(Table1[[#This Row],[32b hex]]),HEX2DEC(K$2)),8),
"0", ""), "3", ""), "5", ""), "6", ""), "9", ""), "A", ""), "C", ""), "F", "")),2)</f>
        <v>0</v>
      </c>
      <c r="L32" s="2">
        <f ca="1">MOD(LEN(SUBSTITUTE( SUBSTITUTE( SUBSTITUTE( SUBSTITUTE( SUBSTITUTE( SUBSTITUTE( SUBSTITUTE( SUBSTITUTE(
    DEC2HEX(_xlfn.BITAND(QUOTIENT(Table1[[#This Row],[Address (dec)]],4),HEX2DEC(L$1)),5)&amp;DEC2HEX(_xlfn.BITAND(HEX2DEC(Table1[[#This Row],[32b hex]]),HEX2DEC(L$2)),8),
"0", ""), "3", ""), "5", ""), "6", ""), "9", ""), "A", ""), "C", ""), "F", "")),2)</f>
        <v>1</v>
      </c>
      <c r="M32" s="2">
        <f ca="1">MOD(LEN(SUBSTITUTE( SUBSTITUTE( SUBSTITUTE( SUBSTITUTE( SUBSTITUTE( SUBSTITUTE( SUBSTITUTE( SUBSTITUTE(
    DEC2HEX(_xlfn.BITAND(QUOTIENT(Table1[[#This Row],[Address (dec)]],4),HEX2DEC(M$1)),5)&amp;DEC2HEX(_xlfn.BITAND(HEX2DEC(Table1[[#This Row],[32b hex]]),HEX2DEC(M$2)),8),
"0", ""), "3", ""), "5", ""), "6", ""), "9", ""), "A", ""), "C", ""), "F", "")),2)</f>
        <v>0</v>
      </c>
      <c r="N32" s="94" t="str">
        <f ca="1">BIN2HEX(Table1[[#This Row],[ECC'[6']]]&amp;Table1[[#This Row],[ECC'[5']]]&amp;Table1[[#This Row],[ECC'[4']]]&amp;Table1[[#This Row],[ECC'[3']]]&amp;Table1[[#This Row],[ECC'[2']]]&amp;Table1[[#This Row],[ECC'[1']]]&amp;Table1[[#This Row],[ECC'[0']]],2)</f>
        <v>5A</v>
      </c>
      <c r="O32" s="103" t="str">
        <f ca="1">LOWER(Table1[[#This Row],[ECC (hex)]]&amp;Table1[[#This Row],[32b hex]])</f>
        <v>5af5d81ff2</v>
      </c>
      <c r="P32" s="104" t="s">
        <v>414</v>
      </c>
      <c r="Q32" s="109" t="s">
        <v>416</v>
      </c>
      <c r="R32" s="107" t="str">
        <f>DEC2HEX(IF(IntelHexUseAbsAddr,MOD(Table1[[#This Row],[Address (dec)]],2^16),Table1[[#This Row],[DW_ADDRESS]]*4),4)</f>
        <v>1068</v>
      </c>
      <c r="S32" s="111" t="s">
        <v>418</v>
      </c>
      <c r="T32" s="113" t="str">
        <f ca="1">UPPER(MID(Table1[[#This Row],[32b hex]],7,2)&amp;MID(Table1[[#This Row],[32b hex]],5,2)&amp;MID(Table1[[#This Row],[32b hex]],3,2)&amp;MID(Table1[[#This Row],[32b hex]],1,2))</f>
        <v>F21FD8F5</v>
      </c>
      <c r="U32" s="115" t="str">
        <f t="shared" ca="1" si="0"/>
        <v>A6</v>
      </c>
      <c r="V32" s="103" t="str">
        <f t="shared" ca="1" si="1"/>
        <v>:04106800F21FD8F5A6</v>
      </c>
    </row>
    <row r="33" spans="1:22">
      <c r="A33" s="2">
        <v>4204</v>
      </c>
      <c r="B33" s="2" t="str">
        <f>"0x" &amp; DEC2HEX(Table1[[#This Row],[Address (dec)]],4)</f>
        <v>0x106C</v>
      </c>
      <c r="C33" s="2" t="str">
        <f ca="1">DEC2HEX(SUMIFS(MemoryView!$D$4:$D$103,MemoryView!$A$4:$A$103,"0x"&amp;DEC2HEX(Output!$A33+2,4)),4)</f>
        <v>05C3</v>
      </c>
      <c r="D33" s="2" t="str">
        <f ca="1">DEC2HEX(SUMIFS(MemoryView!$D$4:$D$103,MemoryView!$A$4:$A$103,"0x"&amp;DEC2HEX(Output!$A33,4)),4)</f>
        <v>FDBB</v>
      </c>
      <c r="E33" s="103" t="str">
        <f t="shared" ca="1" si="2"/>
        <v>05c3fdbb</v>
      </c>
      <c r="F33" s="2">
        <v>27</v>
      </c>
      <c r="G33" s="2">
        <f ca="1">MOD(LEN(SUBSTITUTE( SUBSTITUTE( SUBSTITUTE( SUBSTITUTE( SUBSTITUTE( SUBSTITUTE( SUBSTITUTE( SUBSTITUTE(
    DEC2HEX(_xlfn.BITAND(QUOTIENT(Table1[[#This Row],[Address (dec)]],4),HEX2DEC(G$1)),5)&amp;DEC2HEX(_xlfn.BITAND(HEX2DEC(Table1[[#This Row],[32b hex]]),HEX2DEC(G$2)),8),
"0", ""), "3", ""), "5", ""), "6", ""), "9", ""), "A", ""), "C", ""), "F", "")),2)</f>
        <v>1</v>
      </c>
      <c r="H33" s="2">
        <f ca="1">MOD(LEN(SUBSTITUTE( SUBSTITUTE( SUBSTITUTE( SUBSTITUTE( SUBSTITUTE( SUBSTITUTE( SUBSTITUTE( SUBSTITUTE(
    DEC2HEX(_xlfn.BITAND(QUOTIENT(Table1[[#This Row],[Address (dec)]],4),HEX2DEC(H$1)),5)&amp;DEC2HEX(_xlfn.BITAND(HEX2DEC(Table1[[#This Row],[32b hex]]),HEX2DEC(H$2)),8),
"0", ""), "3", ""), "5", ""), "6", ""), "9", ""), "A", ""), "C", ""), "F", "")),2)</f>
        <v>0</v>
      </c>
      <c r="I33" s="2">
        <f ca="1">MOD(LEN(SUBSTITUTE( SUBSTITUTE( SUBSTITUTE( SUBSTITUTE( SUBSTITUTE( SUBSTITUTE( SUBSTITUTE( SUBSTITUTE(
    DEC2HEX(_xlfn.BITAND(QUOTIENT(Table1[[#This Row],[Address (dec)]],4),HEX2DEC(I$1)),5)&amp;DEC2HEX(_xlfn.BITAND(HEX2DEC(Table1[[#This Row],[32b hex]]),HEX2DEC(I$2)),8),
"0", ""), "3", ""), "5", ""), "6", ""), "9", ""), "A", ""), "C", ""), "F", "")),2)</f>
        <v>0</v>
      </c>
      <c r="J33" s="2">
        <f ca="1">MOD(LEN(SUBSTITUTE( SUBSTITUTE( SUBSTITUTE( SUBSTITUTE( SUBSTITUTE( SUBSTITUTE( SUBSTITUTE( SUBSTITUTE(
    DEC2HEX(_xlfn.BITAND(QUOTIENT(Table1[[#This Row],[Address (dec)]],4),HEX2DEC(J$1)),5)&amp;DEC2HEX(_xlfn.BITAND(HEX2DEC(Table1[[#This Row],[32b hex]]),HEX2DEC(J$2)),8),
"0", ""), "3", ""), "5", ""), "6", ""), "9", ""), "A", ""), "C", ""), "F", "")),2)</f>
        <v>0</v>
      </c>
      <c r="K33" s="2">
        <f ca="1">MOD(LEN(SUBSTITUTE( SUBSTITUTE( SUBSTITUTE( SUBSTITUTE( SUBSTITUTE( SUBSTITUTE( SUBSTITUTE( SUBSTITUTE(
    DEC2HEX(_xlfn.BITAND(QUOTIENT(Table1[[#This Row],[Address (dec)]],4),HEX2DEC(K$1)),5)&amp;DEC2HEX(_xlfn.BITAND(HEX2DEC(Table1[[#This Row],[32b hex]]),HEX2DEC(K$2)),8),
"0", ""), "3", ""), "5", ""), "6", ""), "9", ""), "A", ""), "C", ""), "F", "")),2)</f>
        <v>0</v>
      </c>
      <c r="L33" s="2">
        <f ca="1">MOD(LEN(SUBSTITUTE( SUBSTITUTE( SUBSTITUTE( SUBSTITUTE( SUBSTITUTE( SUBSTITUTE( SUBSTITUTE( SUBSTITUTE(
    DEC2HEX(_xlfn.BITAND(QUOTIENT(Table1[[#This Row],[Address (dec)]],4),HEX2DEC(L$1)),5)&amp;DEC2HEX(_xlfn.BITAND(HEX2DEC(Table1[[#This Row],[32b hex]]),HEX2DEC(L$2)),8),
"0", ""), "3", ""), "5", ""), "6", ""), "9", ""), "A", ""), "C", ""), "F", "")),2)</f>
        <v>0</v>
      </c>
      <c r="M33" s="2">
        <f ca="1">MOD(LEN(SUBSTITUTE( SUBSTITUTE( SUBSTITUTE( SUBSTITUTE( SUBSTITUTE( SUBSTITUTE( SUBSTITUTE( SUBSTITUTE(
    DEC2HEX(_xlfn.BITAND(QUOTIENT(Table1[[#This Row],[Address (dec)]],4),HEX2DEC(M$1)),5)&amp;DEC2HEX(_xlfn.BITAND(HEX2DEC(Table1[[#This Row],[32b hex]]),HEX2DEC(M$2)),8),
"0", ""), "3", ""), "5", ""), "6", ""), "9", ""), "A", ""), "C", ""), "F", "")),2)</f>
        <v>1</v>
      </c>
      <c r="N33" s="94" t="str">
        <f ca="1">BIN2HEX(Table1[[#This Row],[ECC'[6']]]&amp;Table1[[#This Row],[ECC'[5']]]&amp;Table1[[#This Row],[ECC'[4']]]&amp;Table1[[#This Row],[ECC'[3']]]&amp;Table1[[#This Row],[ECC'[2']]]&amp;Table1[[#This Row],[ECC'[1']]]&amp;Table1[[#This Row],[ECC'[0']]],2)</f>
        <v>41</v>
      </c>
      <c r="O33" s="103" t="str">
        <f ca="1">LOWER(Table1[[#This Row],[ECC (hex)]]&amp;Table1[[#This Row],[32b hex]])</f>
        <v>4105c3fdbb</v>
      </c>
      <c r="P33" s="104" t="s">
        <v>414</v>
      </c>
      <c r="Q33" s="109" t="s">
        <v>416</v>
      </c>
      <c r="R33" s="107" t="str">
        <f>DEC2HEX(IF(IntelHexUseAbsAddr,MOD(Table1[[#This Row],[Address (dec)]],2^16),Table1[[#This Row],[DW_ADDRESS]]*4),4)</f>
        <v>106C</v>
      </c>
      <c r="S33" s="111" t="s">
        <v>418</v>
      </c>
      <c r="T33" s="113" t="str">
        <f ca="1">UPPER(MID(Table1[[#This Row],[32b hex]],7,2)&amp;MID(Table1[[#This Row],[32b hex]],5,2)&amp;MID(Table1[[#This Row],[32b hex]],3,2)&amp;MID(Table1[[#This Row],[32b hex]],1,2))</f>
        <v>BBFDC305</v>
      </c>
      <c r="U33" s="115" t="str">
        <f t="shared" ca="1" si="0"/>
        <v>00</v>
      </c>
      <c r="V33" s="103" t="str">
        <f t="shared" ca="1" si="1"/>
        <v>:04106C00BBFDC30500</v>
      </c>
    </row>
    <row r="34" spans="1:22">
      <c r="A34" s="2">
        <v>4208</v>
      </c>
      <c r="B34" s="2" t="str">
        <f>"0x" &amp; DEC2HEX(Table1[[#This Row],[Address (dec)]],4)</f>
        <v>0x1070</v>
      </c>
      <c r="C34" s="2" t="str">
        <f ca="1">DEC2HEX(SUMIFS(MemoryView!$D$4:$D$103,MemoryView!$A$4:$A$103,"0x"&amp;DEC2HEX(Output!$A34+2,4)),4)</f>
        <v>EED0</v>
      </c>
      <c r="D34" s="2" t="str">
        <f ca="1">DEC2HEX(SUMIFS(MemoryView!$D$4:$D$103,MemoryView!$A$4:$A$103,"0x"&amp;DEC2HEX(Output!$A34,4)),4)</f>
        <v>3C45</v>
      </c>
      <c r="E34" s="103" t="str">
        <f t="shared" ca="1" si="2"/>
        <v>eed03c45</v>
      </c>
      <c r="F34" s="2">
        <v>28</v>
      </c>
      <c r="G34" s="2">
        <f ca="1">MOD(LEN(SUBSTITUTE( SUBSTITUTE( SUBSTITUTE( SUBSTITUTE( SUBSTITUTE( SUBSTITUTE( SUBSTITUTE( SUBSTITUTE(
    DEC2HEX(_xlfn.BITAND(QUOTIENT(Table1[[#This Row],[Address (dec)]],4),HEX2DEC(G$1)),5)&amp;DEC2HEX(_xlfn.BITAND(HEX2DEC(Table1[[#This Row],[32b hex]]),HEX2DEC(G$2)),8),
"0", ""), "3", ""), "5", ""), "6", ""), "9", ""), "A", ""), "C", ""), "F", "")),2)</f>
        <v>1</v>
      </c>
      <c r="H34" s="2">
        <f ca="1">MOD(LEN(SUBSTITUTE( SUBSTITUTE( SUBSTITUTE( SUBSTITUTE( SUBSTITUTE( SUBSTITUTE( SUBSTITUTE( SUBSTITUTE(
    DEC2HEX(_xlfn.BITAND(QUOTIENT(Table1[[#This Row],[Address (dec)]],4),HEX2DEC(H$1)),5)&amp;DEC2HEX(_xlfn.BITAND(HEX2DEC(Table1[[#This Row],[32b hex]]),HEX2DEC(H$2)),8),
"0", ""), "3", ""), "5", ""), "6", ""), "9", ""), "A", ""), "C", ""), "F", "")),2)</f>
        <v>0</v>
      </c>
      <c r="I34" s="2">
        <f ca="1">MOD(LEN(SUBSTITUTE( SUBSTITUTE( SUBSTITUTE( SUBSTITUTE( SUBSTITUTE( SUBSTITUTE( SUBSTITUTE( SUBSTITUTE(
    DEC2HEX(_xlfn.BITAND(QUOTIENT(Table1[[#This Row],[Address (dec)]],4),HEX2DEC(I$1)),5)&amp;DEC2HEX(_xlfn.BITAND(HEX2DEC(Table1[[#This Row],[32b hex]]),HEX2DEC(I$2)),8),
"0", ""), "3", ""), "5", ""), "6", ""), "9", ""), "A", ""), "C", ""), "F", "")),2)</f>
        <v>1</v>
      </c>
      <c r="J34" s="2">
        <f ca="1">MOD(LEN(SUBSTITUTE( SUBSTITUTE( SUBSTITUTE( SUBSTITUTE( SUBSTITUTE( SUBSTITUTE( SUBSTITUTE( SUBSTITUTE(
    DEC2HEX(_xlfn.BITAND(QUOTIENT(Table1[[#This Row],[Address (dec)]],4),HEX2DEC(J$1)),5)&amp;DEC2HEX(_xlfn.BITAND(HEX2DEC(Table1[[#This Row],[32b hex]]),HEX2DEC(J$2)),8),
"0", ""), "3", ""), "5", ""), "6", ""), "9", ""), "A", ""), "C", ""), "F", "")),2)</f>
        <v>0</v>
      </c>
      <c r="K34" s="2">
        <f ca="1">MOD(LEN(SUBSTITUTE( SUBSTITUTE( SUBSTITUTE( SUBSTITUTE( SUBSTITUTE( SUBSTITUTE( SUBSTITUTE( SUBSTITUTE(
    DEC2HEX(_xlfn.BITAND(QUOTIENT(Table1[[#This Row],[Address (dec)]],4),HEX2DEC(K$1)),5)&amp;DEC2HEX(_xlfn.BITAND(HEX2DEC(Table1[[#This Row],[32b hex]]),HEX2DEC(K$2)),8),
"0", ""), "3", ""), "5", ""), "6", ""), "9", ""), "A", ""), "C", ""), "F", "")),2)</f>
        <v>0</v>
      </c>
      <c r="L34" s="2">
        <f ca="1">MOD(LEN(SUBSTITUTE( SUBSTITUTE( SUBSTITUTE( SUBSTITUTE( SUBSTITUTE( SUBSTITUTE( SUBSTITUTE( SUBSTITUTE(
    DEC2HEX(_xlfn.BITAND(QUOTIENT(Table1[[#This Row],[Address (dec)]],4),HEX2DEC(L$1)),5)&amp;DEC2HEX(_xlfn.BITAND(HEX2DEC(Table1[[#This Row],[32b hex]]),HEX2DEC(L$2)),8),
"0", ""), "3", ""), "5", ""), "6", ""), "9", ""), "A", ""), "C", ""), "F", "")),2)</f>
        <v>0</v>
      </c>
      <c r="M34" s="2">
        <f ca="1">MOD(LEN(SUBSTITUTE( SUBSTITUTE( SUBSTITUTE( SUBSTITUTE( SUBSTITUTE( SUBSTITUTE( SUBSTITUTE( SUBSTITUTE(
    DEC2HEX(_xlfn.BITAND(QUOTIENT(Table1[[#This Row],[Address (dec)]],4),HEX2DEC(M$1)),5)&amp;DEC2HEX(_xlfn.BITAND(HEX2DEC(Table1[[#This Row],[32b hex]]),HEX2DEC(M$2)),8),
"0", ""), "3", ""), "5", ""), "6", ""), "9", ""), "A", ""), "C", ""), "F", "")),2)</f>
        <v>0</v>
      </c>
      <c r="N34" s="94" t="str">
        <f ca="1">BIN2HEX(Table1[[#This Row],[ECC'[6']]]&amp;Table1[[#This Row],[ECC'[5']]]&amp;Table1[[#This Row],[ECC'[4']]]&amp;Table1[[#This Row],[ECC'[3']]]&amp;Table1[[#This Row],[ECC'[2']]]&amp;Table1[[#This Row],[ECC'[1']]]&amp;Table1[[#This Row],[ECC'[0']]],2)</f>
        <v>50</v>
      </c>
      <c r="O34" s="103" t="str">
        <f ca="1">LOWER(Table1[[#This Row],[ECC (hex)]]&amp;Table1[[#This Row],[32b hex]])</f>
        <v>50eed03c45</v>
      </c>
      <c r="P34" s="104" t="s">
        <v>414</v>
      </c>
      <c r="Q34" s="109" t="s">
        <v>416</v>
      </c>
      <c r="R34" s="107" t="str">
        <f>DEC2HEX(IF(IntelHexUseAbsAddr,MOD(Table1[[#This Row],[Address (dec)]],2^16),Table1[[#This Row],[DW_ADDRESS]]*4),4)</f>
        <v>1070</v>
      </c>
      <c r="S34" s="111" t="s">
        <v>418</v>
      </c>
      <c r="T34" s="113" t="str">
        <f ca="1">UPPER(MID(Table1[[#This Row],[32b hex]],7,2)&amp;MID(Table1[[#This Row],[32b hex]],5,2)&amp;MID(Table1[[#This Row],[32b hex]],3,2)&amp;MID(Table1[[#This Row],[32b hex]],1,2))</f>
        <v>453CD0EE</v>
      </c>
      <c r="U34" s="115" t="str">
        <f t="shared" ca="1" si="0"/>
        <v>3D</v>
      </c>
      <c r="V34" s="103" t="str">
        <f t="shared" ca="1" si="1"/>
        <v>:04107000453CD0EE3D</v>
      </c>
    </row>
    <row r="35" spans="1:22">
      <c r="A35" s="2">
        <v>4212</v>
      </c>
      <c r="B35" s="2" t="str">
        <f>"0x" &amp; DEC2HEX(Table1[[#This Row],[Address (dec)]],4)</f>
        <v>0x1074</v>
      </c>
      <c r="C35" s="2" t="str">
        <f ca="1">DEC2HEX(SUMIFS(MemoryView!$D$4:$D$103,MemoryView!$A$4:$A$103,"0x"&amp;DEC2HEX(Output!$A35+2,4)),4)</f>
        <v>0D15</v>
      </c>
      <c r="D35" s="2" t="str">
        <f ca="1">DEC2HEX(SUMIFS(MemoryView!$D$4:$D$103,MemoryView!$A$4:$A$103,"0x"&amp;DEC2HEX(Output!$A35,4)),4)</f>
        <v>F7FC</v>
      </c>
      <c r="E35" s="103" t="str">
        <f t="shared" ca="1" si="2"/>
        <v>0d15f7fc</v>
      </c>
      <c r="F35" s="2">
        <v>29</v>
      </c>
      <c r="G35" s="2">
        <f ca="1">MOD(LEN(SUBSTITUTE( SUBSTITUTE( SUBSTITUTE( SUBSTITUTE( SUBSTITUTE( SUBSTITUTE( SUBSTITUTE( SUBSTITUTE(
    DEC2HEX(_xlfn.BITAND(QUOTIENT(Table1[[#This Row],[Address (dec)]],4),HEX2DEC(G$1)),5)&amp;DEC2HEX(_xlfn.BITAND(HEX2DEC(Table1[[#This Row],[32b hex]]),HEX2DEC(G$2)),8),
"0", ""), "3", ""), "5", ""), "6", ""), "9", ""), "A", ""), "C", ""), "F", "")),2)</f>
        <v>1</v>
      </c>
      <c r="H35" s="2">
        <f ca="1">MOD(LEN(SUBSTITUTE( SUBSTITUTE( SUBSTITUTE( SUBSTITUTE( SUBSTITUTE( SUBSTITUTE( SUBSTITUTE( SUBSTITUTE(
    DEC2HEX(_xlfn.BITAND(QUOTIENT(Table1[[#This Row],[Address (dec)]],4),HEX2DEC(H$1)),5)&amp;DEC2HEX(_xlfn.BITAND(HEX2DEC(Table1[[#This Row],[32b hex]]),HEX2DEC(H$2)),8),
"0", ""), "3", ""), "5", ""), "6", ""), "9", ""), "A", ""), "C", ""), "F", "")),2)</f>
        <v>1</v>
      </c>
      <c r="I35" s="2">
        <f ca="1">MOD(LEN(SUBSTITUTE( SUBSTITUTE( SUBSTITUTE( SUBSTITUTE( SUBSTITUTE( SUBSTITUTE( SUBSTITUTE( SUBSTITUTE(
    DEC2HEX(_xlfn.BITAND(QUOTIENT(Table1[[#This Row],[Address (dec)]],4),HEX2DEC(I$1)),5)&amp;DEC2HEX(_xlfn.BITAND(HEX2DEC(Table1[[#This Row],[32b hex]]),HEX2DEC(I$2)),8),
"0", ""), "3", ""), "5", ""), "6", ""), "9", ""), "A", ""), "C", ""), "F", "")),2)</f>
        <v>1</v>
      </c>
      <c r="J35" s="2">
        <f ca="1">MOD(LEN(SUBSTITUTE( SUBSTITUTE( SUBSTITUTE( SUBSTITUTE( SUBSTITUTE( SUBSTITUTE( SUBSTITUTE( SUBSTITUTE(
    DEC2HEX(_xlfn.BITAND(QUOTIENT(Table1[[#This Row],[Address (dec)]],4),HEX2DEC(J$1)),5)&amp;DEC2HEX(_xlfn.BITAND(HEX2DEC(Table1[[#This Row],[32b hex]]),HEX2DEC(J$2)),8),
"0", ""), "3", ""), "5", ""), "6", ""), "9", ""), "A", ""), "C", ""), "F", "")),2)</f>
        <v>1</v>
      </c>
      <c r="K35" s="2">
        <f ca="1">MOD(LEN(SUBSTITUTE( SUBSTITUTE( SUBSTITUTE( SUBSTITUTE( SUBSTITUTE( SUBSTITUTE( SUBSTITUTE( SUBSTITUTE(
    DEC2HEX(_xlfn.BITAND(QUOTIENT(Table1[[#This Row],[Address (dec)]],4),HEX2DEC(K$1)),5)&amp;DEC2HEX(_xlfn.BITAND(HEX2DEC(Table1[[#This Row],[32b hex]]),HEX2DEC(K$2)),8),
"0", ""), "3", ""), "5", ""), "6", ""), "9", ""), "A", ""), "C", ""), "F", "")),2)</f>
        <v>1</v>
      </c>
      <c r="L35" s="2">
        <f ca="1">MOD(LEN(SUBSTITUTE( SUBSTITUTE( SUBSTITUTE( SUBSTITUTE( SUBSTITUTE( SUBSTITUTE( SUBSTITUTE( SUBSTITUTE(
    DEC2HEX(_xlfn.BITAND(QUOTIENT(Table1[[#This Row],[Address (dec)]],4),HEX2DEC(L$1)),5)&amp;DEC2HEX(_xlfn.BITAND(HEX2DEC(Table1[[#This Row],[32b hex]]),HEX2DEC(L$2)),8),
"0", ""), "3", ""), "5", ""), "6", ""), "9", ""), "A", ""), "C", ""), "F", "")),2)</f>
        <v>1</v>
      </c>
      <c r="M35" s="2">
        <f ca="1">MOD(LEN(SUBSTITUTE( SUBSTITUTE( SUBSTITUTE( SUBSTITUTE( SUBSTITUTE( SUBSTITUTE( SUBSTITUTE( SUBSTITUTE(
    DEC2HEX(_xlfn.BITAND(QUOTIENT(Table1[[#This Row],[Address (dec)]],4),HEX2DEC(M$1)),5)&amp;DEC2HEX(_xlfn.BITAND(HEX2DEC(Table1[[#This Row],[32b hex]]),HEX2DEC(M$2)),8),
"0", ""), "3", ""), "5", ""), "6", ""), "9", ""), "A", ""), "C", ""), "F", "")),2)</f>
        <v>0</v>
      </c>
      <c r="N35" s="94" t="str">
        <f ca="1">BIN2HEX(Table1[[#This Row],[ECC'[6']]]&amp;Table1[[#This Row],[ECC'[5']]]&amp;Table1[[#This Row],[ECC'[4']]]&amp;Table1[[#This Row],[ECC'[3']]]&amp;Table1[[#This Row],[ECC'[2']]]&amp;Table1[[#This Row],[ECC'[1']]]&amp;Table1[[#This Row],[ECC'[0']]],2)</f>
        <v>7E</v>
      </c>
      <c r="O35" s="103" t="str">
        <f ca="1">LOWER(Table1[[#This Row],[ECC (hex)]]&amp;Table1[[#This Row],[32b hex]])</f>
        <v>7e0d15f7fc</v>
      </c>
      <c r="P35" s="104" t="s">
        <v>414</v>
      </c>
      <c r="Q35" s="109" t="s">
        <v>416</v>
      </c>
      <c r="R35" s="107" t="str">
        <f>DEC2HEX(IF(IntelHexUseAbsAddr,MOD(Table1[[#This Row],[Address (dec)]],2^16),Table1[[#This Row],[DW_ADDRESS]]*4),4)</f>
        <v>1074</v>
      </c>
      <c r="S35" s="111" t="s">
        <v>418</v>
      </c>
      <c r="T35" s="113" t="str">
        <f ca="1">UPPER(MID(Table1[[#This Row],[32b hex]],7,2)&amp;MID(Table1[[#This Row],[32b hex]],5,2)&amp;MID(Table1[[#This Row],[32b hex]],3,2)&amp;MID(Table1[[#This Row],[32b hex]],1,2))</f>
        <v>FCF7150D</v>
      </c>
      <c r="U35" s="115" t="str">
        <f t="shared" ca="1" si="0"/>
        <v>63</v>
      </c>
      <c r="V35" s="103" t="str">
        <f t="shared" ca="1" si="1"/>
        <v>:04107400FCF7150D63</v>
      </c>
    </row>
    <row r="36" spans="1:22">
      <c r="A36" s="2">
        <v>4216</v>
      </c>
      <c r="B36" s="2" t="str">
        <f>"0x" &amp; DEC2HEX(Table1[[#This Row],[Address (dec)]],4)</f>
        <v>0x1078</v>
      </c>
      <c r="C36" s="2" t="str">
        <f ca="1">DEC2HEX(SUMIFS(MemoryView!$D$4:$D$103,MemoryView!$A$4:$A$103,"0x"&amp;DEC2HEX(Output!$A36+2,4)),4)</f>
        <v>0000</v>
      </c>
      <c r="D36" s="2" t="str">
        <f ca="1">DEC2HEX(SUMIFS(MemoryView!$D$4:$D$103,MemoryView!$A$4:$A$103,"0x"&amp;DEC2HEX(Output!$A36,4)),4)</f>
        <v>0002</v>
      </c>
      <c r="E36" s="103" t="str">
        <f t="shared" ca="1" si="2"/>
        <v>00000002</v>
      </c>
      <c r="F36" s="2">
        <v>30</v>
      </c>
      <c r="G36" s="2">
        <f ca="1">MOD(LEN(SUBSTITUTE( SUBSTITUTE( SUBSTITUTE( SUBSTITUTE( SUBSTITUTE( SUBSTITUTE( SUBSTITUTE( SUBSTITUTE(
    DEC2HEX(_xlfn.BITAND(QUOTIENT(Table1[[#This Row],[Address (dec)]],4),HEX2DEC(G$1)),5)&amp;DEC2HEX(_xlfn.BITAND(HEX2DEC(Table1[[#This Row],[32b hex]]),HEX2DEC(G$2)),8),
"0", ""), "3", ""), "5", ""), "6", ""), "9", ""), "A", ""), "C", ""), "F", "")),2)</f>
        <v>1</v>
      </c>
      <c r="H36" s="2">
        <f ca="1">MOD(LEN(SUBSTITUTE( SUBSTITUTE( SUBSTITUTE( SUBSTITUTE( SUBSTITUTE( SUBSTITUTE( SUBSTITUTE( SUBSTITUTE(
    DEC2HEX(_xlfn.BITAND(QUOTIENT(Table1[[#This Row],[Address (dec)]],4),HEX2DEC(H$1)),5)&amp;DEC2HEX(_xlfn.BITAND(HEX2DEC(Table1[[#This Row],[32b hex]]),HEX2DEC(H$2)),8),
"0", ""), "3", ""), "5", ""), "6", ""), "9", ""), "A", ""), "C", ""), "F", "")),2)</f>
        <v>1</v>
      </c>
      <c r="I36" s="2">
        <f ca="1">MOD(LEN(SUBSTITUTE( SUBSTITUTE( SUBSTITUTE( SUBSTITUTE( SUBSTITUTE( SUBSTITUTE( SUBSTITUTE( SUBSTITUTE(
    DEC2HEX(_xlfn.BITAND(QUOTIENT(Table1[[#This Row],[Address (dec)]],4),HEX2DEC(I$1)),5)&amp;DEC2HEX(_xlfn.BITAND(HEX2DEC(Table1[[#This Row],[32b hex]]),HEX2DEC(I$2)),8),
"0", ""), "3", ""), "5", ""), "6", ""), "9", ""), "A", ""), "C", ""), "F", "")),2)</f>
        <v>0</v>
      </c>
      <c r="J36" s="2">
        <f ca="1">MOD(LEN(SUBSTITUTE( SUBSTITUTE( SUBSTITUTE( SUBSTITUTE( SUBSTITUTE( SUBSTITUTE( SUBSTITUTE( SUBSTITUTE(
    DEC2HEX(_xlfn.BITAND(QUOTIENT(Table1[[#This Row],[Address (dec)]],4),HEX2DEC(J$1)),5)&amp;DEC2HEX(_xlfn.BITAND(HEX2DEC(Table1[[#This Row],[32b hex]]),HEX2DEC(J$2)),8),
"0", ""), "3", ""), "5", ""), "6", ""), "9", ""), "A", ""), "C", ""), "F", "")),2)</f>
        <v>0</v>
      </c>
      <c r="K36" s="2">
        <f ca="1">MOD(LEN(SUBSTITUTE( SUBSTITUTE( SUBSTITUTE( SUBSTITUTE( SUBSTITUTE( SUBSTITUTE( SUBSTITUTE( SUBSTITUTE(
    DEC2HEX(_xlfn.BITAND(QUOTIENT(Table1[[#This Row],[Address (dec)]],4),HEX2DEC(K$1)),5)&amp;DEC2HEX(_xlfn.BITAND(HEX2DEC(Table1[[#This Row],[32b hex]]),HEX2DEC(K$2)),8),
"0", ""), "3", ""), "5", ""), "6", ""), "9", ""), "A", ""), "C", ""), "F", "")),2)</f>
        <v>0</v>
      </c>
      <c r="L36" s="2">
        <f ca="1">MOD(LEN(SUBSTITUTE( SUBSTITUTE( SUBSTITUTE( SUBSTITUTE( SUBSTITUTE( SUBSTITUTE( SUBSTITUTE( SUBSTITUTE(
    DEC2HEX(_xlfn.BITAND(QUOTIENT(Table1[[#This Row],[Address (dec)]],4),HEX2DEC(L$1)),5)&amp;DEC2HEX(_xlfn.BITAND(HEX2DEC(Table1[[#This Row],[32b hex]]),HEX2DEC(L$2)),8),
"0", ""), "3", ""), "5", ""), "6", ""), "9", ""), "A", ""), "C", ""), "F", "")),2)</f>
        <v>0</v>
      </c>
      <c r="M36" s="2">
        <f ca="1">MOD(LEN(SUBSTITUTE( SUBSTITUTE( SUBSTITUTE( SUBSTITUTE( SUBSTITUTE( SUBSTITUTE( SUBSTITUTE( SUBSTITUTE(
    DEC2HEX(_xlfn.BITAND(QUOTIENT(Table1[[#This Row],[Address (dec)]],4),HEX2DEC(M$1)),5)&amp;DEC2HEX(_xlfn.BITAND(HEX2DEC(Table1[[#This Row],[32b hex]]),HEX2DEC(M$2)),8),
"0", ""), "3", ""), "5", ""), "6", ""), "9", ""), "A", ""), "C", ""), "F", "")),2)</f>
        <v>0</v>
      </c>
      <c r="N36" s="94" t="str">
        <f ca="1">BIN2HEX(Table1[[#This Row],[ECC'[6']]]&amp;Table1[[#This Row],[ECC'[5']]]&amp;Table1[[#This Row],[ECC'[4']]]&amp;Table1[[#This Row],[ECC'[3']]]&amp;Table1[[#This Row],[ECC'[2']]]&amp;Table1[[#This Row],[ECC'[1']]]&amp;Table1[[#This Row],[ECC'[0']]],2)</f>
        <v>60</v>
      </c>
      <c r="O36" s="103" t="str">
        <f ca="1">LOWER(Table1[[#This Row],[ECC (hex)]]&amp;Table1[[#This Row],[32b hex]])</f>
        <v>6000000002</v>
      </c>
      <c r="P36" s="104" t="s">
        <v>414</v>
      </c>
      <c r="Q36" s="109" t="s">
        <v>416</v>
      </c>
      <c r="R36" s="107" t="str">
        <f>DEC2HEX(IF(IntelHexUseAbsAddr,MOD(Table1[[#This Row],[Address (dec)]],2^16),Table1[[#This Row],[DW_ADDRESS]]*4),4)</f>
        <v>1078</v>
      </c>
      <c r="S36" s="111" t="s">
        <v>418</v>
      </c>
      <c r="T36" s="113" t="str">
        <f ca="1">UPPER(MID(Table1[[#This Row],[32b hex]],7,2)&amp;MID(Table1[[#This Row],[32b hex]],5,2)&amp;MID(Table1[[#This Row],[32b hex]],3,2)&amp;MID(Table1[[#This Row],[32b hex]],1,2))</f>
        <v>02000000</v>
      </c>
      <c r="U36" s="115" t="str">
        <f t="shared" ca="1" si="0"/>
        <v>72</v>
      </c>
      <c r="V36" s="103" t="str">
        <f t="shared" ca="1" si="1"/>
        <v>:041078000200000072</v>
      </c>
    </row>
    <row r="37" spans="1:22">
      <c r="A37" s="2">
        <v>4220</v>
      </c>
      <c r="B37" s="2" t="str">
        <f>"0x" &amp; DEC2HEX(Table1[[#This Row],[Address (dec)]],4)</f>
        <v>0x107C</v>
      </c>
      <c r="C37" s="2" t="str">
        <f ca="1">DEC2HEX(SUMIFS(MemoryView!$D$4:$D$103,MemoryView!$A$4:$A$103,"0x"&amp;DEC2HEX(Output!$A37+2,4)),4)</f>
        <v>0800</v>
      </c>
      <c r="D37" s="2" t="str">
        <f ca="1">DEC2HEX(SUMIFS(MemoryView!$D$4:$D$103,MemoryView!$A$4:$A$103,"0x"&amp;DEC2HEX(Output!$A37,4)),4)</f>
        <v>0249</v>
      </c>
      <c r="E37" s="103" t="str">
        <f t="shared" ca="1" si="2"/>
        <v>08000249</v>
      </c>
      <c r="F37" s="2">
        <v>31</v>
      </c>
      <c r="G37" s="2">
        <f ca="1">MOD(LEN(SUBSTITUTE( SUBSTITUTE( SUBSTITUTE( SUBSTITUTE( SUBSTITUTE( SUBSTITUTE( SUBSTITUTE( SUBSTITUTE(
    DEC2HEX(_xlfn.BITAND(QUOTIENT(Table1[[#This Row],[Address (dec)]],4),HEX2DEC(G$1)),5)&amp;DEC2HEX(_xlfn.BITAND(HEX2DEC(Table1[[#This Row],[32b hex]]),HEX2DEC(G$2)),8),
"0", ""), "3", ""), "5", ""), "6", ""), "9", ""), "A", ""), "C", ""), "F", "")),2)</f>
        <v>1</v>
      </c>
      <c r="H37" s="2">
        <f ca="1">MOD(LEN(SUBSTITUTE( SUBSTITUTE( SUBSTITUTE( SUBSTITUTE( SUBSTITUTE( SUBSTITUTE( SUBSTITUTE( SUBSTITUTE(
    DEC2HEX(_xlfn.BITAND(QUOTIENT(Table1[[#This Row],[Address (dec)]],4),HEX2DEC(H$1)),5)&amp;DEC2HEX(_xlfn.BITAND(HEX2DEC(Table1[[#This Row],[32b hex]]),HEX2DEC(H$2)),8),
"0", ""), "3", ""), "5", ""), "6", ""), "9", ""), "A", ""), "C", ""), "F", "")),2)</f>
        <v>0</v>
      </c>
      <c r="I37" s="2">
        <f ca="1">MOD(LEN(SUBSTITUTE( SUBSTITUTE( SUBSTITUTE( SUBSTITUTE( SUBSTITUTE( SUBSTITUTE( SUBSTITUTE( SUBSTITUTE(
    DEC2HEX(_xlfn.BITAND(QUOTIENT(Table1[[#This Row],[Address (dec)]],4),HEX2DEC(I$1)),5)&amp;DEC2HEX(_xlfn.BITAND(HEX2DEC(Table1[[#This Row],[32b hex]]),HEX2DEC(I$2)),8),
"0", ""), "3", ""), "5", ""), "6", ""), "9", ""), "A", ""), "C", ""), "F", "")),2)</f>
        <v>1</v>
      </c>
      <c r="J37" s="2">
        <f ca="1">MOD(LEN(SUBSTITUTE( SUBSTITUTE( SUBSTITUTE( SUBSTITUTE( SUBSTITUTE( SUBSTITUTE( SUBSTITUTE( SUBSTITUTE(
    DEC2HEX(_xlfn.BITAND(QUOTIENT(Table1[[#This Row],[Address (dec)]],4),HEX2DEC(J$1)),5)&amp;DEC2HEX(_xlfn.BITAND(HEX2DEC(Table1[[#This Row],[32b hex]]),HEX2DEC(J$2)),8),
"0", ""), "3", ""), "5", ""), "6", ""), "9", ""), "A", ""), "C", ""), "F", "")),2)</f>
        <v>0</v>
      </c>
      <c r="K37" s="2">
        <f ca="1">MOD(LEN(SUBSTITUTE( SUBSTITUTE( SUBSTITUTE( SUBSTITUTE( SUBSTITUTE( SUBSTITUTE( SUBSTITUTE( SUBSTITUTE(
    DEC2HEX(_xlfn.BITAND(QUOTIENT(Table1[[#This Row],[Address (dec)]],4),HEX2DEC(K$1)),5)&amp;DEC2HEX(_xlfn.BITAND(HEX2DEC(Table1[[#This Row],[32b hex]]),HEX2DEC(K$2)),8),
"0", ""), "3", ""), "5", ""), "6", ""), "9", ""), "A", ""), "C", ""), "F", "")),2)</f>
        <v>0</v>
      </c>
      <c r="L37" s="2">
        <f ca="1">MOD(LEN(SUBSTITUTE( SUBSTITUTE( SUBSTITUTE( SUBSTITUTE( SUBSTITUTE( SUBSTITUTE( SUBSTITUTE( SUBSTITUTE(
    DEC2HEX(_xlfn.BITAND(QUOTIENT(Table1[[#This Row],[Address (dec)]],4),HEX2DEC(L$1)),5)&amp;DEC2HEX(_xlfn.BITAND(HEX2DEC(Table1[[#This Row],[32b hex]]),HEX2DEC(L$2)),8),
"0", ""), "3", ""), "5", ""), "6", ""), "9", ""), "A", ""), "C", ""), "F", "")),2)</f>
        <v>1</v>
      </c>
      <c r="M37" s="2">
        <f ca="1">MOD(LEN(SUBSTITUTE( SUBSTITUTE( SUBSTITUTE( SUBSTITUTE( SUBSTITUTE( SUBSTITUTE( SUBSTITUTE( SUBSTITUTE(
    DEC2HEX(_xlfn.BITAND(QUOTIENT(Table1[[#This Row],[Address (dec)]],4),HEX2DEC(M$1)),5)&amp;DEC2HEX(_xlfn.BITAND(HEX2DEC(Table1[[#This Row],[32b hex]]),HEX2DEC(M$2)),8),
"0", ""), "3", ""), "5", ""), "6", ""), "9", ""), "A", ""), "C", ""), "F", "")),2)</f>
        <v>0</v>
      </c>
      <c r="N37" s="94" t="str">
        <f ca="1">BIN2HEX(Table1[[#This Row],[ECC'[6']]]&amp;Table1[[#This Row],[ECC'[5']]]&amp;Table1[[#This Row],[ECC'[4']]]&amp;Table1[[#This Row],[ECC'[3']]]&amp;Table1[[#This Row],[ECC'[2']]]&amp;Table1[[#This Row],[ECC'[1']]]&amp;Table1[[#This Row],[ECC'[0']]],2)</f>
        <v>52</v>
      </c>
      <c r="O37" s="103" t="str">
        <f ca="1">LOWER(Table1[[#This Row],[ECC (hex)]]&amp;Table1[[#This Row],[32b hex]])</f>
        <v>5208000249</v>
      </c>
      <c r="P37" s="104" t="s">
        <v>414</v>
      </c>
      <c r="Q37" s="109" t="s">
        <v>416</v>
      </c>
      <c r="R37" s="107" t="str">
        <f>DEC2HEX(IF(IntelHexUseAbsAddr,MOD(Table1[[#This Row],[Address (dec)]],2^16),Table1[[#This Row],[DW_ADDRESS]]*4),4)</f>
        <v>107C</v>
      </c>
      <c r="S37" s="111" t="s">
        <v>418</v>
      </c>
      <c r="T37" s="113" t="str">
        <f ca="1">UPPER(MID(Table1[[#This Row],[32b hex]],7,2)&amp;MID(Table1[[#This Row],[32b hex]],5,2)&amp;MID(Table1[[#This Row],[32b hex]],3,2)&amp;MID(Table1[[#This Row],[32b hex]],1,2))</f>
        <v>49020008</v>
      </c>
      <c r="U37" s="115" t="str">
        <f t="shared" ca="1" si="0"/>
        <v>1D</v>
      </c>
      <c r="V37" s="103" t="str">
        <f t="shared" ca="1" si="1"/>
        <v>:04107C00490200081D</v>
      </c>
    </row>
    <row r="38" spans="1:22">
      <c r="A38" s="2">
        <v>4224</v>
      </c>
      <c r="B38" s="2" t="str">
        <f>"0x" &amp; DEC2HEX(Table1[[#This Row],[Address (dec)]],4)</f>
        <v>0x1080</v>
      </c>
      <c r="C38" s="2" t="str">
        <f ca="1">DEC2HEX(SUMIFS(MemoryView!$D$4:$D$103,MemoryView!$A$4:$A$103,"0x"&amp;DEC2HEX(Output!$A38+2,4)),4)</f>
        <v>0000</v>
      </c>
      <c r="D38" s="2" t="str">
        <f ca="1">DEC2HEX(SUMIFS(MemoryView!$D$4:$D$103,MemoryView!$A$4:$A$103,"0x"&amp;DEC2HEX(Output!$A38,4)),4)</f>
        <v>0000</v>
      </c>
      <c r="E38" s="103" t="str">
        <f t="shared" ca="1" si="2"/>
        <v>00000000</v>
      </c>
      <c r="F38" s="2">
        <v>32</v>
      </c>
      <c r="G38" s="2">
        <f ca="1">MOD(LEN(SUBSTITUTE( SUBSTITUTE( SUBSTITUTE( SUBSTITUTE( SUBSTITUTE( SUBSTITUTE( SUBSTITUTE( SUBSTITUTE(
    DEC2HEX(_xlfn.BITAND(QUOTIENT(Table1[[#This Row],[Address (dec)]],4),HEX2DEC(G$1)),5)&amp;DEC2HEX(_xlfn.BITAND(HEX2DEC(Table1[[#This Row],[32b hex]]),HEX2DEC(G$2)),8),
"0", ""), "3", ""), "5", ""), "6", ""), "9", ""), "A", ""), "C", ""), "F", "")),2)</f>
        <v>0</v>
      </c>
      <c r="H38" s="2">
        <f ca="1">MOD(LEN(SUBSTITUTE( SUBSTITUTE( SUBSTITUTE( SUBSTITUTE( SUBSTITUTE( SUBSTITUTE( SUBSTITUTE( SUBSTITUTE(
    DEC2HEX(_xlfn.BITAND(QUOTIENT(Table1[[#This Row],[Address (dec)]],4),HEX2DEC(H$1)),5)&amp;DEC2HEX(_xlfn.BITAND(HEX2DEC(Table1[[#This Row],[32b hex]]),HEX2DEC(H$2)),8),
"0", ""), "3", ""), "5", ""), "6", ""), "9", ""), "A", ""), "C", ""), "F", "")),2)</f>
        <v>1</v>
      </c>
      <c r="I38" s="2">
        <f ca="1">MOD(LEN(SUBSTITUTE( SUBSTITUTE( SUBSTITUTE( SUBSTITUTE( SUBSTITUTE( SUBSTITUTE( SUBSTITUTE( SUBSTITUTE(
    DEC2HEX(_xlfn.BITAND(QUOTIENT(Table1[[#This Row],[Address (dec)]],4),HEX2DEC(I$1)),5)&amp;DEC2HEX(_xlfn.BITAND(HEX2DEC(Table1[[#This Row],[32b hex]]),HEX2DEC(I$2)),8),
"0", ""), "3", ""), "5", ""), "6", ""), "9", ""), "A", ""), "C", ""), "F", "")),2)</f>
        <v>0</v>
      </c>
      <c r="J38" s="2">
        <f ca="1">MOD(LEN(SUBSTITUTE( SUBSTITUTE( SUBSTITUTE( SUBSTITUTE( SUBSTITUTE( SUBSTITUTE( SUBSTITUTE( SUBSTITUTE(
    DEC2HEX(_xlfn.BITAND(QUOTIENT(Table1[[#This Row],[Address (dec)]],4),HEX2DEC(J$1)),5)&amp;DEC2HEX(_xlfn.BITAND(HEX2DEC(Table1[[#This Row],[32b hex]]),HEX2DEC(J$2)),8),
"0", ""), "3", ""), "5", ""), "6", ""), "9", ""), "A", ""), "C", ""), "F", "")),2)</f>
        <v>1</v>
      </c>
      <c r="K38" s="2">
        <f ca="1">MOD(LEN(SUBSTITUTE( SUBSTITUTE( SUBSTITUTE( SUBSTITUTE( SUBSTITUTE( SUBSTITUTE( SUBSTITUTE( SUBSTITUTE(
    DEC2HEX(_xlfn.BITAND(QUOTIENT(Table1[[#This Row],[Address (dec)]],4),HEX2DEC(K$1)),5)&amp;DEC2HEX(_xlfn.BITAND(HEX2DEC(Table1[[#This Row],[32b hex]]),HEX2DEC(K$2)),8),
"0", ""), "3", ""), "5", ""), "6", ""), "9", ""), "A", ""), "C", ""), "F", "")),2)</f>
        <v>0</v>
      </c>
      <c r="L38" s="2">
        <f ca="1">MOD(LEN(SUBSTITUTE( SUBSTITUTE( SUBSTITUTE( SUBSTITUTE( SUBSTITUTE( SUBSTITUTE( SUBSTITUTE( SUBSTITUTE(
    DEC2HEX(_xlfn.BITAND(QUOTIENT(Table1[[#This Row],[Address (dec)]],4),HEX2DEC(L$1)),5)&amp;DEC2HEX(_xlfn.BITAND(HEX2DEC(Table1[[#This Row],[32b hex]]),HEX2DEC(L$2)),8),
"0", ""), "3", ""), "5", ""), "6", ""), "9", ""), "A", ""), "C", ""), "F", "")),2)</f>
        <v>1</v>
      </c>
      <c r="M38" s="2">
        <f ca="1">MOD(LEN(SUBSTITUTE( SUBSTITUTE( SUBSTITUTE( SUBSTITUTE( SUBSTITUTE( SUBSTITUTE( SUBSTITUTE( SUBSTITUTE(
    DEC2HEX(_xlfn.BITAND(QUOTIENT(Table1[[#This Row],[Address (dec)]],4),HEX2DEC(M$1)),5)&amp;DEC2HEX(_xlfn.BITAND(HEX2DEC(Table1[[#This Row],[32b hex]]),HEX2DEC(M$2)),8),
"0", ""), "3", ""), "5", ""), "6", ""), "9", ""), "A", ""), "C", ""), "F", "")),2)</f>
        <v>1</v>
      </c>
      <c r="N38" s="94" t="str">
        <f ca="1">BIN2HEX(Table1[[#This Row],[ECC'[6']]]&amp;Table1[[#This Row],[ECC'[5']]]&amp;Table1[[#This Row],[ECC'[4']]]&amp;Table1[[#This Row],[ECC'[3']]]&amp;Table1[[#This Row],[ECC'[2']]]&amp;Table1[[#This Row],[ECC'[1']]]&amp;Table1[[#This Row],[ECC'[0']]],2)</f>
        <v>2B</v>
      </c>
      <c r="O38" s="103" t="str">
        <f ca="1">LOWER(Table1[[#This Row],[ECC (hex)]]&amp;Table1[[#This Row],[32b hex]])</f>
        <v>2b00000000</v>
      </c>
      <c r="P38" s="104" t="s">
        <v>414</v>
      </c>
      <c r="Q38" s="109" t="s">
        <v>416</v>
      </c>
      <c r="R38" s="107" t="str">
        <f>DEC2HEX(IF(IntelHexUseAbsAddr,MOD(Table1[[#This Row],[Address (dec)]],2^16),Table1[[#This Row],[DW_ADDRESS]]*4),4)</f>
        <v>1080</v>
      </c>
      <c r="S38" s="111" t="s">
        <v>418</v>
      </c>
      <c r="T38" s="113" t="str">
        <f ca="1">UPPER(MID(Table1[[#This Row],[32b hex]],7,2)&amp;MID(Table1[[#This Row],[32b hex]],5,2)&amp;MID(Table1[[#This Row],[32b hex]],3,2)&amp;MID(Table1[[#This Row],[32b hex]],1,2))</f>
        <v>00000000</v>
      </c>
      <c r="U38" s="115" t="str">
        <f t="shared" ca="1" si="0"/>
        <v>6C</v>
      </c>
      <c r="V38" s="103" t="str">
        <f t="shared" ca="1" si="1"/>
        <v>:04108000000000006C</v>
      </c>
    </row>
    <row r="39" spans="1:22">
      <c r="A39" s="2">
        <v>4228</v>
      </c>
      <c r="B39" s="2" t="str">
        <f>"0x" &amp; DEC2HEX(Table1[[#This Row],[Address (dec)]],4)</f>
        <v>0x1084</v>
      </c>
      <c r="C39" s="2" t="str">
        <f ca="1">DEC2HEX(SUMIFS(MemoryView!$D$4:$D$103,MemoryView!$A$4:$A$103,"0x"&amp;DEC2HEX(Output!$A39+2,4)),4)</f>
        <v>4463</v>
      </c>
      <c r="D39" s="2" t="str">
        <f ca="1">DEC2HEX(SUMIFS(MemoryView!$D$4:$D$103,MemoryView!$A$4:$A$103,"0x"&amp;DEC2HEX(Output!$A39,4)),4)</f>
        <v>0DEB</v>
      </c>
      <c r="E39" s="103" t="str">
        <f t="shared" ca="1" si="2"/>
        <v>44630deb</v>
      </c>
      <c r="F39" s="2">
        <v>33</v>
      </c>
      <c r="G39" s="2">
        <f ca="1">MOD(LEN(SUBSTITUTE( SUBSTITUTE( SUBSTITUTE( SUBSTITUTE( SUBSTITUTE( SUBSTITUTE( SUBSTITUTE( SUBSTITUTE(
    DEC2HEX(_xlfn.BITAND(QUOTIENT(Table1[[#This Row],[Address (dec)]],4),HEX2DEC(G$1)),5)&amp;DEC2HEX(_xlfn.BITAND(HEX2DEC(Table1[[#This Row],[32b hex]]),HEX2DEC(G$2)),8),
"0", ""), "3", ""), "5", ""), "6", ""), "9", ""), "A", ""), "C", ""), "F", "")),2)</f>
        <v>0</v>
      </c>
      <c r="H39" s="2">
        <f ca="1">MOD(LEN(SUBSTITUTE( SUBSTITUTE( SUBSTITUTE( SUBSTITUTE( SUBSTITUTE( SUBSTITUTE( SUBSTITUTE( SUBSTITUTE(
    DEC2HEX(_xlfn.BITAND(QUOTIENT(Table1[[#This Row],[Address (dec)]],4),HEX2DEC(H$1)),5)&amp;DEC2HEX(_xlfn.BITAND(HEX2DEC(Table1[[#This Row],[32b hex]]),HEX2DEC(H$2)),8),
"0", ""), "3", ""), "5", ""), "6", ""), "9", ""), "A", ""), "C", ""), "F", "")),2)</f>
        <v>1</v>
      </c>
      <c r="I39" s="2">
        <f ca="1">MOD(LEN(SUBSTITUTE( SUBSTITUTE( SUBSTITUTE( SUBSTITUTE( SUBSTITUTE( SUBSTITUTE( SUBSTITUTE( SUBSTITUTE(
    DEC2HEX(_xlfn.BITAND(QUOTIENT(Table1[[#This Row],[Address (dec)]],4),HEX2DEC(I$1)),5)&amp;DEC2HEX(_xlfn.BITAND(HEX2DEC(Table1[[#This Row],[32b hex]]),HEX2DEC(I$2)),8),
"0", ""), "3", ""), "5", ""), "6", ""), "9", ""), "A", ""), "C", ""), "F", "")),2)</f>
        <v>1</v>
      </c>
      <c r="J39" s="2">
        <f ca="1">MOD(LEN(SUBSTITUTE( SUBSTITUTE( SUBSTITUTE( SUBSTITUTE( SUBSTITUTE( SUBSTITUTE( SUBSTITUTE( SUBSTITUTE(
    DEC2HEX(_xlfn.BITAND(QUOTIENT(Table1[[#This Row],[Address (dec)]],4),HEX2DEC(J$1)),5)&amp;DEC2HEX(_xlfn.BITAND(HEX2DEC(Table1[[#This Row],[32b hex]]),HEX2DEC(J$2)),8),
"0", ""), "3", ""), "5", ""), "6", ""), "9", ""), "A", ""), "C", ""), "F", "")),2)</f>
        <v>0</v>
      </c>
      <c r="K39" s="2">
        <f ca="1">MOD(LEN(SUBSTITUTE( SUBSTITUTE( SUBSTITUTE( SUBSTITUTE( SUBSTITUTE( SUBSTITUTE( SUBSTITUTE( SUBSTITUTE(
    DEC2HEX(_xlfn.BITAND(QUOTIENT(Table1[[#This Row],[Address (dec)]],4),HEX2DEC(K$1)),5)&amp;DEC2HEX(_xlfn.BITAND(HEX2DEC(Table1[[#This Row],[32b hex]]),HEX2DEC(K$2)),8),
"0", ""), "3", ""), "5", ""), "6", ""), "9", ""), "A", ""), "C", ""), "F", "")),2)</f>
        <v>1</v>
      </c>
      <c r="L39" s="2">
        <f ca="1">MOD(LEN(SUBSTITUTE( SUBSTITUTE( SUBSTITUTE( SUBSTITUTE( SUBSTITUTE( SUBSTITUTE( SUBSTITUTE( SUBSTITUTE(
    DEC2HEX(_xlfn.BITAND(QUOTIENT(Table1[[#This Row],[Address (dec)]],4),HEX2DEC(L$1)),5)&amp;DEC2HEX(_xlfn.BITAND(HEX2DEC(Table1[[#This Row],[32b hex]]),HEX2DEC(L$2)),8),
"0", ""), "3", ""), "5", ""), "6", ""), "9", ""), "A", ""), "C", ""), "F", "")),2)</f>
        <v>0</v>
      </c>
      <c r="M39" s="2">
        <f ca="1">MOD(LEN(SUBSTITUTE( SUBSTITUTE( SUBSTITUTE( SUBSTITUTE( SUBSTITUTE( SUBSTITUTE( SUBSTITUTE( SUBSTITUTE(
    DEC2HEX(_xlfn.BITAND(QUOTIENT(Table1[[#This Row],[Address (dec)]],4),HEX2DEC(M$1)),5)&amp;DEC2HEX(_xlfn.BITAND(HEX2DEC(Table1[[#This Row],[32b hex]]),HEX2DEC(M$2)),8),
"0", ""), "3", ""), "5", ""), "6", ""), "9", ""), "A", ""), "C", ""), "F", "")),2)</f>
        <v>1</v>
      </c>
      <c r="N39" s="94" t="str">
        <f ca="1">BIN2HEX(Table1[[#This Row],[ECC'[6']]]&amp;Table1[[#This Row],[ECC'[5']]]&amp;Table1[[#This Row],[ECC'[4']]]&amp;Table1[[#This Row],[ECC'[3']]]&amp;Table1[[#This Row],[ECC'[2']]]&amp;Table1[[#This Row],[ECC'[1']]]&amp;Table1[[#This Row],[ECC'[0']]],2)</f>
        <v>35</v>
      </c>
      <c r="O39" s="103" t="str">
        <f ca="1">LOWER(Table1[[#This Row],[ECC (hex)]]&amp;Table1[[#This Row],[32b hex]])</f>
        <v>3544630deb</v>
      </c>
      <c r="P39" s="104" t="s">
        <v>414</v>
      </c>
      <c r="Q39" s="109" t="s">
        <v>416</v>
      </c>
      <c r="R39" s="107" t="str">
        <f>DEC2HEX(IF(IntelHexUseAbsAddr,MOD(Table1[[#This Row],[Address (dec)]],2^16),Table1[[#This Row],[DW_ADDRESS]]*4),4)</f>
        <v>1084</v>
      </c>
      <c r="S39" s="111" t="s">
        <v>418</v>
      </c>
      <c r="T39" s="113" t="str">
        <f ca="1">UPPER(MID(Table1[[#This Row],[32b hex]],7,2)&amp;MID(Table1[[#This Row],[32b hex]],5,2)&amp;MID(Table1[[#This Row],[32b hex]],3,2)&amp;MID(Table1[[#This Row],[32b hex]],1,2))</f>
        <v>EB0D6344</v>
      </c>
      <c r="U39" s="115" t="str">
        <f t="shared" ca="1" si="0"/>
        <v>C9</v>
      </c>
      <c r="V39" s="103" t="str">
        <f t="shared" ca="1" si="1"/>
        <v>:04108400EB0D6344C9</v>
      </c>
    </row>
    <row r="40" spans="1:22">
      <c r="A40" s="2">
        <v>4232</v>
      </c>
      <c r="B40" s="2" t="str">
        <f>"0x" &amp; DEC2HEX(Table1[[#This Row],[Address (dec)]],4)</f>
        <v>0x1088</v>
      </c>
      <c r="C40" s="2" t="str">
        <f ca="1">DEC2HEX(SUMIFS(MemoryView!$D$4:$D$103,MemoryView!$A$4:$A$103,"0x"&amp;DEC2HEX(Output!$A40+2,4)),4)</f>
        <v>0078</v>
      </c>
      <c r="D40" s="2" t="str">
        <f ca="1">DEC2HEX(SUMIFS(MemoryView!$D$4:$D$103,MemoryView!$A$4:$A$103,"0x"&amp;DEC2HEX(Output!$A40,4)),4)</f>
        <v>08BC</v>
      </c>
      <c r="E40" s="103" t="str">
        <f t="shared" ca="1" si="2"/>
        <v>007808bc</v>
      </c>
      <c r="F40" s="2">
        <v>34</v>
      </c>
      <c r="G40" s="2">
        <f ca="1">MOD(LEN(SUBSTITUTE( SUBSTITUTE( SUBSTITUTE( SUBSTITUTE( SUBSTITUTE( SUBSTITUTE( SUBSTITUTE( SUBSTITUTE(
    DEC2HEX(_xlfn.BITAND(QUOTIENT(Table1[[#This Row],[Address (dec)]],4),HEX2DEC(G$1)),5)&amp;DEC2HEX(_xlfn.BITAND(HEX2DEC(Table1[[#This Row],[32b hex]]),HEX2DEC(G$2)),8),
"0", ""), "3", ""), "5", ""), "6", ""), "9", ""), "A", ""), "C", ""), "F", "")),2)</f>
        <v>0</v>
      </c>
      <c r="H40" s="2">
        <f ca="1">MOD(LEN(SUBSTITUTE( SUBSTITUTE( SUBSTITUTE( SUBSTITUTE( SUBSTITUTE( SUBSTITUTE( SUBSTITUTE( SUBSTITUTE(
    DEC2HEX(_xlfn.BITAND(QUOTIENT(Table1[[#This Row],[Address (dec)]],4),HEX2DEC(H$1)),5)&amp;DEC2HEX(_xlfn.BITAND(HEX2DEC(Table1[[#This Row],[32b hex]]),HEX2DEC(H$2)),8),
"0", ""), "3", ""), "5", ""), "6", ""), "9", ""), "A", ""), "C", ""), "F", "")),2)</f>
        <v>1</v>
      </c>
      <c r="I40" s="2">
        <f ca="1">MOD(LEN(SUBSTITUTE( SUBSTITUTE( SUBSTITUTE( SUBSTITUTE( SUBSTITUTE( SUBSTITUTE( SUBSTITUTE( SUBSTITUTE(
    DEC2HEX(_xlfn.BITAND(QUOTIENT(Table1[[#This Row],[Address (dec)]],4),HEX2DEC(I$1)),5)&amp;DEC2HEX(_xlfn.BITAND(HEX2DEC(Table1[[#This Row],[32b hex]]),HEX2DEC(I$2)),8),
"0", ""), "3", ""), "5", ""), "6", ""), "9", ""), "A", ""), "C", ""), "F", "")),2)</f>
        <v>1</v>
      </c>
      <c r="J40" s="2">
        <f ca="1">MOD(LEN(SUBSTITUTE( SUBSTITUTE( SUBSTITUTE( SUBSTITUTE( SUBSTITUTE( SUBSTITUTE( SUBSTITUTE( SUBSTITUTE(
    DEC2HEX(_xlfn.BITAND(QUOTIENT(Table1[[#This Row],[Address (dec)]],4),HEX2DEC(J$1)),5)&amp;DEC2HEX(_xlfn.BITAND(HEX2DEC(Table1[[#This Row],[32b hex]]),HEX2DEC(J$2)),8),
"0", ""), "3", ""), "5", ""), "6", ""), "9", ""), "A", ""), "C", ""), "F", "")),2)</f>
        <v>0</v>
      </c>
      <c r="K40" s="2">
        <f ca="1">MOD(LEN(SUBSTITUTE( SUBSTITUTE( SUBSTITUTE( SUBSTITUTE( SUBSTITUTE( SUBSTITUTE( SUBSTITUTE( SUBSTITUTE(
    DEC2HEX(_xlfn.BITAND(QUOTIENT(Table1[[#This Row],[Address (dec)]],4),HEX2DEC(K$1)),5)&amp;DEC2HEX(_xlfn.BITAND(HEX2DEC(Table1[[#This Row],[32b hex]]),HEX2DEC(K$2)),8),
"0", ""), "3", ""), "5", ""), "6", ""), "9", ""), "A", ""), "C", ""), "F", "")),2)</f>
        <v>0</v>
      </c>
      <c r="L40" s="2">
        <f ca="1">MOD(LEN(SUBSTITUTE( SUBSTITUTE( SUBSTITUTE( SUBSTITUTE( SUBSTITUTE( SUBSTITUTE( SUBSTITUTE( SUBSTITUTE(
    DEC2HEX(_xlfn.BITAND(QUOTIENT(Table1[[#This Row],[Address (dec)]],4),HEX2DEC(L$1)),5)&amp;DEC2HEX(_xlfn.BITAND(HEX2DEC(Table1[[#This Row],[32b hex]]),HEX2DEC(L$2)),8),
"0", ""), "3", ""), "5", ""), "6", ""), "9", ""), "A", ""), "C", ""), "F", "")),2)</f>
        <v>1</v>
      </c>
      <c r="M40" s="2">
        <f ca="1">MOD(LEN(SUBSTITUTE( SUBSTITUTE( SUBSTITUTE( SUBSTITUTE( SUBSTITUTE( SUBSTITUTE( SUBSTITUTE( SUBSTITUTE(
    DEC2HEX(_xlfn.BITAND(QUOTIENT(Table1[[#This Row],[Address (dec)]],4),HEX2DEC(M$1)),5)&amp;DEC2HEX(_xlfn.BITAND(HEX2DEC(Table1[[#This Row],[32b hex]]),HEX2DEC(M$2)),8),
"0", ""), "3", ""), "5", ""), "6", ""), "9", ""), "A", ""), "C", ""), "F", "")),2)</f>
        <v>0</v>
      </c>
      <c r="N40" s="94" t="str">
        <f ca="1">BIN2HEX(Table1[[#This Row],[ECC'[6']]]&amp;Table1[[#This Row],[ECC'[5']]]&amp;Table1[[#This Row],[ECC'[4']]]&amp;Table1[[#This Row],[ECC'[3']]]&amp;Table1[[#This Row],[ECC'[2']]]&amp;Table1[[#This Row],[ECC'[1']]]&amp;Table1[[#This Row],[ECC'[0']]],2)</f>
        <v>32</v>
      </c>
      <c r="O40" s="103" t="str">
        <f ca="1">LOWER(Table1[[#This Row],[ECC (hex)]]&amp;Table1[[#This Row],[32b hex]])</f>
        <v>32007808bc</v>
      </c>
      <c r="P40" s="104" t="s">
        <v>414</v>
      </c>
      <c r="Q40" s="109" t="s">
        <v>416</v>
      </c>
      <c r="R40" s="107" t="str">
        <f>DEC2HEX(IF(IntelHexUseAbsAddr,MOD(Table1[[#This Row],[Address (dec)]],2^16),Table1[[#This Row],[DW_ADDRESS]]*4),4)</f>
        <v>1088</v>
      </c>
      <c r="S40" s="111" t="s">
        <v>418</v>
      </c>
      <c r="T40" s="113" t="str">
        <f ca="1">UPPER(MID(Table1[[#This Row],[32b hex]],7,2)&amp;MID(Table1[[#This Row],[32b hex]],5,2)&amp;MID(Table1[[#This Row],[32b hex]],3,2)&amp;MID(Table1[[#This Row],[32b hex]],1,2))</f>
        <v>BC087800</v>
      </c>
      <c r="U40" s="115" t="str">
        <f t="shared" ca="1" si="0"/>
        <v>28</v>
      </c>
      <c r="V40" s="103" t="str">
        <f t="shared" ca="1" si="1"/>
        <v>:04108800BC08780028</v>
      </c>
    </row>
    <row r="41" spans="1:22">
      <c r="A41" s="2">
        <v>4236</v>
      </c>
      <c r="B41" s="2" t="str">
        <f>"0x" &amp; DEC2HEX(Table1[[#This Row],[Address (dec)]],4)</f>
        <v>0x108C</v>
      </c>
      <c r="C41" s="2" t="str">
        <f ca="1">DEC2HEX(SUMIFS(MemoryView!$D$4:$D$103,MemoryView!$A$4:$A$103,"0x"&amp;DEC2HEX(Output!$A41+2,4)),4)</f>
        <v>4801</v>
      </c>
      <c r="D41" s="2" t="str">
        <f ca="1">DEC2HEX(SUMIFS(MemoryView!$D$4:$D$103,MemoryView!$A$4:$A$103,"0x"&amp;DEC2HEX(Output!$A41,4)),4)</f>
        <v>0000</v>
      </c>
      <c r="E41" s="103" t="str">
        <f t="shared" ca="1" si="2"/>
        <v>48010000</v>
      </c>
      <c r="F41" s="2">
        <v>35</v>
      </c>
      <c r="G41" s="2">
        <f ca="1">MOD(LEN(SUBSTITUTE( SUBSTITUTE( SUBSTITUTE( SUBSTITUTE( SUBSTITUTE( SUBSTITUTE( SUBSTITUTE( SUBSTITUTE(
    DEC2HEX(_xlfn.BITAND(QUOTIENT(Table1[[#This Row],[Address (dec)]],4),HEX2DEC(G$1)),5)&amp;DEC2HEX(_xlfn.BITAND(HEX2DEC(Table1[[#This Row],[32b hex]]),HEX2DEC(G$2)),8),
"0", ""), "3", ""), "5", ""), "6", ""), "9", ""), "A", ""), "C", ""), "F", "")),2)</f>
        <v>0</v>
      </c>
      <c r="H41" s="2">
        <f ca="1">MOD(LEN(SUBSTITUTE( SUBSTITUTE( SUBSTITUTE( SUBSTITUTE( SUBSTITUTE( SUBSTITUTE( SUBSTITUTE( SUBSTITUTE(
    DEC2HEX(_xlfn.BITAND(QUOTIENT(Table1[[#This Row],[Address (dec)]],4),HEX2DEC(H$1)),5)&amp;DEC2HEX(_xlfn.BITAND(HEX2DEC(Table1[[#This Row],[32b hex]]),HEX2DEC(H$2)),8),
"0", ""), "3", ""), "5", ""), "6", ""), "9", ""), "A", ""), "C", ""), "F", "")),2)</f>
        <v>1</v>
      </c>
      <c r="I41" s="2">
        <f ca="1">MOD(LEN(SUBSTITUTE( SUBSTITUTE( SUBSTITUTE( SUBSTITUTE( SUBSTITUTE( SUBSTITUTE( SUBSTITUTE( SUBSTITUTE(
    DEC2HEX(_xlfn.BITAND(QUOTIENT(Table1[[#This Row],[Address (dec)]],4),HEX2DEC(I$1)),5)&amp;DEC2HEX(_xlfn.BITAND(HEX2DEC(Table1[[#This Row],[32b hex]]),HEX2DEC(I$2)),8),
"0", ""), "3", ""), "5", ""), "6", ""), "9", ""), "A", ""), "C", ""), "F", "")),2)</f>
        <v>0</v>
      </c>
      <c r="J41" s="2">
        <f ca="1">MOD(LEN(SUBSTITUTE( SUBSTITUTE( SUBSTITUTE( SUBSTITUTE( SUBSTITUTE( SUBSTITUTE( SUBSTITUTE( SUBSTITUTE(
    DEC2HEX(_xlfn.BITAND(QUOTIENT(Table1[[#This Row],[Address (dec)]],4),HEX2DEC(J$1)),5)&amp;DEC2HEX(_xlfn.BITAND(HEX2DEC(Table1[[#This Row],[32b hex]]),HEX2DEC(J$2)),8),
"0", ""), "3", ""), "5", ""), "6", ""), "9", ""), "A", ""), "C", ""), "F", "")),2)</f>
        <v>0</v>
      </c>
      <c r="K41" s="2">
        <f ca="1">MOD(LEN(SUBSTITUTE( SUBSTITUTE( SUBSTITUTE( SUBSTITUTE( SUBSTITUTE( SUBSTITUTE( SUBSTITUTE( SUBSTITUTE(
    DEC2HEX(_xlfn.BITAND(QUOTIENT(Table1[[#This Row],[Address (dec)]],4),HEX2DEC(K$1)),5)&amp;DEC2HEX(_xlfn.BITAND(HEX2DEC(Table1[[#This Row],[32b hex]]),HEX2DEC(K$2)),8),
"0", ""), "3", ""), "5", ""), "6", ""), "9", ""), "A", ""), "C", ""), "F", "")),2)</f>
        <v>1</v>
      </c>
      <c r="L41" s="2">
        <f ca="1">MOD(LEN(SUBSTITUTE( SUBSTITUTE( SUBSTITUTE( SUBSTITUTE( SUBSTITUTE( SUBSTITUTE( SUBSTITUTE( SUBSTITUTE(
    DEC2HEX(_xlfn.BITAND(QUOTIENT(Table1[[#This Row],[Address (dec)]],4),HEX2DEC(L$1)),5)&amp;DEC2HEX(_xlfn.BITAND(HEX2DEC(Table1[[#This Row],[32b hex]]),HEX2DEC(L$2)),8),
"0", ""), "3", ""), "5", ""), "6", ""), "9", ""), "A", ""), "C", ""), "F", "")),2)</f>
        <v>1</v>
      </c>
      <c r="M41" s="2">
        <f ca="1">MOD(LEN(SUBSTITUTE( SUBSTITUTE( SUBSTITUTE( SUBSTITUTE( SUBSTITUTE( SUBSTITUTE( SUBSTITUTE( SUBSTITUTE(
    DEC2HEX(_xlfn.BITAND(QUOTIENT(Table1[[#This Row],[Address (dec)]],4),HEX2DEC(M$1)),5)&amp;DEC2HEX(_xlfn.BITAND(HEX2DEC(Table1[[#This Row],[32b hex]]),HEX2DEC(M$2)),8),
"0", ""), "3", ""), "5", ""), "6", ""), "9", ""), "A", ""), "C", ""), "F", "")),2)</f>
        <v>0</v>
      </c>
      <c r="N41" s="94" t="str">
        <f ca="1">BIN2HEX(Table1[[#This Row],[ECC'[6']]]&amp;Table1[[#This Row],[ECC'[5']]]&amp;Table1[[#This Row],[ECC'[4']]]&amp;Table1[[#This Row],[ECC'[3']]]&amp;Table1[[#This Row],[ECC'[2']]]&amp;Table1[[#This Row],[ECC'[1']]]&amp;Table1[[#This Row],[ECC'[0']]],2)</f>
        <v>26</v>
      </c>
      <c r="O41" s="103" t="str">
        <f ca="1">LOWER(Table1[[#This Row],[ECC (hex)]]&amp;Table1[[#This Row],[32b hex]])</f>
        <v>2648010000</v>
      </c>
      <c r="P41" s="104" t="s">
        <v>414</v>
      </c>
      <c r="Q41" s="109" t="s">
        <v>416</v>
      </c>
      <c r="R41" s="107" t="str">
        <f>DEC2HEX(IF(IntelHexUseAbsAddr,MOD(Table1[[#This Row],[Address (dec)]],2^16),Table1[[#This Row],[DW_ADDRESS]]*4),4)</f>
        <v>108C</v>
      </c>
      <c r="S41" s="111" t="s">
        <v>418</v>
      </c>
      <c r="T41" s="113" t="str">
        <f ca="1">UPPER(MID(Table1[[#This Row],[32b hex]],7,2)&amp;MID(Table1[[#This Row],[32b hex]],5,2)&amp;MID(Table1[[#This Row],[32b hex]],3,2)&amp;MID(Table1[[#This Row],[32b hex]],1,2))</f>
        <v>00000148</v>
      </c>
      <c r="U41" s="115" t="str">
        <f t="shared" ca="1" si="0"/>
        <v>17</v>
      </c>
      <c r="V41" s="103" t="str">
        <f t="shared" ca="1" si="1"/>
        <v>:04108C000000014817</v>
      </c>
    </row>
    <row r="42" spans="1:22">
      <c r="A42" s="2">
        <v>4240</v>
      </c>
      <c r="B42" s="2" t="str">
        <f>"0x" &amp; DEC2HEX(Table1[[#This Row],[Address (dec)]],4)</f>
        <v>0x1090</v>
      </c>
      <c r="C42" s="2" t="str">
        <f ca="1">DEC2HEX(SUMIFS(MemoryView!$D$4:$D$103,MemoryView!$A$4:$A$103,"0x"&amp;DEC2HEX(Output!$A42+2,4)),4)</f>
        <v>28A7</v>
      </c>
      <c r="D42" s="2" t="str">
        <f ca="1">DEC2HEX(SUMIFS(MemoryView!$D$4:$D$103,MemoryView!$A$4:$A$103,"0x"&amp;DEC2HEX(Output!$A42,4)),4)</f>
        <v>3241</v>
      </c>
      <c r="E42" s="103" t="str">
        <f t="shared" ca="1" si="2"/>
        <v>28a73241</v>
      </c>
      <c r="F42" s="2">
        <v>36</v>
      </c>
      <c r="G42" s="2">
        <f ca="1">MOD(LEN(SUBSTITUTE( SUBSTITUTE( SUBSTITUTE( SUBSTITUTE( SUBSTITUTE( SUBSTITUTE( SUBSTITUTE( SUBSTITUTE(
    DEC2HEX(_xlfn.BITAND(QUOTIENT(Table1[[#This Row],[Address (dec)]],4),HEX2DEC(G$1)),5)&amp;DEC2HEX(_xlfn.BITAND(HEX2DEC(Table1[[#This Row],[32b hex]]),HEX2DEC(G$2)),8),
"0", ""), "3", ""), "5", ""), "6", ""), "9", ""), "A", ""), "C", ""), "F", "")),2)</f>
        <v>1</v>
      </c>
      <c r="H42" s="2">
        <f ca="1">MOD(LEN(SUBSTITUTE( SUBSTITUTE( SUBSTITUTE( SUBSTITUTE( SUBSTITUTE( SUBSTITUTE( SUBSTITUTE( SUBSTITUTE(
    DEC2HEX(_xlfn.BITAND(QUOTIENT(Table1[[#This Row],[Address (dec)]],4),HEX2DEC(H$1)),5)&amp;DEC2HEX(_xlfn.BITAND(HEX2DEC(Table1[[#This Row],[32b hex]]),HEX2DEC(H$2)),8),
"0", ""), "3", ""), "5", ""), "6", ""), "9", ""), "A", ""), "C", ""), "F", "")),2)</f>
        <v>0</v>
      </c>
      <c r="I42" s="2">
        <f ca="1">MOD(LEN(SUBSTITUTE( SUBSTITUTE( SUBSTITUTE( SUBSTITUTE( SUBSTITUTE( SUBSTITUTE( SUBSTITUTE( SUBSTITUTE(
    DEC2HEX(_xlfn.BITAND(QUOTIENT(Table1[[#This Row],[Address (dec)]],4),HEX2DEC(I$1)),5)&amp;DEC2HEX(_xlfn.BITAND(HEX2DEC(Table1[[#This Row],[32b hex]]),HEX2DEC(I$2)),8),
"0", ""), "3", ""), "5", ""), "6", ""), "9", ""), "A", ""), "C", ""), "F", "")),2)</f>
        <v>0</v>
      </c>
      <c r="J42" s="2">
        <f ca="1">MOD(LEN(SUBSTITUTE( SUBSTITUTE( SUBSTITUTE( SUBSTITUTE( SUBSTITUTE( SUBSTITUTE( SUBSTITUTE( SUBSTITUTE(
    DEC2HEX(_xlfn.BITAND(QUOTIENT(Table1[[#This Row],[Address (dec)]],4),HEX2DEC(J$1)),5)&amp;DEC2HEX(_xlfn.BITAND(HEX2DEC(Table1[[#This Row],[32b hex]]),HEX2DEC(J$2)),8),
"0", ""), "3", ""), "5", ""), "6", ""), "9", ""), "A", ""), "C", ""), "F", "")),2)</f>
        <v>1</v>
      </c>
      <c r="K42" s="2">
        <f ca="1">MOD(LEN(SUBSTITUTE( SUBSTITUTE( SUBSTITUTE( SUBSTITUTE( SUBSTITUTE( SUBSTITUTE( SUBSTITUTE( SUBSTITUTE(
    DEC2HEX(_xlfn.BITAND(QUOTIENT(Table1[[#This Row],[Address (dec)]],4),HEX2DEC(K$1)),5)&amp;DEC2HEX(_xlfn.BITAND(HEX2DEC(Table1[[#This Row],[32b hex]]),HEX2DEC(K$2)),8),
"0", ""), "3", ""), "5", ""), "6", ""), "9", ""), "A", ""), "C", ""), "F", "")),2)</f>
        <v>0</v>
      </c>
      <c r="L42" s="2">
        <f ca="1">MOD(LEN(SUBSTITUTE( SUBSTITUTE( SUBSTITUTE( SUBSTITUTE( SUBSTITUTE( SUBSTITUTE( SUBSTITUTE( SUBSTITUTE(
    DEC2HEX(_xlfn.BITAND(QUOTIENT(Table1[[#This Row],[Address (dec)]],4),HEX2DEC(L$1)),5)&amp;DEC2HEX(_xlfn.BITAND(HEX2DEC(Table1[[#This Row],[32b hex]]),HEX2DEC(L$2)),8),
"0", ""), "3", ""), "5", ""), "6", ""), "9", ""), "A", ""), "C", ""), "F", "")),2)</f>
        <v>1</v>
      </c>
      <c r="M42" s="2">
        <f ca="1">MOD(LEN(SUBSTITUTE( SUBSTITUTE( SUBSTITUTE( SUBSTITUTE( SUBSTITUTE( SUBSTITUTE( SUBSTITUTE( SUBSTITUTE(
    DEC2HEX(_xlfn.BITAND(QUOTIENT(Table1[[#This Row],[Address (dec)]],4),HEX2DEC(M$1)),5)&amp;DEC2HEX(_xlfn.BITAND(HEX2DEC(Table1[[#This Row],[32b hex]]),HEX2DEC(M$2)),8),
"0", ""), "3", ""), "5", ""), "6", ""), "9", ""), "A", ""), "C", ""), "F", "")),2)</f>
        <v>0</v>
      </c>
      <c r="N42" s="94" t="str">
        <f ca="1">BIN2HEX(Table1[[#This Row],[ECC'[6']]]&amp;Table1[[#This Row],[ECC'[5']]]&amp;Table1[[#This Row],[ECC'[4']]]&amp;Table1[[#This Row],[ECC'[3']]]&amp;Table1[[#This Row],[ECC'[2']]]&amp;Table1[[#This Row],[ECC'[1']]]&amp;Table1[[#This Row],[ECC'[0']]],2)</f>
        <v>4A</v>
      </c>
      <c r="O42" s="103" t="str">
        <f ca="1">LOWER(Table1[[#This Row],[ECC (hex)]]&amp;Table1[[#This Row],[32b hex]])</f>
        <v>4a28a73241</v>
      </c>
      <c r="P42" s="104" t="s">
        <v>414</v>
      </c>
      <c r="Q42" s="109" t="s">
        <v>416</v>
      </c>
      <c r="R42" s="107" t="str">
        <f>DEC2HEX(IF(IntelHexUseAbsAddr,MOD(Table1[[#This Row],[Address (dec)]],2^16),Table1[[#This Row],[DW_ADDRESS]]*4),4)</f>
        <v>1090</v>
      </c>
      <c r="S42" s="111" t="s">
        <v>418</v>
      </c>
      <c r="T42" s="113" t="str">
        <f ca="1">UPPER(MID(Table1[[#This Row],[32b hex]],7,2)&amp;MID(Table1[[#This Row],[32b hex]],5,2)&amp;MID(Table1[[#This Row],[32b hex]],3,2)&amp;MID(Table1[[#This Row],[32b hex]],1,2))</f>
        <v>4132A728</v>
      </c>
      <c r="U42" s="115" t="str">
        <f t="shared" ca="1" si="0"/>
        <v>1A</v>
      </c>
      <c r="V42" s="103" t="str">
        <f t="shared" ca="1" si="1"/>
        <v>:041090004132A7281A</v>
      </c>
    </row>
    <row r="43" spans="1:22">
      <c r="A43" s="2">
        <v>4244</v>
      </c>
      <c r="B43" s="2" t="str">
        <f>"0x" &amp; DEC2HEX(Table1[[#This Row],[Address (dec)]],4)</f>
        <v>0x1094</v>
      </c>
      <c r="C43" s="2" t="str">
        <f ca="1">DEC2HEX(SUMIFS(MemoryView!$D$4:$D$103,MemoryView!$A$4:$A$103,"0x"&amp;DEC2HEX(Output!$A43+2,4)),4)</f>
        <v>002E</v>
      </c>
      <c r="D43" s="2" t="str">
        <f ca="1">DEC2HEX(SUMIFS(MemoryView!$D$4:$D$103,MemoryView!$A$4:$A$103,"0x"&amp;DEC2HEX(Output!$A43,4)),4)</f>
        <v>0000</v>
      </c>
      <c r="E43" s="103" t="str">
        <f t="shared" ca="1" si="2"/>
        <v>002e0000</v>
      </c>
      <c r="F43" s="2">
        <v>37</v>
      </c>
      <c r="G43" s="2">
        <f ca="1">MOD(LEN(SUBSTITUTE( SUBSTITUTE( SUBSTITUTE( SUBSTITUTE( SUBSTITUTE( SUBSTITUTE( SUBSTITUTE( SUBSTITUTE(
    DEC2HEX(_xlfn.BITAND(QUOTIENT(Table1[[#This Row],[Address (dec)]],4),HEX2DEC(G$1)),5)&amp;DEC2HEX(_xlfn.BITAND(HEX2DEC(Table1[[#This Row],[32b hex]]),HEX2DEC(G$2)),8),
"0", ""), "3", ""), "5", ""), "6", ""), "9", ""), "A", ""), "C", ""), "F", "")),2)</f>
        <v>1</v>
      </c>
      <c r="H43" s="2">
        <f ca="1">MOD(LEN(SUBSTITUTE( SUBSTITUTE( SUBSTITUTE( SUBSTITUTE( SUBSTITUTE( SUBSTITUTE( SUBSTITUTE( SUBSTITUTE(
    DEC2HEX(_xlfn.BITAND(QUOTIENT(Table1[[#This Row],[Address (dec)]],4),HEX2DEC(H$1)),5)&amp;DEC2HEX(_xlfn.BITAND(HEX2DEC(Table1[[#This Row],[32b hex]]),HEX2DEC(H$2)),8),
"0", ""), "3", ""), "5", ""), "6", ""), "9", ""), "A", ""), "C", ""), "F", "")),2)</f>
        <v>0</v>
      </c>
      <c r="I43" s="2">
        <f ca="1">MOD(LEN(SUBSTITUTE( SUBSTITUTE( SUBSTITUTE( SUBSTITUTE( SUBSTITUTE( SUBSTITUTE( SUBSTITUTE( SUBSTITUTE(
    DEC2HEX(_xlfn.BITAND(QUOTIENT(Table1[[#This Row],[Address (dec)]],4),HEX2DEC(I$1)),5)&amp;DEC2HEX(_xlfn.BITAND(HEX2DEC(Table1[[#This Row],[32b hex]]),HEX2DEC(I$2)),8),
"0", ""), "3", ""), "5", ""), "6", ""), "9", ""), "A", ""), "C", ""), "F", "")),2)</f>
        <v>0</v>
      </c>
      <c r="J43" s="2">
        <f ca="1">MOD(LEN(SUBSTITUTE( SUBSTITUTE( SUBSTITUTE( SUBSTITUTE( SUBSTITUTE( SUBSTITUTE( SUBSTITUTE( SUBSTITUTE(
    DEC2HEX(_xlfn.BITAND(QUOTIENT(Table1[[#This Row],[Address (dec)]],4),HEX2DEC(J$1)),5)&amp;DEC2HEX(_xlfn.BITAND(HEX2DEC(Table1[[#This Row],[32b hex]]),HEX2DEC(J$2)),8),
"0", ""), "3", ""), "5", ""), "6", ""), "9", ""), "A", ""), "C", ""), "F", "")),2)</f>
        <v>0</v>
      </c>
      <c r="K43" s="2">
        <f ca="1">MOD(LEN(SUBSTITUTE( SUBSTITUTE( SUBSTITUTE( SUBSTITUTE( SUBSTITUTE( SUBSTITUTE( SUBSTITUTE( SUBSTITUTE(
    DEC2HEX(_xlfn.BITAND(QUOTIENT(Table1[[#This Row],[Address (dec)]],4),HEX2DEC(K$1)),5)&amp;DEC2HEX(_xlfn.BITAND(HEX2DEC(Table1[[#This Row],[32b hex]]),HEX2DEC(K$2)),8),
"0", ""), "3", ""), "5", ""), "6", ""), "9", ""), "A", ""), "C", ""), "F", "")),2)</f>
        <v>0</v>
      </c>
      <c r="L43" s="2">
        <f ca="1">MOD(LEN(SUBSTITUTE( SUBSTITUTE( SUBSTITUTE( SUBSTITUTE( SUBSTITUTE( SUBSTITUTE( SUBSTITUTE( SUBSTITUTE(
    DEC2HEX(_xlfn.BITAND(QUOTIENT(Table1[[#This Row],[Address (dec)]],4),HEX2DEC(L$1)),5)&amp;DEC2HEX(_xlfn.BITAND(HEX2DEC(Table1[[#This Row],[32b hex]]),HEX2DEC(L$2)),8),
"0", ""), "3", ""), "5", ""), "6", ""), "9", ""), "A", ""), "C", ""), "F", "")),2)</f>
        <v>0</v>
      </c>
      <c r="M43" s="2">
        <f ca="1">MOD(LEN(SUBSTITUTE( SUBSTITUTE( SUBSTITUTE( SUBSTITUTE( SUBSTITUTE( SUBSTITUTE( SUBSTITUTE( SUBSTITUTE(
    DEC2HEX(_xlfn.BITAND(QUOTIENT(Table1[[#This Row],[Address (dec)]],4),HEX2DEC(M$1)),5)&amp;DEC2HEX(_xlfn.BITAND(HEX2DEC(Table1[[#This Row],[32b hex]]),HEX2DEC(M$2)),8),
"0", ""), "3", ""), "5", ""), "6", ""), "9", ""), "A", ""), "C", ""), "F", "")),2)</f>
        <v>1</v>
      </c>
      <c r="N43" s="94" t="str">
        <f ca="1">BIN2HEX(Table1[[#This Row],[ECC'[6']]]&amp;Table1[[#This Row],[ECC'[5']]]&amp;Table1[[#This Row],[ECC'[4']]]&amp;Table1[[#This Row],[ECC'[3']]]&amp;Table1[[#This Row],[ECC'[2']]]&amp;Table1[[#This Row],[ECC'[1']]]&amp;Table1[[#This Row],[ECC'[0']]],2)</f>
        <v>41</v>
      </c>
      <c r="O43" s="103" t="str">
        <f ca="1">LOWER(Table1[[#This Row],[ECC (hex)]]&amp;Table1[[#This Row],[32b hex]])</f>
        <v>41002e0000</v>
      </c>
      <c r="P43" s="104" t="s">
        <v>414</v>
      </c>
      <c r="Q43" s="109" t="s">
        <v>416</v>
      </c>
      <c r="R43" s="107" t="str">
        <f>DEC2HEX(IF(IntelHexUseAbsAddr,MOD(Table1[[#This Row],[Address (dec)]],2^16),Table1[[#This Row],[DW_ADDRESS]]*4),4)</f>
        <v>1094</v>
      </c>
      <c r="S43" s="111" t="s">
        <v>418</v>
      </c>
      <c r="T43" s="113" t="str">
        <f ca="1">UPPER(MID(Table1[[#This Row],[32b hex]],7,2)&amp;MID(Table1[[#This Row],[32b hex]],5,2)&amp;MID(Table1[[#This Row],[32b hex]],3,2)&amp;MID(Table1[[#This Row],[32b hex]],1,2))</f>
        <v>00002E00</v>
      </c>
      <c r="U43" s="115" t="str">
        <f t="shared" ca="1" si="0"/>
        <v>2A</v>
      </c>
      <c r="V43" s="103" t="str">
        <f t="shared" ca="1" si="1"/>
        <v>:0410940000002E002A</v>
      </c>
    </row>
    <row r="44" spans="1:22">
      <c r="A44" s="2">
        <v>4248</v>
      </c>
      <c r="B44" s="2" t="str">
        <f>"0x" &amp; DEC2HEX(Table1[[#This Row],[Address (dec)]],4)</f>
        <v>0x1098</v>
      </c>
      <c r="C44" s="2" t="str">
        <f ca="1">DEC2HEX(SUMIFS(MemoryView!$D$4:$D$103,MemoryView!$A$4:$A$103,"0x"&amp;DEC2HEX(Output!$A44+2,4)),4)</f>
        <v>0A03</v>
      </c>
      <c r="D44" s="2" t="str">
        <f ca="1">DEC2HEX(SUMIFS(MemoryView!$D$4:$D$103,MemoryView!$A$4:$A$103,"0x"&amp;DEC2HEX(Output!$A44,4)),4)</f>
        <v>5C70</v>
      </c>
      <c r="E44" s="103" t="str">
        <f t="shared" ca="1" si="2"/>
        <v>0a035c70</v>
      </c>
      <c r="F44" s="2">
        <v>38</v>
      </c>
      <c r="G44" s="2">
        <f ca="1">MOD(LEN(SUBSTITUTE( SUBSTITUTE( SUBSTITUTE( SUBSTITUTE( SUBSTITUTE( SUBSTITUTE( SUBSTITUTE( SUBSTITUTE(
    DEC2HEX(_xlfn.BITAND(QUOTIENT(Table1[[#This Row],[Address (dec)]],4),HEX2DEC(G$1)),5)&amp;DEC2HEX(_xlfn.BITAND(HEX2DEC(Table1[[#This Row],[32b hex]]),HEX2DEC(G$2)),8),
"0", ""), "3", ""), "5", ""), "6", ""), "9", ""), "A", ""), "C", ""), "F", "")),2)</f>
        <v>0</v>
      </c>
      <c r="H44" s="2">
        <f ca="1">MOD(LEN(SUBSTITUTE( SUBSTITUTE( SUBSTITUTE( SUBSTITUTE( SUBSTITUTE( SUBSTITUTE( SUBSTITUTE( SUBSTITUTE(
    DEC2HEX(_xlfn.BITAND(QUOTIENT(Table1[[#This Row],[Address (dec)]],4),HEX2DEC(H$1)),5)&amp;DEC2HEX(_xlfn.BITAND(HEX2DEC(Table1[[#This Row],[32b hex]]),HEX2DEC(H$2)),8),
"0", ""), "3", ""), "5", ""), "6", ""), "9", ""), "A", ""), "C", ""), "F", "")),2)</f>
        <v>0</v>
      </c>
      <c r="I44" s="2">
        <f ca="1">MOD(LEN(SUBSTITUTE( SUBSTITUTE( SUBSTITUTE( SUBSTITUTE( SUBSTITUTE( SUBSTITUTE( SUBSTITUTE( SUBSTITUTE(
    DEC2HEX(_xlfn.BITAND(QUOTIENT(Table1[[#This Row],[Address (dec)]],4),HEX2DEC(I$1)),5)&amp;DEC2HEX(_xlfn.BITAND(HEX2DEC(Table1[[#This Row],[32b hex]]),HEX2DEC(I$2)),8),
"0", ""), "3", ""), "5", ""), "6", ""), "9", ""), "A", ""), "C", ""), "F", "")),2)</f>
        <v>0</v>
      </c>
      <c r="J44" s="2">
        <f ca="1">MOD(LEN(SUBSTITUTE( SUBSTITUTE( SUBSTITUTE( SUBSTITUTE( SUBSTITUTE( SUBSTITUTE( SUBSTITUTE( SUBSTITUTE(
    DEC2HEX(_xlfn.BITAND(QUOTIENT(Table1[[#This Row],[Address (dec)]],4),HEX2DEC(J$1)),5)&amp;DEC2HEX(_xlfn.BITAND(HEX2DEC(Table1[[#This Row],[32b hex]]),HEX2DEC(J$2)),8),
"0", ""), "3", ""), "5", ""), "6", ""), "9", ""), "A", ""), "C", ""), "F", "")),2)</f>
        <v>1</v>
      </c>
      <c r="K44" s="2">
        <f ca="1">MOD(LEN(SUBSTITUTE( SUBSTITUTE( SUBSTITUTE( SUBSTITUTE( SUBSTITUTE( SUBSTITUTE( SUBSTITUTE( SUBSTITUTE(
    DEC2HEX(_xlfn.BITAND(QUOTIENT(Table1[[#This Row],[Address (dec)]],4),HEX2DEC(K$1)),5)&amp;DEC2HEX(_xlfn.BITAND(HEX2DEC(Table1[[#This Row],[32b hex]]),HEX2DEC(K$2)),8),
"0", ""), "3", ""), "5", ""), "6", ""), "9", ""), "A", ""), "C", ""), "F", "")),2)</f>
        <v>0</v>
      </c>
      <c r="L44" s="2">
        <f ca="1">MOD(LEN(SUBSTITUTE( SUBSTITUTE( SUBSTITUTE( SUBSTITUTE( SUBSTITUTE( SUBSTITUTE( SUBSTITUTE( SUBSTITUTE(
    DEC2HEX(_xlfn.BITAND(QUOTIENT(Table1[[#This Row],[Address (dec)]],4),HEX2DEC(L$1)),5)&amp;DEC2HEX(_xlfn.BITAND(HEX2DEC(Table1[[#This Row],[32b hex]]),HEX2DEC(L$2)),8),
"0", ""), "3", ""), "5", ""), "6", ""), "9", ""), "A", ""), "C", ""), "F", "")),2)</f>
        <v>1</v>
      </c>
      <c r="M44" s="2">
        <f ca="1">MOD(LEN(SUBSTITUTE( SUBSTITUTE( SUBSTITUTE( SUBSTITUTE( SUBSTITUTE( SUBSTITUTE( SUBSTITUTE( SUBSTITUTE(
    DEC2HEX(_xlfn.BITAND(QUOTIENT(Table1[[#This Row],[Address (dec)]],4),HEX2DEC(M$1)),5)&amp;DEC2HEX(_xlfn.BITAND(HEX2DEC(Table1[[#This Row],[32b hex]]),HEX2DEC(M$2)),8),
"0", ""), "3", ""), "5", ""), "6", ""), "9", ""), "A", ""), "C", ""), "F", "")),2)</f>
        <v>1</v>
      </c>
      <c r="N44" s="94" t="str">
        <f ca="1">BIN2HEX(Table1[[#This Row],[ECC'[6']]]&amp;Table1[[#This Row],[ECC'[5']]]&amp;Table1[[#This Row],[ECC'[4']]]&amp;Table1[[#This Row],[ECC'[3']]]&amp;Table1[[#This Row],[ECC'[2']]]&amp;Table1[[#This Row],[ECC'[1']]]&amp;Table1[[#This Row],[ECC'[0']]],2)</f>
        <v>0B</v>
      </c>
      <c r="O44" s="103" t="str">
        <f ca="1">LOWER(Table1[[#This Row],[ECC (hex)]]&amp;Table1[[#This Row],[32b hex]])</f>
        <v>0b0a035c70</v>
      </c>
      <c r="P44" s="104" t="s">
        <v>414</v>
      </c>
      <c r="Q44" s="109" t="s">
        <v>416</v>
      </c>
      <c r="R44" s="107" t="str">
        <f>DEC2HEX(IF(IntelHexUseAbsAddr,MOD(Table1[[#This Row],[Address (dec)]],2^16),Table1[[#This Row],[DW_ADDRESS]]*4),4)</f>
        <v>1098</v>
      </c>
      <c r="S44" s="111" t="s">
        <v>418</v>
      </c>
      <c r="T44" s="113" t="str">
        <f ca="1">UPPER(MID(Table1[[#This Row],[32b hex]],7,2)&amp;MID(Table1[[#This Row],[32b hex]],5,2)&amp;MID(Table1[[#This Row],[32b hex]],3,2)&amp;MID(Table1[[#This Row],[32b hex]],1,2))</f>
        <v>705C030A</v>
      </c>
      <c r="U44" s="115" t="str">
        <f t="shared" ca="1" si="0"/>
        <v>7B</v>
      </c>
      <c r="V44" s="103" t="str">
        <f t="shared" ca="1" si="1"/>
        <v>:04109800705C030A7B</v>
      </c>
    </row>
    <row r="45" spans="1:22">
      <c r="A45" s="2">
        <v>4252</v>
      </c>
      <c r="B45" s="2" t="str">
        <f>"0x" &amp; DEC2HEX(Table1[[#This Row],[Address (dec)]],4)</f>
        <v>0x109C</v>
      </c>
      <c r="C45" s="2" t="str">
        <f ca="1">DEC2HEX(SUMIFS(MemoryView!$D$4:$D$103,MemoryView!$A$4:$A$103,"0x"&amp;DEC2HEX(Output!$A45+2,4)),4)</f>
        <v>3FED</v>
      </c>
      <c r="D45" s="2" t="str">
        <f ca="1">DEC2HEX(SUMIFS(MemoryView!$D$4:$D$103,MemoryView!$A$4:$A$103,"0x"&amp;DEC2HEX(Output!$A45,4)),4)</f>
        <v>1A0F</v>
      </c>
      <c r="E45" s="103" t="str">
        <f t="shared" ca="1" si="2"/>
        <v>3fed1a0f</v>
      </c>
      <c r="F45" s="2">
        <v>39</v>
      </c>
      <c r="G45" s="2">
        <f ca="1">MOD(LEN(SUBSTITUTE( SUBSTITUTE( SUBSTITUTE( SUBSTITUTE( SUBSTITUTE( SUBSTITUTE( SUBSTITUTE( SUBSTITUTE(
    DEC2HEX(_xlfn.BITAND(QUOTIENT(Table1[[#This Row],[Address (dec)]],4),HEX2DEC(G$1)),5)&amp;DEC2HEX(_xlfn.BITAND(HEX2DEC(Table1[[#This Row],[32b hex]]),HEX2DEC(G$2)),8),
"0", ""), "3", ""), "5", ""), "6", ""), "9", ""), "A", ""), "C", ""), "F", "")),2)</f>
        <v>0</v>
      </c>
      <c r="H45" s="2">
        <f ca="1">MOD(LEN(SUBSTITUTE( SUBSTITUTE( SUBSTITUTE( SUBSTITUTE( SUBSTITUTE( SUBSTITUTE( SUBSTITUTE( SUBSTITUTE(
    DEC2HEX(_xlfn.BITAND(QUOTIENT(Table1[[#This Row],[Address (dec)]],4),HEX2DEC(H$1)),5)&amp;DEC2HEX(_xlfn.BITAND(HEX2DEC(Table1[[#This Row],[32b hex]]),HEX2DEC(H$2)),8),
"0", ""), "3", ""), "5", ""), "6", ""), "9", ""), "A", ""), "C", ""), "F", "")),2)</f>
        <v>0</v>
      </c>
      <c r="I45" s="2">
        <f ca="1">MOD(LEN(SUBSTITUTE( SUBSTITUTE( SUBSTITUTE( SUBSTITUTE( SUBSTITUTE( SUBSTITUTE( SUBSTITUTE( SUBSTITUTE(
    DEC2HEX(_xlfn.BITAND(QUOTIENT(Table1[[#This Row],[Address (dec)]],4),HEX2DEC(I$1)),5)&amp;DEC2HEX(_xlfn.BITAND(HEX2DEC(Table1[[#This Row],[32b hex]]),HEX2DEC(I$2)),8),
"0", ""), "3", ""), "5", ""), "6", ""), "9", ""), "A", ""), "C", ""), "F", "")),2)</f>
        <v>1</v>
      </c>
      <c r="J45" s="2">
        <f ca="1">MOD(LEN(SUBSTITUTE( SUBSTITUTE( SUBSTITUTE( SUBSTITUTE( SUBSTITUTE( SUBSTITUTE( SUBSTITUTE( SUBSTITUTE(
    DEC2HEX(_xlfn.BITAND(QUOTIENT(Table1[[#This Row],[Address (dec)]],4),HEX2DEC(J$1)),5)&amp;DEC2HEX(_xlfn.BITAND(HEX2DEC(Table1[[#This Row],[32b hex]]),HEX2DEC(J$2)),8),
"0", ""), "3", ""), "5", ""), "6", ""), "9", ""), "A", ""), "C", ""), "F", "")),2)</f>
        <v>0</v>
      </c>
      <c r="K45" s="2">
        <f ca="1">MOD(LEN(SUBSTITUTE( SUBSTITUTE( SUBSTITUTE( SUBSTITUTE( SUBSTITUTE( SUBSTITUTE( SUBSTITUTE( SUBSTITUTE(
    DEC2HEX(_xlfn.BITAND(QUOTIENT(Table1[[#This Row],[Address (dec)]],4),HEX2DEC(K$1)),5)&amp;DEC2HEX(_xlfn.BITAND(HEX2DEC(Table1[[#This Row],[32b hex]]),HEX2DEC(K$2)),8),
"0", ""), "3", ""), "5", ""), "6", ""), "9", ""), "A", ""), "C", ""), "F", "")),2)</f>
        <v>1</v>
      </c>
      <c r="L45" s="2">
        <f ca="1">MOD(LEN(SUBSTITUTE( SUBSTITUTE( SUBSTITUTE( SUBSTITUTE( SUBSTITUTE( SUBSTITUTE( SUBSTITUTE( SUBSTITUTE(
    DEC2HEX(_xlfn.BITAND(QUOTIENT(Table1[[#This Row],[Address (dec)]],4),HEX2DEC(L$1)),5)&amp;DEC2HEX(_xlfn.BITAND(HEX2DEC(Table1[[#This Row],[32b hex]]),HEX2DEC(L$2)),8),
"0", ""), "3", ""), "5", ""), "6", ""), "9", ""), "A", ""), "C", ""), "F", "")),2)</f>
        <v>0</v>
      </c>
      <c r="M45" s="2">
        <f ca="1">MOD(LEN(SUBSTITUTE( SUBSTITUTE( SUBSTITUTE( SUBSTITUTE( SUBSTITUTE( SUBSTITUTE( SUBSTITUTE( SUBSTITUTE(
    DEC2HEX(_xlfn.BITAND(QUOTIENT(Table1[[#This Row],[Address (dec)]],4),HEX2DEC(M$1)),5)&amp;DEC2HEX(_xlfn.BITAND(HEX2DEC(Table1[[#This Row],[32b hex]]),HEX2DEC(M$2)),8),
"0", ""), "3", ""), "5", ""), "6", ""), "9", ""), "A", ""), "C", ""), "F", "")),2)</f>
        <v>0</v>
      </c>
      <c r="N45" s="94" t="str">
        <f ca="1">BIN2HEX(Table1[[#This Row],[ECC'[6']]]&amp;Table1[[#This Row],[ECC'[5']]]&amp;Table1[[#This Row],[ECC'[4']]]&amp;Table1[[#This Row],[ECC'[3']]]&amp;Table1[[#This Row],[ECC'[2']]]&amp;Table1[[#This Row],[ECC'[1']]]&amp;Table1[[#This Row],[ECC'[0']]],2)</f>
        <v>14</v>
      </c>
      <c r="O45" s="103" t="str">
        <f ca="1">LOWER(Table1[[#This Row],[ECC (hex)]]&amp;Table1[[#This Row],[32b hex]])</f>
        <v>143fed1a0f</v>
      </c>
      <c r="P45" s="104" t="s">
        <v>414</v>
      </c>
      <c r="Q45" s="109" t="s">
        <v>416</v>
      </c>
      <c r="R45" s="107" t="str">
        <f>DEC2HEX(IF(IntelHexUseAbsAddr,MOD(Table1[[#This Row],[Address (dec)]],2^16),Table1[[#This Row],[DW_ADDRESS]]*4),4)</f>
        <v>109C</v>
      </c>
      <c r="S45" s="111" t="s">
        <v>418</v>
      </c>
      <c r="T45" s="113" t="str">
        <f ca="1">UPPER(MID(Table1[[#This Row],[32b hex]],7,2)&amp;MID(Table1[[#This Row],[32b hex]],5,2)&amp;MID(Table1[[#This Row],[32b hex]],3,2)&amp;MID(Table1[[#This Row],[32b hex]],1,2))</f>
        <v>0F1AED3F</v>
      </c>
      <c r="U45" s="115" t="str">
        <f t="shared" ca="1" si="0"/>
        <v>FB</v>
      </c>
      <c r="V45" s="103" t="str">
        <f t="shared" ca="1" si="1"/>
        <v>:04109C000F1AED3FFB</v>
      </c>
    </row>
    <row r="46" spans="1:22">
      <c r="A46" s="2">
        <v>4256</v>
      </c>
      <c r="B46" s="2" t="str">
        <f>"0x" &amp; DEC2HEX(Table1[[#This Row],[Address (dec)]],4)</f>
        <v>0x10A0</v>
      </c>
      <c r="C46" s="2" t="str">
        <f ca="1">DEC2HEX(SUMIFS(MemoryView!$D$4:$D$103,MemoryView!$A$4:$A$103,"0x"&amp;DEC2HEX(Output!$A46+2,4)),4)</f>
        <v>FEC3</v>
      </c>
      <c r="D46" s="2" t="str">
        <f ca="1">DEC2HEX(SUMIFS(MemoryView!$D$4:$D$103,MemoryView!$A$4:$A$103,"0x"&amp;DEC2HEX(Output!$A46,4)),4)</f>
        <v>FF8A</v>
      </c>
      <c r="E46" s="103" t="str">
        <f t="shared" ca="1" si="2"/>
        <v>fec3ff8a</v>
      </c>
      <c r="F46" s="2">
        <v>40</v>
      </c>
      <c r="G46" s="2">
        <f ca="1">MOD(LEN(SUBSTITUTE( SUBSTITUTE( SUBSTITUTE( SUBSTITUTE( SUBSTITUTE( SUBSTITUTE( SUBSTITUTE( SUBSTITUTE(
    DEC2HEX(_xlfn.BITAND(QUOTIENT(Table1[[#This Row],[Address (dec)]],4),HEX2DEC(G$1)),5)&amp;DEC2HEX(_xlfn.BITAND(HEX2DEC(Table1[[#This Row],[32b hex]]),HEX2DEC(G$2)),8),
"0", ""), "3", ""), "5", ""), "6", ""), "9", ""), "A", ""), "C", ""), "F", "")),2)</f>
        <v>1</v>
      </c>
      <c r="H46" s="2">
        <f ca="1">MOD(LEN(SUBSTITUTE( SUBSTITUTE( SUBSTITUTE( SUBSTITUTE( SUBSTITUTE( SUBSTITUTE( SUBSTITUTE( SUBSTITUTE(
    DEC2HEX(_xlfn.BITAND(QUOTIENT(Table1[[#This Row],[Address (dec)]],4),HEX2DEC(H$1)),5)&amp;DEC2HEX(_xlfn.BITAND(HEX2DEC(Table1[[#This Row],[32b hex]]),HEX2DEC(H$2)),8),
"0", ""), "3", ""), "5", ""), "6", ""), "9", ""), "A", ""), "C", ""), "F", "")),2)</f>
        <v>1</v>
      </c>
      <c r="I46" s="2">
        <f ca="1">MOD(LEN(SUBSTITUTE( SUBSTITUTE( SUBSTITUTE( SUBSTITUTE( SUBSTITUTE( SUBSTITUTE( SUBSTITUTE( SUBSTITUTE(
    DEC2HEX(_xlfn.BITAND(QUOTIENT(Table1[[#This Row],[Address (dec)]],4),HEX2DEC(I$1)),5)&amp;DEC2HEX(_xlfn.BITAND(HEX2DEC(Table1[[#This Row],[32b hex]]),HEX2DEC(I$2)),8),
"0", ""), "3", ""), "5", ""), "6", ""), "9", ""), "A", ""), "C", ""), "F", "")),2)</f>
        <v>1</v>
      </c>
      <c r="J46" s="2">
        <f ca="1">MOD(LEN(SUBSTITUTE( SUBSTITUTE( SUBSTITUTE( SUBSTITUTE( SUBSTITUTE( SUBSTITUTE( SUBSTITUTE( SUBSTITUTE(
    DEC2HEX(_xlfn.BITAND(QUOTIENT(Table1[[#This Row],[Address (dec)]],4),HEX2DEC(J$1)),5)&amp;DEC2HEX(_xlfn.BITAND(HEX2DEC(Table1[[#This Row],[32b hex]]),HEX2DEC(J$2)),8),
"0", ""), "3", ""), "5", ""), "6", ""), "9", ""), "A", ""), "C", ""), "F", "")),2)</f>
        <v>0</v>
      </c>
      <c r="K46" s="2">
        <f ca="1">MOD(LEN(SUBSTITUTE( SUBSTITUTE( SUBSTITUTE( SUBSTITUTE( SUBSTITUTE( SUBSTITUTE( SUBSTITUTE( SUBSTITUTE(
    DEC2HEX(_xlfn.BITAND(QUOTIENT(Table1[[#This Row],[Address (dec)]],4),HEX2DEC(K$1)),5)&amp;DEC2HEX(_xlfn.BITAND(HEX2DEC(Table1[[#This Row],[32b hex]]),HEX2DEC(K$2)),8),
"0", ""), "3", ""), "5", ""), "6", ""), "9", ""), "A", ""), "C", ""), "F", "")),2)</f>
        <v>0</v>
      </c>
      <c r="L46" s="2">
        <f ca="1">MOD(LEN(SUBSTITUTE( SUBSTITUTE( SUBSTITUTE( SUBSTITUTE( SUBSTITUTE( SUBSTITUTE( SUBSTITUTE( SUBSTITUTE(
    DEC2HEX(_xlfn.BITAND(QUOTIENT(Table1[[#This Row],[Address (dec)]],4),HEX2DEC(L$1)),5)&amp;DEC2HEX(_xlfn.BITAND(HEX2DEC(Table1[[#This Row],[32b hex]]),HEX2DEC(L$2)),8),
"0", ""), "3", ""), "5", ""), "6", ""), "9", ""), "A", ""), "C", ""), "F", "")),2)</f>
        <v>1</v>
      </c>
      <c r="M46" s="2">
        <f ca="1">MOD(LEN(SUBSTITUTE( SUBSTITUTE( SUBSTITUTE( SUBSTITUTE( SUBSTITUTE( SUBSTITUTE( SUBSTITUTE( SUBSTITUTE(
    DEC2HEX(_xlfn.BITAND(QUOTIENT(Table1[[#This Row],[Address (dec)]],4),HEX2DEC(M$1)),5)&amp;DEC2HEX(_xlfn.BITAND(HEX2DEC(Table1[[#This Row],[32b hex]]),HEX2DEC(M$2)),8),
"0", ""), "3", ""), "5", ""), "6", ""), "9", ""), "A", ""), "C", ""), "F", "")),2)</f>
        <v>1</v>
      </c>
      <c r="N46" s="94" t="str">
        <f ca="1">BIN2HEX(Table1[[#This Row],[ECC'[6']]]&amp;Table1[[#This Row],[ECC'[5']]]&amp;Table1[[#This Row],[ECC'[4']]]&amp;Table1[[#This Row],[ECC'[3']]]&amp;Table1[[#This Row],[ECC'[2']]]&amp;Table1[[#This Row],[ECC'[1']]]&amp;Table1[[#This Row],[ECC'[0']]],2)</f>
        <v>73</v>
      </c>
      <c r="O46" s="103" t="str">
        <f ca="1">LOWER(Table1[[#This Row],[ECC (hex)]]&amp;Table1[[#This Row],[32b hex]])</f>
        <v>73fec3ff8a</v>
      </c>
      <c r="P46" s="104" t="s">
        <v>414</v>
      </c>
      <c r="Q46" s="109" t="s">
        <v>416</v>
      </c>
      <c r="R46" s="107" t="str">
        <f>DEC2HEX(IF(IntelHexUseAbsAddr,MOD(Table1[[#This Row],[Address (dec)]],2^16),Table1[[#This Row],[DW_ADDRESS]]*4),4)</f>
        <v>10A0</v>
      </c>
      <c r="S46" s="111" t="s">
        <v>418</v>
      </c>
      <c r="T46" s="113" t="str">
        <f ca="1">UPPER(MID(Table1[[#This Row],[32b hex]],7,2)&amp;MID(Table1[[#This Row],[32b hex]],5,2)&amp;MID(Table1[[#This Row],[32b hex]],3,2)&amp;MID(Table1[[#This Row],[32b hex]],1,2))</f>
        <v>8AFFC3FE</v>
      </c>
      <c r="U46" s="115" t="str">
        <f t="shared" ca="1" si="0"/>
        <v>02</v>
      </c>
      <c r="V46" s="103" t="str">
        <f t="shared" ca="1" si="1"/>
        <v>:0410A0008AFFC3FE02</v>
      </c>
    </row>
    <row r="47" spans="1:22">
      <c r="A47" s="2">
        <v>4260</v>
      </c>
      <c r="B47" s="2" t="str">
        <f>"0x" &amp; DEC2HEX(Table1[[#This Row],[Address (dec)]],4)</f>
        <v>0x10A4</v>
      </c>
      <c r="C47" s="2" t="str">
        <f ca="1">DEC2HEX(SUMIFS(MemoryView!$D$4:$D$103,MemoryView!$A$4:$A$103,"0x"&amp;DEC2HEX(Output!$A47+2,4)),4)</f>
        <v>4867</v>
      </c>
      <c r="D47" s="2" t="str">
        <f ca="1">DEC2HEX(SUMIFS(MemoryView!$D$4:$D$103,MemoryView!$A$4:$A$103,"0x"&amp;DEC2HEX(Output!$A47,4)),4)</f>
        <v>0023</v>
      </c>
      <c r="E47" s="103" t="str">
        <f t="shared" ca="1" si="2"/>
        <v>48670023</v>
      </c>
      <c r="F47" s="2">
        <v>41</v>
      </c>
      <c r="G47" s="2">
        <f ca="1">MOD(LEN(SUBSTITUTE( SUBSTITUTE( SUBSTITUTE( SUBSTITUTE( SUBSTITUTE( SUBSTITUTE( SUBSTITUTE( SUBSTITUTE(
    DEC2HEX(_xlfn.BITAND(QUOTIENT(Table1[[#This Row],[Address (dec)]],4),HEX2DEC(G$1)),5)&amp;DEC2HEX(_xlfn.BITAND(HEX2DEC(Table1[[#This Row],[32b hex]]),HEX2DEC(G$2)),8),
"0", ""), "3", ""), "5", ""), "6", ""), "9", ""), "A", ""), "C", ""), "F", "")),2)</f>
        <v>0</v>
      </c>
      <c r="H47" s="2">
        <f ca="1">MOD(LEN(SUBSTITUTE( SUBSTITUTE( SUBSTITUTE( SUBSTITUTE( SUBSTITUTE( SUBSTITUTE( SUBSTITUTE( SUBSTITUTE(
    DEC2HEX(_xlfn.BITAND(QUOTIENT(Table1[[#This Row],[Address (dec)]],4),HEX2DEC(H$1)),5)&amp;DEC2HEX(_xlfn.BITAND(HEX2DEC(Table1[[#This Row],[32b hex]]),HEX2DEC(H$2)),8),
"0", ""), "3", ""), "5", ""), "6", ""), "9", ""), "A", ""), "C", ""), "F", "")),2)</f>
        <v>0</v>
      </c>
      <c r="I47" s="2">
        <f ca="1">MOD(LEN(SUBSTITUTE( SUBSTITUTE( SUBSTITUTE( SUBSTITUTE( SUBSTITUTE( SUBSTITUTE( SUBSTITUTE( SUBSTITUTE(
    DEC2HEX(_xlfn.BITAND(QUOTIENT(Table1[[#This Row],[Address (dec)]],4),HEX2DEC(I$1)),5)&amp;DEC2HEX(_xlfn.BITAND(HEX2DEC(Table1[[#This Row],[32b hex]]),HEX2DEC(I$2)),8),
"0", ""), "3", ""), "5", ""), "6", ""), "9", ""), "A", ""), "C", ""), "F", "")),2)</f>
        <v>0</v>
      </c>
      <c r="J47" s="2">
        <f ca="1">MOD(LEN(SUBSTITUTE( SUBSTITUTE( SUBSTITUTE( SUBSTITUTE( SUBSTITUTE( SUBSTITUTE( SUBSTITUTE( SUBSTITUTE(
    DEC2HEX(_xlfn.BITAND(QUOTIENT(Table1[[#This Row],[Address (dec)]],4),HEX2DEC(J$1)),5)&amp;DEC2HEX(_xlfn.BITAND(HEX2DEC(Table1[[#This Row],[32b hex]]),HEX2DEC(J$2)),8),
"0", ""), "3", ""), "5", ""), "6", ""), "9", ""), "A", ""), "C", ""), "F", "")),2)</f>
        <v>1</v>
      </c>
      <c r="K47" s="2">
        <f ca="1">MOD(LEN(SUBSTITUTE( SUBSTITUTE( SUBSTITUTE( SUBSTITUTE( SUBSTITUTE( SUBSTITUTE( SUBSTITUTE( SUBSTITUTE(
    DEC2HEX(_xlfn.BITAND(QUOTIENT(Table1[[#This Row],[Address (dec)]],4),HEX2DEC(K$1)),5)&amp;DEC2HEX(_xlfn.BITAND(HEX2DEC(Table1[[#This Row],[32b hex]]),HEX2DEC(K$2)),8),
"0", ""), "3", ""), "5", ""), "6", ""), "9", ""), "A", ""), "C", ""), "F", "")),2)</f>
        <v>1</v>
      </c>
      <c r="L47" s="2">
        <f ca="1">MOD(LEN(SUBSTITUTE( SUBSTITUTE( SUBSTITUTE( SUBSTITUTE( SUBSTITUTE( SUBSTITUTE( SUBSTITUTE( SUBSTITUTE(
    DEC2HEX(_xlfn.BITAND(QUOTIENT(Table1[[#This Row],[Address (dec)]],4),HEX2DEC(L$1)),5)&amp;DEC2HEX(_xlfn.BITAND(HEX2DEC(Table1[[#This Row],[32b hex]]),HEX2DEC(L$2)),8),
"0", ""), "3", ""), "5", ""), "6", ""), "9", ""), "A", ""), "C", ""), "F", "")),2)</f>
        <v>0</v>
      </c>
      <c r="M47" s="2">
        <f ca="1">MOD(LEN(SUBSTITUTE( SUBSTITUTE( SUBSTITUTE( SUBSTITUTE( SUBSTITUTE( SUBSTITUTE( SUBSTITUTE( SUBSTITUTE(
    DEC2HEX(_xlfn.BITAND(QUOTIENT(Table1[[#This Row],[Address (dec)]],4),HEX2DEC(M$1)),5)&amp;DEC2HEX(_xlfn.BITAND(HEX2DEC(Table1[[#This Row],[32b hex]]),HEX2DEC(M$2)),8),
"0", ""), "3", ""), "5", ""), "6", ""), "9", ""), "A", ""), "C", ""), "F", "")),2)</f>
        <v>0</v>
      </c>
      <c r="N47" s="94" t="str">
        <f ca="1">BIN2HEX(Table1[[#This Row],[ECC'[6']]]&amp;Table1[[#This Row],[ECC'[5']]]&amp;Table1[[#This Row],[ECC'[4']]]&amp;Table1[[#This Row],[ECC'[3']]]&amp;Table1[[#This Row],[ECC'[2']]]&amp;Table1[[#This Row],[ECC'[1']]]&amp;Table1[[#This Row],[ECC'[0']]],2)</f>
        <v>0C</v>
      </c>
      <c r="O47" s="103" t="str">
        <f ca="1">LOWER(Table1[[#This Row],[ECC (hex)]]&amp;Table1[[#This Row],[32b hex]])</f>
        <v>0c48670023</v>
      </c>
      <c r="P47" s="104" t="s">
        <v>414</v>
      </c>
      <c r="Q47" s="109" t="s">
        <v>416</v>
      </c>
      <c r="R47" s="107" t="str">
        <f>DEC2HEX(IF(IntelHexUseAbsAddr,MOD(Table1[[#This Row],[Address (dec)]],2^16),Table1[[#This Row],[DW_ADDRESS]]*4),4)</f>
        <v>10A4</v>
      </c>
      <c r="S47" s="111" t="s">
        <v>418</v>
      </c>
      <c r="T47" s="113" t="str">
        <f ca="1">UPPER(MID(Table1[[#This Row],[32b hex]],7,2)&amp;MID(Table1[[#This Row],[32b hex]],5,2)&amp;MID(Table1[[#This Row],[32b hex]],3,2)&amp;MID(Table1[[#This Row],[32b hex]],1,2))</f>
        <v>23006748</v>
      </c>
      <c r="U47" s="115" t="str">
        <f t="shared" ca="1" si="0"/>
        <v>76</v>
      </c>
      <c r="V47" s="103" t="str">
        <f t="shared" ca="1" si="1"/>
        <v>:0410A4002300674876</v>
      </c>
    </row>
    <row r="48" spans="1:22">
      <c r="A48" s="2">
        <v>4264</v>
      </c>
      <c r="B48" s="2" t="str">
        <f>"0x" &amp; DEC2HEX(Table1[[#This Row],[Address (dec)]],4)</f>
        <v>0x10A8</v>
      </c>
      <c r="C48" s="2" t="str">
        <f ca="1">DEC2HEX(SUMIFS(MemoryView!$D$4:$D$103,MemoryView!$A$4:$A$103,"0x"&amp;DEC2HEX(Output!$A48+2,4)),4)</f>
        <v>043E</v>
      </c>
      <c r="D48" s="2" t="str">
        <f ca="1">DEC2HEX(SUMIFS(MemoryView!$D$4:$D$103,MemoryView!$A$4:$A$103,"0x"&amp;DEC2HEX(Output!$A48,4)),4)</f>
        <v>00A9</v>
      </c>
      <c r="E48" s="103" t="str">
        <f t="shared" ca="1" si="2"/>
        <v>043e00a9</v>
      </c>
      <c r="F48" s="2">
        <v>42</v>
      </c>
      <c r="G48" s="2">
        <f ca="1">MOD(LEN(SUBSTITUTE( SUBSTITUTE( SUBSTITUTE( SUBSTITUTE( SUBSTITUTE( SUBSTITUTE( SUBSTITUTE( SUBSTITUTE(
    DEC2HEX(_xlfn.BITAND(QUOTIENT(Table1[[#This Row],[Address (dec)]],4),HEX2DEC(G$1)),5)&amp;DEC2HEX(_xlfn.BITAND(HEX2DEC(Table1[[#This Row],[32b hex]]),HEX2DEC(G$2)),8),
"0", ""), "3", ""), "5", ""), "6", ""), "9", ""), "A", ""), "C", ""), "F", "")),2)</f>
        <v>0</v>
      </c>
      <c r="H48" s="2">
        <f ca="1">MOD(LEN(SUBSTITUTE( SUBSTITUTE( SUBSTITUTE( SUBSTITUTE( SUBSTITUTE( SUBSTITUTE( SUBSTITUTE( SUBSTITUTE(
    DEC2HEX(_xlfn.BITAND(QUOTIENT(Table1[[#This Row],[Address (dec)]],4),HEX2DEC(H$1)),5)&amp;DEC2HEX(_xlfn.BITAND(HEX2DEC(Table1[[#This Row],[32b hex]]),HEX2DEC(H$2)),8),
"0", ""), "3", ""), "5", ""), "6", ""), "9", ""), "A", ""), "C", ""), "F", "")),2)</f>
        <v>0</v>
      </c>
      <c r="I48" s="2">
        <f ca="1">MOD(LEN(SUBSTITUTE( SUBSTITUTE( SUBSTITUTE( SUBSTITUTE( SUBSTITUTE( SUBSTITUTE( SUBSTITUTE( SUBSTITUTE(
    DEC2HEX(_xlfn.BITAND(QUOTIENT(Table1[[#This Row],[Address (dec)]],4),HEX2DEC(I$1)),5)&amp;DEC2HEX(_xlfn.BITAND(HEX2DEC(Table1[[#This Row],[32b hex]]),HEX2DEC(I$2)),8),
"0", ""), "3", ""), "5", ""), "6", ""), "9", ""), "A", ""), "C", ""), "F", "")),2)</f>
        <v>1</v>
      </c>
      <c r="J48" s="2">
        <f ca="1">MOD(LEN(SUBSTITUTE( SUBSTITUTE( SUBSTITUTE( SUBSTITUTE( SUBSTITUTE( SUBSTITUTE( SUBSTITUTE( SUBSTITUTE(
    DEC2HEX(_xlfn.BITAND(QUOTIENT(Table1[[#This Row],[Address (dec)]],4),HEX2DEC(J$1)),5)&amp;DEC2HEX(_xlfn.BITAND(HEX2DEC(Table1[[#This Row],[32b hex]]),HEX2DEC(J$2)),8),
"0", ""), "3", ""), "5", ""), "6", ""), "9", ""), "A", ""), "C", ""), "F", "")),2)</f>
        <v>0</v>
      </c>
      <c r="K48" s="2">
        <f ca="1">MOD(LEN(SUBSTITUTE( SUBSTITUTE( SUBSTITUTE( SUBSTITUTE( SUBSTITUTE( SUBSTITUTE( SUBSTITUTE( SUBSTITUTE(
    DEC2HEX(_xlfn.BITAND(QUOTIENT(Table1[[#This Row],[Address (dec)]],4),HEX2DEC(K$1)),5)&amp;DEC2HEX(_xlfn.BITAND(HEX2DEC(Table1[[#This Row],[32b hex]]),HEX2DEC(K$2)),8),
"0", ""), "3", ""), "5", ""), "6", ""), "9", ""), "A", ""), "C", ""), "F", "")),2)</f>
        <v>1</v>
      </c>
      <c r="L48" s="2">
        <f ca="1">MOD(LEN(SUBSTITUTE( SUBSTITUTE( SUBSTITUTE( SUBSTITUTE( SUBSTITUTE( SUBSTITUTE( SUBSTITUTE( SUBSTITUTE(
    DEC2HEX(_xlfn.BITAND(QUOTIENT(Table1[[#This Row],[Address (dec)]],4),HEX2DEC(L$1)),5)&amp;DEC2HEX(_xlfn.BITAND(HEX2DEC(Table1[[#This Row],[32b hex]]),HEX2DEC(L$2)),8),
"0", ""), "3", ""), "5", ""), "6", ""), "9", ""), "A", ""), "C", ""), "F", "")),2)</f>
        <v>1</v>
      </c>
      <c r="M48" s="2">
        <f ca="1">MOD(LEN(SUBSTITUTE( SUBSTITUTE( SUBSTITUTE( SUBSTITUTE( SUBSTITUTE( SUBSTITUTE( SUBSTITUTE( SUBSTITUTE(
    DEC2HEX(_xlfn.BITAND(QUOTIENT(Table1[[#This Row],[Address (dec)]],4),HEX2DEC(M$1)),5)&amp;DEC2HEX(_xlfn.BITAND(HEX2DEC(Table1[[#This Row],[32b hex]]),HEX2DEC(M$2)),8),
"0", ""), "3", ""), "5", ""), "6", ""), "9", ""), "A", ""), "C", ""), "F", "")),2)</f>
        <v>1</v>
      </c>
      <c r="N48" s="94" t="str">
        <f ca="1">BIN2HEX(Table1[[#This Row],[ECC'[6']]]&amp;Table1[[#This Row],[ECC'[5']]]&amp;Table1[[#This Row],[ECC'[4']]]&amp;Table1[[#This Row],[ECC'[3']]]&amp;Table1[[#This Row],[ECC'[2']]]&amp;Table1[[#This Row],[ECC'[1']]]&amp;Table1[[#This Row],[ECC'[0']]],2)</f>
        <v>17</v>
      </c>
      <c r="O48" s="103" t="str">
        <f ca="1">LOWER(Table1[[#This Row],[ECC (hex)]]&amp;Table1[[#This Row],[32b hex]])</f>
        <v>17043e00a9</v>
      </c>
      <c r="P48" s="104" t="s">
        <v>414</v>
      </c>
      <c r="Q48" s="109" t="s">
        <v>416</v>
      </c>
      <c r="R48" s="107" t="str">
        <f>DEC2HEX(IF(IntelHexUseAbsAddr,MOD(Table1[[#This Row],[Address (dec)]],2^16),Table1[[#This Row],[DW_ADDRESS]]*4),4)</f>
        <v>10A8</v>
      </c>
      <c r="S48" s="111" t="s">
        <v>418</v>
      </c>
      <c r="T48" s="113" t="str">
        <f ca="1">UPPER(MID(Table1[[#This Row],[32b hex]],7,2)&amp;MID(Table1[[#This Row],[32b hex]],5,2)&amp;MID(Table1[[#This Row],[32b hex]],3,2)&amp;MID(Table1[[#This Row],[32b hex]],1,2))</f>
        <v>A9003E04</v>
      </c>
      <c r="U48" s="115" t="str">
        <f t="shared" ca="1" si="0"/>
        <v>59</v>
      </c>
      <c r="V48" s="103" t="str">
        <f t="shared" ca="1" si="1"/>
        <v>:0410A800A9003E0459</v>
      </c>
    </row>
    <row r="49" spans="1:22">
      <c r="A49" s="2">
        <v>4268</v>
      </c>
      <c r="B49" s="2" t="str">
        <f>"0x" &amp; DEC2HEX(Table1[[#This Row],[Address (dec)]],4)</f>
        <v>0x10AC</v>
      </c>
      <c r="C49" s="2" t="str">
        <f ca="1">DEC2HEX(SUMIFS(MemoryView!$D$4:$D$103,MemoryView!$A$4:$A$103,"0x"&amp;DEC2HEX(Output!$A49+2,4)),4)</f>
        <v>4E15</v>
      </c>
      <c r="D49" s="2" t="str">
        <f ca="1">DEC2HEX(SUMIFS(MemoryView!$D$4:$D$103,MemoryView!$A$4:$A$103,"0x"&amp;DEC2HEX(Output!$A49,4)),4)</f>
        <v>FFD8</v>
      </c>
      <c r="E49" s="103" t="str">
        <f t="shared" ca="1" si="2"/>
        <v>4e15ffd8</v>
      </c>
      <c r="F49" s="2">
        <v>43</v>
      </c>
      <c r="G49" s="2">
        <f ca="1">MOD(LEN(SUBSTITUTE( SUBSTITUTE( SUBSTITUTE( SUBSTITUTE( SUBSTITUTE( SUBSTITUTE( SUBSTITUTE( SUBSTITUTE(
    DEC2HEX(_xlfn.BITAND(QUOTIENT(Table1[[#This Row],[Address (dec)]],4),HEX2DEC(G$1)),5)&amp;DEC2HEX(_xlfn.BITAND(HEX2DEC(Table1[[#This Row],[32b hex]]),HEX2DEC(G$2)),8),
"0", ""), "3", ""), "5", ""), "6", ""), "9", ""), "A", ""), "C", ""), "F", "")),2)</f>
        <v>1</v>
      </c>
      <c r="H49" s="2">
        <f ca="1">MOD(LEN(SUBSTITUTE( SUBSTITUTE( SUBSTITUTE( SUBSTITUTE( SUBSTITUTE( SUBSTITUTE( SUBSTITUTE( SUBSTITUTE(
    DEC2HEX(_xlfn.BITAND(QUOTIENT(Table1[[#This Row],[Address (dec)]],4),HEX2DEC(H$1)),5)&amp;DEC2HEX(_xlfn.BITAND(HEX2DEC(Table1[[#This Row],[32b hex]]),HEX2DEC(H$2)),8),
"0", ""), "3", ""), "5", ""), "6", ""), "9", ""), "A", ""), "C", ""), "F", "")),2)</f>
        <v>1</v>
      </c>
      <c r="I49" s="2">
        <f ca="1">MOD(LEN(SUBSTITUTE( SUBSTITUTE( SUBSTITUTE( SUBSTITUTE( SUBSTITUTE( SUBSTITUTE( SUBSTITUTE( SUBSTITUTE(
    DEC2HEX(_xlfn.BITAND(QUOTIENT(Table1[[#This Row],[Address (dec)]],4),HEX2DEC(I$1)),5)&amp;DEC2HEX(_xlfn.BITAND(HEX2DEC(Table1[[#This Row],[32b hex]]),HEX2DEC(I$2)),8),
"0", ""), "3", ""), "5", ""), "6", ""), "9", ""), "A", ""), "C", ""), "F", "")),2)</f>
        <v>0</v>
      </c>
      <c r="J49" s="2">
        <f ca="1">MOD(LEN(SUBSTITUTE( SUBSTITUTE( SUBSTITUTE( SUBSTITUTE( SUBSTITUTE( SUBSTITUTE( SUBSTITUTE( SUBSTITUTE(
    DEC2HEX(_xlfn.BITAND(QUOTIENT(Table1[[#This Row],[Address (dec)]],4),HEX2DEC(J$1)),5)&amp;DEC2HEX(_xlfn.BITAND(HEX2DEC(Table1[[#This Row],[32b hex]]),HEX2DEC(J$2)),8),
"0", ""), "3", ""), "5", ""), "6", ""), "9", ""), "A", ""), "C", ""), "F", "")),2)</f>
        <v>1</v>
      </c>
      <c r="K49" s="2">
        <f ca="1">MOD(LEN(SUBSTITUTE( SUBSTITUTE( SUBSTITUTE( SUBSTITUTE( SUBSTITUTE( SUBSTITUTE( SUBSTITUTE( SUBSTITUTE(
    DEC2HEX(_xlfn.BITAND(QUOTIENT(Table1[[#This Row],[Address (dec)]],4),HEX2DEC(K$1)),5)&amp;DEC2HEX(_xlfn.BITAND(HEX2DEC(Table1[[#This Row],[32b hex]]),HEX2DEC(K$2)),8),
"0", ""), "3", ""), "5", ""), "6", ""), "9", ""), "A", ""), "C", ""), "F", "")),2)</f>
        <v>1</v>
      </c>
      <c r="L49" s="2">
        <f ca="1">MOD(LEN(SUBSTITUTE( SUBSTITUTE( SUBSTITUTE( SUBSTITUTE( SUBSTITUTE( SUBSTITUTE( SUBSTITUTE( SUBSTITUTE(
    DEC2HEX(_xlfn.BITAND(QUOTIENT(Table1[[#This Row],[Address (dec)]],4),HEX2DEC(L$1)),5)&amp;DEC2HEX(_xlfn.BITAND(HEX2DEC(Table1[[#This Row],[32b hex]]),HEX2DEC(L$2)),8),
"0", ""), "3", ""), "5", ""), "6", ""), "9", ""), "A", ""), "C", ""), "F", "")),2)</f>
        <v>1</v>
      </c>
      <c r="M49" s="2">
        <f ca="1">MOD(LEN(SUBSTITUTE( SUBSTITUTE( SUBSTITUTE( SUBSTITUTE( SUBSTITUTE( SUBSTITUTE( SUBSTITUTE( SUBSTITUTE(
    DEC2HEX(_xlfn.BITAND(QUOTIENT(Table1[[#This Row],[Address (dec)]],4),HEX2DEC(M$1)),5)&amp;DEC2HEX(_xlfn.BITAND(HEX2DEC(Table1[[#This Row],[32b hex]]),HEX2DEC(M$2)),8),
"0", ""), "3", ""), "5", ""), "6", ""), "9", ""), "A", ""), "C", ""), "F", "")),2)</f>
        <v>1</v>
      </c>
      <c r="N49" s="94" t="str">
        <f ca="1">BIN2HEX(Table1[[#This Row],[ECC'[6']]]&amp;Table1[[#This Row],[ECC'[5']]]&amp;Table1[[#This Row],[ECC'[4']]]&amp;Table1[[#This Row],[ECC'[3']]]&amp;Table1[[#This Row],[ECC'[2']]]&amp;Table1[[#This Row],[ECC'[1']]]&amp;Table1[[#This Row],[ECC'[0']]],2)</f>
        <v>6F</v>
      </c>
      <c r="O49" s="103" t="str">
        <f ca="1">LOWER(Table1[[#This Row],[ECC (hex)]]&amp;Table1[[#This Row],[32b hex]])</f>
        <v>6f4e15ffd8</v>
      </c>
      <c r="P49" s="104" t="s">
        <v>414</v>
      </c>
      <c r="Q49" s="109" t="s">
        <v>416</v>
      </c>
      <c r="R49" s="107" t="str">
        <f>DEC2HEX(IF(IntelHexUseAbsAddr,MOD(Table1[[#This Row],[Address (dec)]],2^16),Table1[[#This Row],[DW_ADDRESS]]*4),4)</f>
        <v>10AC</v>
      </c>
      <c r="S49" s="111" t="s">
        <v>418</v>
      </c>
      <c r="T49" s="113" t="str">
        <f ca="1">UPPER(MID(Table1[[#This Row],[32b hex]],7,2)&amp;MID(Table1[[#This Row],[32b hex]],5,2)&amp;MID(Table1[[#This Row],[32b hex]],3,2)&amp;MID(Table1[[#This Row],[32b hex]],1,2))</f>
        <v>D8FF154E</v>
      </c>
      <c r="U49" s="115" t="str">
        <f t="shared" ca="1" si="0"/>
        <v>06</v>
      </c>
      <c r="V49" s="103" t="str">
        <f t="shared" ca="1" si="1"/>
        <v>:0410AC00D8FF154E06</v>
      </c>
    </row>
    <row r="50" spans="1:22">
      <c r="A50" s="2">
        <v>4272</v>
      </c>
      <c r="B50" s="2" t="str">
        <f>"0x" &amp; DEC2HEX(Table1[[#This Row],[Address (dec)]],4)</f>
        <v>0x10B0</v>
      </c>
      <c r="C50" s="2" t="str">
        <f ca="1">DEC2HEX(SUMIFS(MemoryView!$D$4:$D$103,MemoryView!$A$4:$A$103,"0x"&amp;DEC2HEX(Output!$A50+2,4)),4)</f>
        <v>055E</v>
      </c>
      <c r="D50" s="2" t="str">
        <f ca="1">DEC2HEX(SUMIFS(MemoryView!$D$4:$D$103,MemoryView!$A$4:$A$103,"0x"&amp;DEC2HEX(Output!$A50,4)),4)</f>
        <v>FE4F</v>
      </c>
      <c r="E50" s="103" t="str">
        <f t="shared" ca="1" si="2"/>
        <v>055efe4f</v>
      </c>
      <c r="F50" s="2">
        <v>44</v>
      </c>
      <c r="G50" s="2">
        <f ca="1">MOD(LEN(SUBSTITUTE( SUBSTITUTE( SUBSTITUTE( SUBSTITUTE( SUBSTITUTE( SUBSTITUTE( SUBSTITUTE( SUBSTITUTE(
    DEC2HEX(_xlfn.BITAND(QUOTIENT(Table1[[#This Row],[Address (dec)]],4),HEX2DEC(G$1)),5)&amp;DEC2HEX(_xlfn.BITAND(HEX2DEC(Table1[[#This Row],[32b hex]]),HEX2DEC(G$2)),8),
"0", ""), "3", ""), "5", ""), "6", ""), "9", ""), "A", ""), "C", ""), "F", "")),2)</f>
        <v>0</v>
      </c>
      <c r="H50" s="2">
        <f ca="1">MOD(LEN(SUBSTITUTE( SUBSTITUTE( SUBSTITUTE( SUBSTITUTE( SUBSTITUTE( SUBSTITUTE( SUBSTITUTE( SUBSTITUTE(
    DEC2HEX(_xlfn.BITAND(QUOTIENT(Table1[[#This Row],[Address (dec)]],4),HEX2DEC(H$1)),5)&amp;DEC2HEX(_xlfn.BITAND(HEX2DEC(Table1[[#This Row],[32b hex]]),HEX2DEC(H$2)),8),
"0", ""), "3", ""), "5", ""), "6", ""), "9", ""), "A", ""), "C", ""), "F", "")),2)</f>
        <v>1</v>
      </c>
      <c r="I50" s="2">
        <f ca="1">MOD(LEN(SUBSTITUTE( SUBSTITUTE( SUBSTITUTE( SUBSTITUTE( SUBSTITUTE( SUBSTITUTE( SUBSTITUTE( SUBSTITUTE(
    DEC2HEX(_xlfn.BITAND(QUOTIENT(Table1[[#This Row],[Address (dec)]],4),HEX2DEC(I$1)),5)&amp;DEC2HEX(_xlfn.BITAND(HEX2DEC(Table1[[#This Row],[32b hex]]),HEX2DEC(I$2)),8),
"0", ""), "3", ""), "5", ""), "6", ""), "9", ""), "A", ""), "C", ""), "F", "")),2)</f>
        <v>1</v>
      </c>
      <c r="J50" s="2">
        <f ca="1">MOD(LEN(SUBSTITUTE( SUBSTITUTE( SUBSTITUTE( SUBSTITUTE( SUBSTITUTE( SUBSTITUTE( SUBSTITUTE( SUBSTITUTE(
    DEC2HEX(_xlfn.BITAND(QUOTIENT(Table1[[#This Row],[Address (dec)]],4),HEX2DEC(J$1)),5)&amp;DEC2HEX(_xlfn.BITAND(HEX2DEC(Table1[[#This Row],[32b hex]]),HEX2DEC(J$2)),8),
"0", ""), "3", ""), "5", ""), "6", ""), "9", ""), "A", ""), "C", ""), "F", "")),2)</f>
        <v>0</v>
      </c>
      <c r="K50" s="2">
        <f ca="1">MOD(LEN(SUBSTITUTE( SUBSTITUTE( SUBSTITUTE( SUBSTITUTE( SUBSTITUTE( SUBSTITUTE( SUBSTITUTE( SUBSTITUTE(
    DEC2HEX(_xlfn.BITAND(QUOTIENT(Table1[[#This Row],[Address (dec)]],4),HEX2DEC(K$1)),5)&amp;DEC2HEX(_xlfn.BITAND(HEX2DEC(Table1[[#This Row],[32b hex]]),HEX2DEC(K$2)),8),
"0", ""), "3", ""), "5", ""), "6", ""), "9", ""), "A", ""), "C", ""), "F", "")),2)</f>
        <v>1</v>
      </c>
      <c r="L50" s="2">
        <f ca="1">MOD(LEN(SUBSTITUTE( SUBSTITUTE( SUBSTITUTE( SUBSTITUTE( SUBSTITUTE( SUBSTITUTE( SUBSTITUTE( SUBSTITUTE(
    DEC2HEX(_xlfn.BITAND(QUOTIENT(Table1[[#This Row],[Address (dec)]],4),HEX2DEC(L$1)),5)&amp;DEC2HEX(_xlfn.BITAND(HEX2DEC(Table1[[#This Row],[32b hex]]),HEX2DEC(L$2)),8),
"0", ""), "3", ""), "5", ""), "6", ""), "9", ""), "A", ""), "C", ""), "F", "")),2)</f>
        <v>0</v>
      </c>
      <c r="M50" s="2">
        <f ca="1">MOD(LEN(SUBSTITUTE( SUBSTITUTE( SUBSTITUTE( SUBSTITUTE( SUBSTITUTE( SUBSTITUTE( SUBSTITUTE( SUBSTITUTE(
    DEC2HEX(_xlfn.BITAND(QUOTIENT(Table1[[#This Row],[Address (dec)]],4),HEX2DEC(M$1)),5)&amp;DEC2HEX(_xlfn.BITAND(HEX2DEC(Table1[[#This Row],[32b hex]]),HEX2DEC(M$2)),8),
"0", ""), "3", ""), "5", ""), "6", ""), "9", ""), "A", ""), "C", ""), "F", "")),2)</f>
        <v>0</v>
      </c>
      <c r="N50" s="94" t="str">
        <f ca="1">BIN2HEX(Table1[[#This Row],[ECC'[6']]]&amp;Table1[[#This Row],[ECC'[5']]]&amp;Table1[[#This Row],[ECC'[4']]]&amp;Table1[[#This Row],[ECC'[3']]]&amp;Table1[[#This Row],[ECC'[2']]]&amp;Table1[[#This Row],[ECC'[1']]]&amp;Table1[[#This Row],[ECC'[0']]],2)</f>
        <v>34</v>
      </c>
      <c r="O50" s="103" t="str">
        <f ca="1">LOWER(Table1[[#This Row],[ECC (hex)]]&amp;Table1[[#This Row],[32b hex]])</f>
        <v>34055efe4f</v>
      </c>
      <c r="P50" s="104" t="s">
        <v>414</v>
      </c>
      <c r="Q50" s="109" t="s">
        <v>416</v>
      </c>
      <c r="R50" s="107" t="str">
        <f>DEC2HEX(IF(IntelHexUseAbsAddr,MOD(Table1[[#This Row],[Address (dec)]],2^16),Table1[[#This Row],[DW_ADDRESS]]*4),4)</f>
        <v>10B0</v>
      </c>
      <c r="S50" s="111" t="s">
        <v>418</v>
      </c>
      <c r="T50" s="113" t="str">
        <f ca="1">UPPER(MID(Table1[[#This Row],[32b hex]],7,2)&amp;MID(Table1[[#This Row],[32b hex]],5,2)&amp;MID(Table1[[#This Row],[32b hex]],3,2)&amp;MID(Table1[[#This Row],[32b hex]],1,2))</f>
        <v>4FFE5E05</v>
      </c>
      <c r="U50" s="115" t="str">
        <f t="shared" ca="1" si="0"/>
        <v>8C</v>
      </c>
      <c r="V50" s="103" t="str">
        <f t="shared" ca="1" si="1"/>
        <v>:0410B0004FFE5E058C</v>
      </c>
    </row>
    <row r="51" spans="1:22">
      <c r="A51" s="2">
        <v>4276</v>
      </c>
      <c r="B51" s="2" t="str">
        <f>"0x" &amp; DEC2HEX(Table1[[#This Row],[Address (dec)]],4)</f>
        <v>0x10B4</v>
      </c>
      <c r="C51" s="2" t="str">
        <f ca="1">DEC2HEX(SUMIFS(MemoryView!$D$4:$D$103,MemoryView!$A$4:$A$103,"0x"&amp;DEC2HEX(Output!$A51+2,4)),4)</f>
        <v>FA8F</v>
      </c>
      <c r="D51" s="2" t="str">
        <f ca="1">DEC2HEX(SUMIFS(MemoryView!$D$4:$D$103,MemoryView!$A$4:$A$103,"0x"&amp;DEC2HEX(Output!$A51,4)),4)</f>
        <v>FFBD</v>
      </c>
      <c r="E51" s="103" t="str">
        <f t="shared" ca="1" si="2"/>
        <v>fa8fffbd</v>
      </c>
      <c r="F51" s="2">
        <v>45</v>
      </c>
      <c r="G51" s="2">
        <f ca="1">MOD(LEN(SUBSTITUTE( SUBSTITUTE( SUBSTITUTE( SUBSTITUTE( SUBSTITUTE( SUBSTITUTE( SUBSTITUTE( SUBSTITUTE(
    DEC2HEX(_xlfn.BITAND(QUOTIENT(Table1[[#This Row],[Address (dec)]],4),HEX2DEC(G$1)),5)&amp;DEC2HEX(_xlfn.BITAND(HEX2DEC(Table1[[#This Row],[32b hex]]),HEX2DEC(G$2)),8),
"0", ""), "3", ""), "5", ""), "6", ""), "9", ""), "A", ""), "C", ""), "F", "")),2)</f>
        <v>0</v>
      </c>
      <c r="H51" s="2">
        <f ca="1">MOD(LEN(SUBSTITUTE( SUBSTITUTE( SUBSTITUTE( SUBSTITUTE( SUBSTITUTE( SUBSTITUTE( SUBSTITUTE( SUBSTITUTE(
    DEC2HEX(_xlfn.BITAND(QUOTIENT(Table1[[#This Row],[Address (dec)]],4),HEX2DEC(H$1)),5)&amp;DEC2HEX(_xlfn.BITAND(HEX2DEC(Table1[[#This Row],[32b hex]]),HEX2DEC(H$2)),8),
"0", ""), "3", ""), "5", ""), "6", ""), "9", ""), "A", ""), "C", ""), "F", "")),2)</f>
        <v>1</v>
      </c>
      <c r="I51" s="2">
        <f ca="1">MOD(LEN(SUBSTITUTE( SUBSTITUTE( SUBSTITUTE( SUBSTITUTE( SUBSTITUTE( SUBSTITUTE( SUBSTITUTE( SUBSTITUTE(
    DEC2HEX(_xlfn.BITAND(QUOTIENT(Table1[[#This Row],[Address (dec)]],4),HEX2DEC(I$1)),5)&amp;DEC2HEX(_xlfn.BITAND(HEX2DEC(Table1[[#This Row],[32b hex]]),HEX2DEC(I$2)),8),
"0", ""), "3", ""), "5", ""), "6", ""), "9", ""), "A", ""), "C", ""), "F", "")),2)</f>
        <v>0</v>
      </c>
      <c r="J51" s="2">
        <f ca="1">MOD(LEN(SUBSTITUTE( SUBSTITUTE( SUBSTITUTE( SUBSTITUTE( SUBSTITUTE( SUBSTITUTE( SUBSTITUTE( SUBSTITUTE(
    DEC2HEX(_xlfn.BITAND(QUOTIENT(Table1[[#This Row],[Address (dec)]],4),HEX2DEC(J$1)),5)&amp;DEC2HEX(_xlfn.BITAND(HEX2DEC(Table1[[#This Row],[32b hex]]),HEX2DEC(J$2)),8),
"0", ""), "3", ""), "5", ""), "6", ""), "9", ""), "A", ""), "C", ""), "F", "")),2)</f>
        <v>1</v>
      </c>
      <c r="K51" s="2">
        <f ca="1">MOD(LEN(SUBSTITUTE( SUBSTITUTE( SUBSTITUTE( SUBSTITUTE( SUBSTITUTE( SUBSTITUTE( SUBSTITUTE( SUBSTITUTE(
    DEC2HEX(_xlfn.BITAND(QUOTIENT(Table1[[#This Row],[Address (dec)]],4),HEX2DEC(K$1)),5)&amp;DEC2HEX(_xlfn.BITAND(HEX2DEC(Table1[[#This Row],[32b hex]]),HEX2DEC(K$2)),8),
"0", ""), "3", ""), "5", ""), "6", ""), "9", ""), "A", ""), "C", ""), "F", "")),2)</f>
        <v>0</v>
      </c>
      <c r="L51" s="2">
        <f ca="1">MOD(LEN(SUBSTITUTE( SUBSTITUTE( SUBSTITUTE( SUBSTITUTE( SUBSTITUTE( SUBSTITUTE( SUBSTITUTE( SUBSTITUTE(
    DEC2HEX(_xlfn.BITAND(QUOTIENT(Table1[[#This Row],[Address (dec)]],4),HEX2DEC(L$1)),5)&amp;DEC2HEX(_xlfn.BITAND(HEX2DEC(Table1[[#This Row],[32b hex]]),HEX2DEC(L$2)),8),
"0", ""), "3", ""), "5", ""), "6", ""), "9", ""), "A", ""), "C", ""), "F", "")),2)</f>
        <v>1</v>
      </c>
      <c r="M51" s="2">
        <f ca="1">MOD(LEN(SUBSTITUTE( SUBSTITUTE( SUBSTITUTE( SUBSTITUTE( SUBSTITUTE( SUBSTITUTE( SUBSTITUTE( SUBSTITUTE(
    DEC2HEX(_xlfn.BITAND(QUOTIENT(Table1[[#This Row],[Address (dec)]],4),HEX2DEC(M$1)),5)&amp;DEC2HEX(_xlfn.BITAND(HEX2DEC(Table1[[#This Row],[32b hex]]),HEX2DEC(M$2)),8),
"0", ""), "3", ""), "5", ""), "6", ""), "9", ""), "A", ""), "C", ""), "F", "")),2)</f>
        <v>1</v>
      </c>
      <c r="N51" s="94" t="str">
        <f ca="1">BIN2HEX(Table1[[#This Row],[ECC'[6']]]&amp;Table1[[#This Row],[ECC'[5']]]&amp;Table1[[#This Row],[ECC'[4']]]&amp;Table1[[#This Row],[ECC'[3']]]&amp;Table1[[#This Row],[ECC'[2']]]&amp;Table1[[#This Row],[ECC'[1']]]&amp;Table1[[#This Row],[ECC'[0']]],2)</f>
        <v>2B</v>
      </c>
      <c r="O51" s="103" t="str">
        <f ca="1">LOWER(Table1[[#This Row],[ECC (hex)]]&amp;Table1[[#This Row],[32b hex]])</f>
        <v>2bfa8fffbd</v>
      </c>
      <c r="P51" s="104" t="s">
        <v>414</v>
      </c>
      <c r="Q51" s="109" t="s">
        <v>416</v>
      </c>
      <c r="R51" s="107" t="str">
        <f>DEC2HEX(IF(IntelHexUseAbsAddr,MOD(Table1[[#This Row],[Address (dec)]],2^16),Table1[[#This Row],[DW_ADDRESS]]*4),4)</f>
        <v>10B4</v>
      </c>
      <c r="S51" s="111" t="s">
        <v>418</v>
      </c>
      <c r="T51" s="113" t="str">
        <f ca="1">UPPER(MID(Table1[[#This Row],[32b hex]],7,2)&amp;MID(Table1[[#This Row],[32b hex]],5,2)&amp;MID(Table1[[#This Row],[32b hex]],3,2)&amp;MID(Table1[[#This Row],[32b hex]],1,2))</f>
        <v>BDFF8FFA</v>
      </c>
      <c r="U51" s="115" t="str">
        <f t="shared" ca="1" si="0"/>
        <v>F3</v>
      </c>
      <c r="V51" s="103" t="str">
        <f t="shared" ca="1" si="1"/>
        <v>:0410B400BDFF8FFAF3</v>
      </c>
    </row>
    <row r="52" spans="1:22">
      <c r="A52" s="2">
        <v>4280</v>
      </c>
      <c r="B52" s="2" t="str">
        <f>"0x" &amp; DEC2HEX(Table1[[#This Row],[Address (dec)]],4)</f>
        <v>0x10B8</v>
      </c>
      <c r="C52" s="2" t="str">
        <f ca="1">DEC2HEX(SUMIFS(MemoryView!$D$4:$D$103,MemoryView!$A$4:$A$103,"0x"&amp;DEC2HEX(Output!$A52+2,4)),4)</f>
        <v>0024</v>
      </c>
      <c r="D52" s="2" t="str">
        <f ca="1">DEC2HEX(SUMIFS(MemoryView!$D$4:$D$103,MemoryView!$A$4:$A$103,"0x"&amp;DEC2HEX(Output!$A52,4)),4)</f>
        <v>1C3A</v>
      </c>
      <c r="E52" s="103" t="str">
        <f t="shared" ca="1" si="2"/>
        <v>00241c3a</v>
      </c>
      <c r="F52" s="2">
        <v>46</v>
      </c>
      <c r="G52" s="2">
        <f ca="1">MOD(LEN(SUBSTITUTE( SUBSTITUTE( SUBSTITUTE( SUBSTITUTE( SUBSTITUTE( SUBSTITUTE( SUBSTITUTE( SUBSTITUTE(
    DEC2HEX(_xlfn.BITAND(QUOTIENT(Table1[[#This Row],[Address (dec)]],4),HEX2DEC(G$1)),5)&amp;DEC2HEX(_xlfn.BITAND(HEX2DEC(Table1[[#This Row],[32b hex]]),HEX2DEC(G$2)),8),
"0", ""), "3", ""), "5", ""), "6", ""), "9", ""), "A", ""), "C", ""), "F", "")),2)</f>
        <v>0</v>
      </c>
      <c r="H52" s="2">
        <f ca="1">MOD(LEN(SUBSTITUTE( SUBSTITUTE( SUBSTITUTE( SUBSTITUTE( SUBSTITUTE( SUBSTITUTE( SUBSTITUTE( SUBSTITUTE(
    DEC2HEX(_xlfn.BITAND(QUOTIENT(Table1[[#This Row],[Address (dec)]],4),HEX2DEC(H$1)),5)&amp;DEC2HEX(_xlfn.BITAND(HEX2DEC(Table1[[#This Row],[32b hex]]),HEX2DEC(H$2)),8),
"0", ""), "3", ""), "5", ""), "6", ""), "9", ""), "A", ""), "C", ""), "F", "")),2)</f>
        <v>1</v>
      </c>
      <c r="I52" s="2">
        <f ca="1">MOD(LEN(SUBSTITUTE( SUBSTITUTE( SUBSTITUTE( SUBSTITUTE( SUBSTITUTE( SUBSTITUTE( SUBSTITUTE( SUBSTITUTE(
    DEC2HEX(_xlfn.BITAND(QUOTIENT(Table1[[#This Row],[Address (dec)]],4),HEX2DEC(I$1)),5)&amp;DEC2HEX(_xlfn.BITAND(HEX2DEC(Table1[[#This Row],[32b hex]]),HEX2DEC(I$2)),8),
"0", ""), "3", ""), "5", ""), "6", ""), "9", ""), "A", ""), "C", ""), "F", "")),2)</f>
        <v>0</v>
      </c>
      <c r="J52" s="2">
        <f ca="1">MOD(LEN(SUBSTITUTE( SUBSTITUTE( SUBSTITUTE( SUBSTITUTE( SUBSTITUTE( SUBSTITUTE( SUBSTITUTE( SUBSTITUTE(
    DEC2HEX(_xlfn.BITAND(QUOTIENT(Table1[[#This Row],[Address (dec)]],4),HEX2DEC(J$1)),5)&amp;DEC2HEX(_xlfn.BITAND(HEX2DEC(Table1[[#This Row],[32b hex]]),HEX2DEC(J$2)),8),
"0", ""), "3", ""), "5", ""), "6", ""), "9", ""), "A", ""), "C", ""), "F", "")),2)</f>
        <v>0</v>
      </c>
      <c r="K52" s="2">
        <f ca="1">MOD(LEN(SUBSTITUTE( SUBSTITUTE( SUBSTITUTE( SUBSTITUTE( SUBSTITUTE( SUBSTITUTE( SUBSTITUTE( SUBSTITUTE(
    DEC2HEX(_xlfn.BITAND(QUOTIENT(Table1[[#This Row],[Address (dec)]],4),HEX2DEC(K$1)),5)&amp;DEC2HEX(_xlfn.BITAND(HEX2DEC(Table1[[#This Row],[32b hex]]),HEX2DEC(K$2)),8),
"0", ""), "3", ""), "5", ""), "6", ""), "9", ""), "A", ""), "C", ""), "F", "")),2)</f>
        <v>0</v>
      </c>
      <c r="L52" s="2">
        <f ca="1">MOD(LEN(SUBSTITUTE( SUBSTITUTE( SUBSTITUTE( SUBSTITUTE( SUBSTITUTE( SUBSTITUTE( SUBSTITUTE( SUBSTITUTE(
    DEC2HEX(_xlfn.BITAND(QUOTIENT(Table1[[#This Row],[Address (dec)]],4),HEX2DEC(L$1)),5)&amp;DEC2HEX(_xlfn.BITAND(HEX2DEC(Table1[[#This Row],[32b hex]]),HEX2DEC(L$2)),8),
"0", ""), "3", ""), "5", ""), "6", ""), "9", ""), "A", ""), "C", ""), "F", "")),2)</f>
        <v>1</v>
      </c>
      <c r="M52" s="2">
        <f ca="1">MOD(LEN(SUBSTITUTE( SUBSTITUTE( SUBSTITUTE( SUBSTITUTE( SUBSTITUTE( SUBSTITUTE( SUBSTITUTE( SUBSTITUTE(
    DEC2HEX(_xlfn.BITAND(QUOTIENT(Table1[[#This Row],[Address (dec)]],4),HEX2DEC(M$1)),5)&amp;DEC2HEX(_xlfn.BITAND(HEX2DEC(Table1[[#This Row],[32b hex]]),HEX2DEC(M$2)),8),
"0", ""), "3", ""), "5", ""), "6", ""), "9", ""), "A", ""), "C", ""), "F", "")),2)</f>
        <v>0</v>
      </c>
      <c r="N52" s="94" t="str">
        <f ca="1">BIN2HEX(Table1[[#This Row],[ECC'[6']]]&amp;Table1[[#This Row],[ECC'[5']]]&amp;Table1[[#This Row],[ECC'[4']]]&amp;Table1[[#This Row],[ECC'[3']]]&amp;Table1[[#This Row],[ECC'[2']]]&amp;Table1[[#This Row],[ECC'[1']]]&amp;Table1[[#This Row],[ECC'[0']]],2)</f>
        <v>22</v>
      </c>
      <c r="O52" s="103" t="str">
        <f ca="1">LOWER(Table1[[#This Row],[ECC (hex)]]&amp;Table1[[#This Row],[32b hex]])</f>
        <v>2200241c3a</v>
      </c>
      <c r="P52" s="104" t="s">
        <v>414</v>
      </c>
      <c r="Q52" s="109" t="s">
        <v>416</v>
      </c>
      <c r="R52" s="107" t="str">
        <f>DEC2HEX(IF(IntelHexUseAbsAddr,MOD(Table1[[#This Row],[Address (dec)]],2^16),Table1[[#This Row],[DW_ADDRESS]]*4),4)</f>
        <v>10B8</v>
      </c>
      <c r="S52" s="111" t="s">
        <v>418</v>
      </c>
      <c r="T52" s="113" t="str">
        <f ca="1">UPPER(MID(Table1[[#This Row],[32b hex]],7,2)&amp;MID(Table1[[#This Row],[32b hex]],5,2)&amp;MID(Table1[[#This Row],[32b hex]],3,2)&amp;MID(Table1[[#This Row],[32b hex]],1,2))</f>
        <v>3A1C2400</v>
      </c>
      <c r="U52" s="115" t="str">
        <f t="shared" ca="1" si="0"/>
        <v>BA</v>
      </c>
      <c r="V52" s="103" t="str">
        <f t="shared" ca="1" si="1"/>
        <v>:0410B8003A1C2400BA</v>
      </c>
    </row>
    <row r="53" spans="1:22">
      <c r="A53" s="2">
        <v>4284</v>
      </c>
      <c r="B53" s="2" t="str">
        <f>"0x" &amp; DEC2HEX(Table1[[#This Row],[Address (dec)]],4)</f>
        <v>0x10BC</v>
      </c>
      <c r="C53" s="2" t="str">
        <f ca="1">DEC2HEX(SUMIFS(MemoryView!$D$4:$D$103,MemoryView!$A$4:$A$103,"0x"&amp;DEC2HEX(Output!$A53+2,4)),4)</f>
        <v>16A8</v>
      </c>
      <c r="D53" s="2" t="str">
        <f ca="1">DEC2HEX(SUMIFS(MemoryView!$D$4:$D$103,MemoryView!$A$4:$A$103,"0x"&amp;DEC2HEX(Output!$A53,4)),4)</f>
        <v>17A0</v>
      </c>
      <c r="E53" s="103" t="str">
        <f t="shared" ca="1" si="2"/>
        <v>16a817a0</v>
      </c>
      <c r="F53" s="2">
        <v>47</v>
      </c>
      <c r="G53" s="2">
        <f ca="1">MOD(LEN(SUBSTITUTE( SUBSTITUTE( SUBSTITUTE( SUBSTITUTE( SUBSTITUTE( SUBSTITUTE( SUBSTITUTE( SUBSTITUTE(
    DEC2HEX(_xlfn.BITAND(QUOTIENT(Table1[[#This Row],[Address (dec)]],4),HEX2DEC(G$1)),5)&amp;DEC2HEX(_xlfn.BITAND(HEX2DEC(Table1[[#This Row],[32b hex]]),HEX2DEC(G$2)),8),
"0", ""), "3", ""), "5", ""), "6", ""), "9", ""), "A", ""), "C", ""), "F", "")),2)</f>
        <v>0</v>
      </c>
      <c r="H53" s="2">
        <f ca="1">MOD(LEN(SUBSTITUTE( SUBSTITUTE( SUBSTITUTE( SUBSTITUTE( SUBSTITUTE( SUBSTITUTE( SUBSTITUTE( SUBSTITUTE(
    DEC2HEX(_xlfn.BITAND(QUOTIENT(Table1[[#This Row],[Address (dec)]],4),HEX2DEC(H$1)),5)&amp;DEC2HEX(_xlfn.BITAND(HEX2DEC(Table1[[#This Row],[32b hex]]),HEX2DEC(H$2)),8),
"0", ""), "3", ""), "5", ""), "6", ""), "9", ""), "A", ""), "C", ""), "F", "")),2)</f>
        <v>1</v>
      </c>
      <c r="I53" s="2">
        <f ca="1">MOD(LEN(SUBSTITUTE( SUBSTITUTE( SUBSTITUTE( SUBSTITUTE( SUBSTITUTE( SUBSTITUTE( SUBSTITUTE( SUBSTITUTE(
    DEC2HEX(_xlfn.BITAND(QUOTIENT(Table1[[#This Row],[Address (dec)]],4),HEX2DEC(I$1)),5)&amp;DEC2HEX(_xlfn.BITAND(HEX2DEC(Table1[[#This Row],[32b hex]]),HEX2DEC(I$2)),8),
"0", ""), "3", ""), "5", ""), "6", ""), "9", ""), "A", ""), "C", ""), "F", "")),2)</f>
        <v>0</v>
      </c>
      <c r="J53" s="2">
        <f ca="1">MOD(LEN(SUBSTITUTE( SUBSTITUTE( SUBSTITUTE( SUBSTITUTE( SUBSTITUTE( SUBSTITUTE( SUBSTITUTE( SUBSTITUTE(
    DEC2HEX(_xlfn.BITAND(QUOTIENT(Table1[[#This Row],[Address (dec)]],4),HEX2DEC(J$1)),5)&amp;DEC2HEX(_xlfn.BITAND(HEX2DEC(Table1[[#This Row],[32b hex]]),HEX2DEC(J$2)),8),
"0", ""), "3", ""), "5", ""), "6", ""), "9", ""), "A", ""), "C", ""), "F", "")),2)</f>
        <v>1</v>
      </c>
      <c r="K53" s="2">
        <f ca="1">MOD(LEN(SUBSTITUTE( SUBSTITUTE( SUBSTITUTE( SUBSTITUTE( SUBSTITUTE( SUBSTITUTE( SUBSTITUTE( SUBSTITUTE(
    DEC2HEX(_xlfn.BITAND(QUOTIENT(Table1[[#This Row],[Address (dec)]],4),HEX2DEC(K$1)),5)&amp;DEC2HEX(_xlfn.BITAND(HEX2DEC(Table1[[#This Row],[32b hex]]),HEX2DEC(K$2)),8),
"0", ""), "3", ""), "5", ""), "6", ""), "9", ""), "A", ""), "C", ""), "F", "")),2)</f>
        <v>0</v>
      </c>
      <c r="L53" s="2">
        <f ca="1">MOD(LEN(SUBSTITUTE( SUBSTITUTE( SUBSTITUTE( SUBSTITUTE( SUBSTITUTE( SUBSTITUTE( SUBSTITUTE( SUBSTITUTE(
    DEC2HEX(_xlfn.BITAND(QUOTIENT(Table1[[#This Row],[Address (dec)]],4),HEX2DEC(L$1)),5)&amp;DEC2HEX(_xlfn.BITAND(HEX2DEC(Table1[[#This Row],[32b hex]]),HEX2DEC(L$2)),8),
"0", ""), "3", ""), "5", ""), "6", ""), "9", ""), "A", ""), "C", ""), "F", "")),2)</f>
        <v>1</v>
      </c>
      <c r="M53" s="2">
        <f ca="1">MOD(LEN(SUBSTITUTE( SUBSTITUTE( SUBSTITUTE( SUBSTITUTE( SUBSTITUTE( SUBSTITUTE( SUBSTITUTE( SUBSTITUTE(
    DEC2HEX(_xlfn.BITAND(QUOTIENT(Table1[[#This Row],[Address (dec)]],4),HEX2DEC(M$1)),5)&amp;DEC2HEX(_xlfn.BITAND(HEX2DEC(Table1[[#This Row],[32b hex]]),HEX2DEC(M$2)),8),
"0", ""), "3", ""), "5", ""), "6", ""), "9", ""), "A", ""), "C", ""), "F", "")),2)</f>
        <v>1</v>
      </c>
      <c r="N53" s="94" t="str">
        <f ca="1">BIN2HEX(Table1[[#This Row],[ECC'[6']]]&amp;Table1[[#This Row],[ECC'[5']]]&amp;Table1[[#This Row],[ECC'[4']]]&amp;Table1[[#This Row],[ECC'[3']]]&amp;Table1[[#This Row],[ECC'[2']]]&amp;Table1[[#This Row],[ECC'[1']]]&amp;Table1[[#This Row],[ECC'[0']]],2)</f>
        <v>2B</v>
      </c>
      <c r="O53" s="103" t="str">
        <f ca="1">LOWER(Table1[[#This Row],[ECC (hex)]]&amp;Table1[[#This Row],[32b hex]])</f>
        <v>2b16a817a0</v>
      </c>
      <c r="P53" s="104" t="s">
        <v>414</v>
      </c>
      <c r="Q53" s="109" t="s">
        <v>416</v>
      </c>
      <c r="R53" s="107" t="str">
        <f>DEC2HEX(IF(IntelHexUseAbsAddr,MOD(Table1[[#This Row],[Address (dec)]],2^16),Table1[[#This Row],[DW_ADDRESS]]*4),4)</f>
        <v>10BC</v>
      </c>
      <c r="S53" s="111" t="s">
        <v>418</v>
      </c>
      <c r="T53" s="113" t="str">
        <f ca="1">UPPER(MID(Table1[[#This Row],[32b hex]],7,2)&amp;MID(Table1[[#This Row],[32b hex]],5,2)&amp;MID(Table1[[#This Row],[32b hex]],3,2)&amp;MID(Table1[[#This Row],[32b hex]],1,2))</f>
        <v>A017A816</v>
      </c>
      <c r="U53" s="115" t="str">
        <f t="shared" ca="1" si="0"/>
        <v>BB</v>
      </c>
      <c r="V53" s="103" t="str">
        <f t="shared" ca="1" si="1"/>
        <v>:0410BC00A017A816BB</v>
      </c>
    </row>
    <row r="54" spans="1:22">
      <c r="A54" s="2">
        <v>4288</v>
      </c>
      <c r="B54" s="2" t="str">
        <f>"0x" &amp; DEC2HEX(Table1[[#This Row],[Address (dec)]],4)</f>
        <v>0x10C0</v>
      </c>
      <c r="C54" s="2" t="str">
        <f ca="1">DEC2HEX(SUMIFS(MemoryView!$D$4:$D$103,MemoryView!$A$4:$A$103,"0x"&amp;DEC2HEX(Output!$A54+2,4)),4)</f>
        <v>0000</v>
      </c>
      <c r="D54" s="2" t="str">
        <f ca="1">DEC2HEX(SUMIFS(MemoryView!$D$4:$D$103,MemoryView!$A$4:$A$103,"0x"&amp;DEC2HEX(Output!$A54,4)),4)</f>
        <v>0000</v>
      </c>
      <c r="E54" s="103" t="str">
        <f t="shared" ca="1" si="2"/>
        <v>00000000</v>
      </c>
      <c r="F54" s="2">
        <v>48</v>
      </c>
      <c r="G54" s="2">
        <f ca="1">MOD(LEN(SUBSTITUTE( SUBSTITUTE( SUBSTITUTE( SUBSTITUTE( SUBSTITUTE( SUBSTITUTE( SUBSTITUTE( SUBSTITUTE(
    DEC2HEX(_xlfn.BITAND(QUOTIENT(Table1[[#This Row],[Address (dec)]],4),HEX2DEC(G$1)),5)&amp;DEC2HEX(_xlfn.BITAND(HEX2DEC(Table1[[#This Row],[32b hex]]),HEX2DEC(G$2)),8),
"0", ""), "3", ""), "5", ""), "6", ""), "9", ""), "A", ""), "C", ""), "F", "")),2)</f>
        <v>1</v>
      </c>
      <c r="H54" s="2">
        <f ca="1">MOD(LEN(SUBSTITUTE( SUBSTITUTE( SUBSTITUTE( SUBSTITUTE( SUBSTITUTE( SUBSTITUTE( SUBSTITUTE( SUBSTITUTE(
    DEC2HEX(_xlfn.BITAND(QUOTIENT(Table1[[#This Row],[Address (dec)]],4),HEX2DEC(H$1)),5)&amp;DEC2HEX(_xlfn.BITAND(HEX2DEC(Table1[[#This Row],[32b hex]]),HEX2DEC(H$2)),8),
"0", ""), "3", ""), "5", ""), "6", ""), "9", ""), "A", ""), "C", ""), "F", "")),2)</f>
        <v>1</v>
      </c>
      <c r="I54" s="2">
        <f ca="1">MOD(LEN(SUBSTITUTE( SUBSTITUTE( SUBSTITUTE( SUBSTITUTE( SUBSTITUTE( SUBSTITUTE( SUBSTITUTE( SUBSTITUTE(
    DEC2HEX(_xlfn.BITAND(QUOTIENT(Table1[[#This Row],[Address (dec)]],4),HEX2DEC(I$1)),5)&amp;DEC2HEX(_xlfn.BITAND(HEX2DEC(Table1[[#This Row],[32b hex]]),HEX2DEC(I$2)),8),
"0", ""), "3", ""), "5", ""), "6", ""), "9", ""), "A", ""), "C", ""), "F", "")),2)</f>
        <v>1</v>
      </c>
      <c r="J54" s="2">
        <f ca="1">MOD(LEN(SUBSTITUTE( SUBSTITUTE( SUBSTITUTE( SUBSTITUTE( SUBSTITUTE( SUBSTITUTE( SUBSTITUTE( SUBSTITUTE(
    DEC2HEX(_xlfn.BITAND(QUOTIENT(Table1[[#This Row],[Address (dec)]],4),HEX2DEC(J$1)),5)&amp;DEC2HEX(_xlfn.BITAND(HEX2DEC(Table1[[#This Row],[32b hex]]),HEX2DEC(J$2)),8),
"0", ""), "3", ""), "5", ""), "6", ""), "9", ""), "A", ""), "C", ""), "F", "")),2)</f>
        <v>0</v>
      </c>
      <c r="K54" s="2">
        <f ca="1">MOD(LEN(SUBSTITUTE( SUBSTITUTE( SUBSTITUTE( SUBSTITUTE( SUBSTITUTE( SUBSTITUTE( SUBSTITUTE( SUBSTITUTE(
    DEC2HEX(_xlfn.BITAND(QUOTIENT(Table1[[#This Row],[Address (dec)]],4),HEX2DEC(K$1)),5)&amp;DEC2HEX(_xlfn.BITAND(HEX2DEC(Table1[[#This Row],[32b hex]]),HEX2DEC(K$2)),8),
"0", ""), "3", ""), "5", ""), "6", ""), "9", ""), "A", ""), "C", ""), "F", "")),2)</f>
        <v>1</v>
      </c>
      <c r="L54" s="2">
        <f ca="1">MOD(LEN(SUBSTITUTE( SUBSTITUTE( SUBSTITUTE( SUBSTITUTE( SUBSTITUTE( SUBSTITUTE( SUBSTITUTE( SUBSTITUTE(
    DEC2HEX(_xlfn.BITAND(QUOTIENT(Table1[[#This Row],[Address (dec)]],4),HEX2DEC(L$1)),5)&amp;DEC2HEX(_xlfn.BITAND(HEX2DEC(Table1[[#This Row],[32b hex]]),HEX2DEC(L$2)),8),
"0", ""), "3", ""), "5", ""), "6", ""), "9", ""), "A", ""), "C", ""), "F", "")),2)</f>
        <v>0</v>
      </c>
      <c r="M54" s="2">
        <f ca="1">MOD(LEN(SUBSTITUTE( SUBSTITUTE( SUBSTITUTE( SUBSTITUTE( SUBSTITUTE( SUBSTITUTE( SUBSTITUTE( SUBSTITUTE(
    DEC2HEX(_xlfn.BITAND(QUOTIENT(Table1[[#This Row],[Address (dec)]],4),HEX2DEC(M$1)),5)&amp;DEC2HEX(_xlfn.BITAND(HEX2DEC(Table1[[#This Row],[32b hex]]),HEX2DEC(M$2)),8),
"0", ""), "3", ""), "5", ""), "6", ""), "9", ""), "A", ""), "C", ""), "F", "")),2)</f>
        <v>1</v>
      </c>
      <c r="N54" s="94" t="str">
        <f ca="1">BIN2HEX(Table1[[#This Row],[ECC'[6']]]&amp;Table1[[#This Row],[ECC'[5']]]&amp;Table1[[#This Row],[ECC'[4']]]&amp;Table1[[#This Row],[ECC'[3']]]&amp;Table1[[#This Row],[ECC'[2']]]&amp;Table1[[#This Row],[ECC'[1']]]&amp;Table1[[#This Row],[ECC'[0']]],2)</f>
        <v>75</v>
      </c>
      <c r="O54" s="103" t="str">
        <f ca="1">LOWER(Table1[[#This Row],[ECC (hex)]]&amp;Table1[[#This Row],[32b hex]])</f>
        <v>7500000000</v>
      </c>
      <c r="P54" s="104" t="s">
        <v>414</v>
      </c>
      <c r="Q54" s="109" t="s">
        <v>416</v>
      </c>
      <c r="R54" s="107" t="str">
        <f>DEC2HEX(IF(IntelHexUseAbsAddr,MOD(Table1[[#This Row],[Address (dec)]],2^16),Table1[[#This Row],[DW_ADDRESS]]*4),4)</f>
        <v>10C0</v>
      </c>
      <c r="S54" s="111" t="s">
        <v>418</v>
      </c>
      <c r="T54" s="113" t="str">
        <f ca="1">UPPER(MID(Table1[[#This Row],[32b hex]],7,2)&amp;MID(Table1[[#This Row],[32b hex]],5,2)&amp;MID(Table1[[#This Row],[32b hex]],3,2)&amp;MID(Table1[[#This Row],[32b hex]],1,2))</f>
        <v>00000000</v>
      </c>
      <c r="U54" s="115" t="str">
        <f t="shared" ca="1" si="0"/>
        <v>2C</v>
      </c>
      <c r="V54" s="103" t="str">
        <f t="shared" ca="1" si="1"/>
        <v>:0410C000000000002C</v>
      </c>
    </row>
    <row r="55" spans="1:22">
      <c r="A55" s="2">
        <v>4292</v>
      </c>
      <c r="B55" s="2" t="str">
        <f>"0x" &amp; DEC2HEX(Table1[[#This Row],[Address (dec)]],4)</f>
        <v>0x10C4</v>
      </c>
      <c r="C55" s="2" t="str">
        <f ca="1">DEC2HEX(SUMIFS(MemoryView!$D$4:$D$103,MemoryView!$A$4:$A$103,"0x"&amp;DEC2HEX(Output!$A55+2,4)),4)</f>
        <v>0000</v>
      </c>
      <c r="D55" s="2" t="str">
        <f ca="1">DEC2HEX(SUMIFS(MemoryView!$D$4:$D$103,MemoryView!$A$4:$A$103,"0x"&amp;DEC2HEX(Output!$A55,4)),4)</f>
        <v>0000</v>
      </c>
      <c r="E55" s="103" t="str">
        <f t="shared" ca="1" si="2"/>
        <v>00000000</v>
      </c>
      <c r="F55" s="2">
        <v>49</v>
      </c>
      <c r="G55" s="2">
        <f ca="1">MOD(LEN(SUBSTITUTE( SUBSTITUTE( SUBSTITUTE( SUBSTITUTE( SUBSTITUTE( SUBSTITUTE( SUBSTITUTE( SUBSTITUTE(
    DEC2HEX(_xlfn.BITAND(QUOTIENT(Table1[[#This Row],[Address (dec)]],4),HEX2DEC(G$1)),5)&amp;DEC2HEX(_xlfn.BITAND(HEX2DEC(Table1[[#This Row],[32b hex]]),HEX2DEC(G$2)),8),
"0", ""), "3", ""), "5", ""), "6", ""), "9", ""), "A", ""), "C", ""), "F", "")),2)</f>
        <v>0</v>
      </c>
      <c r="H55" s="2">
        <f ca="1">MOD(LEN(SUBSTITUTE( SUBSTITUTE( SUBSTITUTE( SUBSTITUTE( SUBSTITUTE( SUBSTITUTE( SUBSTITUTE( SUBSTITUTE(
    DEC2HEX(_xlfn.BITAND(QUOTIENT(Table1[[#This Row],[Address (dec)]],4),HEX2DEC(H$1)),5)&amp;DEC2HEX(_xlfn.BITAND(HEX2DEC(Table1[[#This Row],[32b hex]]),HEX2DEC(H$2)),8),
"0", ""), "3", ""), "5", ""), "6", ""), "9", ""), "A", ""), "C", ""), "F", "")),2)</f>
        <v>0</v>
      </c>
      <c r="I55" s="2">
        <f ca="1">MOD(LEN(SUBSTITUTE( SUBSTITUTE( SUBSTITUTE( SUBSTITUTE( SUBSTITUTE( SUBSTITUTE( SUBSTITUTE( SUBSTITUTE(
    DEC2HEX(_xlfn.BITAND(QUOTIENT(Table1[[#This Row],[Address (dec)]],4),HEX2DEC(I$1)),5)&amp;DEC2HEX(_xlfn.BITAND(HEX2DEC(Table1[[#This Row],[32b hex]]),HEX2DEC(I$2)),8),
"0", ""), "3", ""), "5", ""), "6", ""), "9", ""), "A", ""), "C", ""), "F", "")),2)</f>
        <v>1</v>
      </c>
      <c r="J55" s="2">
        <f ca="1">MOD(LEN(SUBSTITUTE( SUBSTITUTE( SUBSTITUTE( SUBSTITUTE( SUBSTITUTE( SUBSTITUTE( SUBSTITUTE( SUBSTITUTE(
    DEC2HEX(_xlfn.BITAND(QUOTIENT(Table1[[#This Row],[Address (dec)]],4),HEX2DEC(J$1)),5)&amp;DEC2HEX(_xlfn.BITAND(HEX2DEC(Table1[[#This Row],[32b hex]]),HEX2DEC(J$2)),8),
"0", ""), "3", ""), "5", ""), "6", ""), "9", ""), "A", ""), "C", ""), "F", "")),2)</f>
        <v>1</v>
      </c>
      <c r="K55" s="2">
        <f ca="1">MOD(LEN(SUBSTITUTE( SUBSTITUTE( SUBSTITUTE( SUBSTITUTE( SUBSTITUTE( SUBSTITUTE( SUBSTITUTE( SUBSTITUTE(
    DEC2HEX(_xlfn.BITAND(QUOTIENT(Table1[[#This Row],[Address (dec)]],4),HEX2DEC(K$1)),5)&amp;DEC2HEX(_xlfn.BITAND(HEX2DEC(Table1[[#This Row],[32b hex]]),HEX2DEC(K$2)),8),
"0", ""), "3", ""), "5", ""), "6", ""), "9", ""), "A", ""), "C", ""), "F", "")),2)</f>
        <v>1</v>
      </c>
      <c r="L55" s="2">
        <f ca="1">MOD(LEN(SUBSTITUTE( SUBSTITUTE( SUBSTITUTE( SUBSTITUTE( SUBSTITUTE( SUBSTITUTE( SUBSTITUTE( SUBSTITUTE(
    DEC2HEX(_xlfn.BITAND(QUOTIENT(Table1[[#This Row],[Address (dec)]],4),HEX2DEC(L$1)),5)&amp;DEC2HEX(_xlfn.BITAND(HEX2DEC(Table1[[#This Row],[32b hex]]),HEX2DEC(L$2)),8),
"0", ""), "3", ""), "5", ""), "6", ""), "9", ""), "A", ""), "C", ""), "F", "")),2)</f>
        <v>1</v>
      </c>
      <c r="M55" s="2">
        <f ca="1">MOD(LEN(SUBSTITUTE( SUBSTITUTE( SUBSTITUTE( SUBSTITUTE( SUBSTITUTE( SUBSTITUTE( SUBSTITUTE( SUBSTITUTE(
    DEC2HEX(_xlfn.BITAND(QUOTIENT(Table1[[#This Row],[Address (dec)]],4),HEX2DEC(M$1)),5)&amp;DEC2HEX(_xlfn.BITAND(HEX2DEC(Table1[[#This Row],[32b hex]]),HEX2DEC(M$2)),8),
"0", ""), "3", ""), "5", ""), "6", ""), "9", ""), "A", ""), "C", ""), "F", "")),2)</f>
        <v>0</v>
      </c>
      <c r="N55" s="94" t="str">
        <f ca="1">BIN2HEX(Table1[[#This Row],[ECC'[6']]]&amp;Table1[[#This Row],[ECC'[5']]]&amp;Table1[[#This Row],[ECC'[4']]]&amp;Table1[[#This Row],[ECC'[3']]]&amp;Table1[[#This Row],[ECC'[2']]]&amp;Table1[[#This Row],[ECC'[1']]]&amp;Table1[[#This Row],[ECC'[0']]],2)</f>
        <v>1E</v>
      </c>
      <c r="O55" s="103" t="str">
        <f ca="1">LOWER(Table1[[#This Row],[ECC (hex)]]&amp;Table1[[#This Row],[32b hex]])</f>
        <v>1e00000000</v>
      </c>
      <c r="P55" s="104" t="s">
        <v>414</v>
      </c>
      <c r="Q55" s="109" t="s">
        <v>416</v>
      </c>
      <c r="R55" s="107" t="str">
        <f>DEC2HEX(IF(IntelHexUseAbsAddr,MOD(Table1[[#This Row],[Address (dec)]],2^16),Table1[[#This Row],[DW_ADDRESS]]*4),4)</f>
        <v>10C4</v>
      </c>
      <c r="S55" s="111" t="s">
        <v>418</v>
      </c>
      <c r="T55" s="113" t="str">
        <f ca="1">UPPER(MID(Table1[[#This Row],[32b hex]],7,2)&amp;MID(Table1[[#This Row],[32b hex]],5,2)&amp;MID(Table1[[#This Row],[32b hex]],3,2)&amp;MID(Table1[[#This Row],[32b hex]],1,2))</f>
        <v>00000000</v>
      </c>
      <c r="U55" s="115" t="str">
        <f t="shared" ca="1" si="0"/>
        <v>28</v>
      </c>
      <c r="V55" s="103" t="str">
        <f t="shared" ca="1" si="1"/>
        <v>:0410C4000000000028</v>
      </c>
    </row>
    <row r="56" spans="1:22">
      <c r="A56" s="2">
        <v>4296</v>
      </c>
      <c r="B56" s="2" t="str">
        <f>"0x" &amp; DEC2HEX(Table1[[#This Row],[Address (dec)]],4)</f>
        <v>0x10C8</v>
      </c>
      <c r="C56" s="2" t="str">
        <f>DEC2HEX(SUMIFS(MemoryView!$D$4:$D$103,MemoryView!$A$4:$A$103,"0x"&amp;DEC2HEX(Output!$A56+2,4)),4)</f>
        <v>0000</v>
      </c>
      <c r="D56" s="2" t="str">
        <f>DEC2HEX(SUMIFS(MemoryView!$D$4:$D$103,MemoryView!$A$4:$A$103,"0x"&amp;DEC2HEX(Output!$A56,4)),4)</f>
        <v>0000</v>
      </c>
      <c r="E56" s="103" t="str">
        <f t="shared" si="2"/>
        <v>00000000</v>
      </c>
      <c r="F56" s="2">
        <v>50</v>
      </c>
      <c r="G56" s="2">
        <f>MOD(LEN(SUBSTITUTE( SUBSTITUTE( SUBSTITUTE( SUBSTITUTE( SUBSTITUTE( SUBSTITUTE( SUBSTITUTE( SUBSTITUTE(
    DEC2HEX(_xlfn.BITAND(QUOTIENT(Table1[[#This Row],[Address (dec)]],4),HEX2DEC(G$1)),5)&amp;DEC2HEX(_xlfn.BITAND(HEX2DEC(Table1[[#This Row],[32b hex]]),HEX2DEC(G$2)),8),
"0", ""), "3", ""), "5", ""), "6", ""), "9", ""), "A", ""), "C", ""), "F", "")),2)</f>
        <v>0</v>
      </c>
      <c r="H56" s="2">
        <f>MOD(LEN(SUBSTITUTE( SUBSTITUTE( SUBSTITUTE( SUBSTITUTE( SUBSTITUTE( SUBSTITUTE( SUBSTITUTE( SUBSTITUTE(
    DEC2HEX(_xlfn.BITAND(QUOTIENT(Table1[[#This Row],[Address (dec)]],4),HEX2DEC(H$1)),5)&amp;DEC2HEX(_xlfn.BITAND(HEX2DEC(Table1[[#This Row],[32b hex]]),HEX2DEC(H$2)),8),
"0", ""), "3", ""), "5", ""), "6", ""), "9", ""), "A", ""), "C", ""), "F", "")),2)</f>
        <v>1</v>
      </c>
      <c r="I56" s="2">
        <f>MOD(LEN(SUBSTITUTE( SUBSTITUTE( SUBSTITUTE( SUBSTITUTE( SUBSTITUTE( SUBSTITUTE( SUBSTITUTE( SUBSTITUTE(
    DEC2HEX(_xlfn.BITAND(QUOTIENT(Table1[[#This Row],[Address (dec)]],4),HEX2DEC(I$1)),5)&amp;DEC2HEX(_xlfn.BITAND(HEX2DEC(Table1[[#This Row],[32b hex]]),HEX2DEC(I$2)),8),
"0", ""), "3", ""), "5", ""), "6", ""), "9", ""), "A", ""), "C", ""), "F", "")),2)</f>
        <v>0</v>
      </c>
      <c r="J56" s="2">
        <f>MOD(LEN(SUBSTITUTE( SUBSTITUTE( SUBSTITUTE( SUBSTITUTE( SUBSTITUTE( SUBSTITUTE( SUBSTITUTE( SUBSTITUTE(
    DEC2HEX(_xlfn.BITAND(QUOTIENT(Table1[[#This Row],[Address (dec)]],4),HEX2DEC(J$1)),5)&amp;DEC2HEX(_xlfn.BITAND(HEX2DEC(Table1[[#This Row],[32b hex]]),HEX2DEC(J$2)),8),
"0", ""), "3", ""), "5", ""), "6", ""), "9", ""), "A", ""), "C", ""), "F", "")),2)</f>
        <v>1</v>
      </c>
      <c r="K56" s="2">
        <f>MOD(LEN(SUBSTITUTE( SUBSTITUTE( SUBSTITUTE( SUBSTITUTE( SUBSTITUTE( SUBSTITUTE( SUBSTITUTE( SUBSTITUTE(
    DEC2HEX(_xlfn.BITAND(QUOTIENT(Table1[[#This Row],[Address (dec)]],4),HEX2DEC(K$1)),5)&amp;DEC2HEX(_xlfn.BITAND(HEX2DEC(Table1[[#This Row],[32b hex]]),HEX2DEC(K$2)),8),
"0", ""), "3", ""), "5", ""), "6", ""), "9", ""), "A", ""), "C", ""), "F", "")),2)</f>
        <v>0</v>
      </c>
      <c r="L56" s="2">
        <f>MOD(LEN(SUBSTITUTE( SUBSTITUTE( SUBSTITUTE( SUBSTITUTE( SUBSTITUTE( SUBSTITUTE( SUBSTITUTE( SUBSTITUTE(
    DEC2HEX(_xlfn.BITAND(QUOTIENT(Table1[[#This Row],[Address (dec)]],4),HEX2DEC(L$1)),5)&amp;DEC2HEX(_xlfn.BITAND(HEX2DEC(Table1[[#This Row],[32b hex]]),HEX2DEC(L$2)),8),
"0", ""), "3", ""), "5", ""), "6", ""), "9", ""), "A", ""), "C", ""), "F", "")),2)</f>
        <v>0</v>
      </c>
      <c r="M56" s="2">
        <f>MOD(LEN(SUBSTITUTE( SUBSTITUTE( SUBSTITUTE( SUBSTITUTE( SUBSTITUTE( SUBSTITUTE( SUBSTITUTE( SUBSTITUTE(
    DEC2HEX(_xlfn.BITAND(QUOTIENT(Table1[[#This Row],[Address (dec)]],4),HEX2DEC(M$1)),5)&amp;DEC2HEX(_xlfn.BITAND(HEX2DEC(Table1[[#This Row],[32b hex]]),HEX2DEC(M$2)),8),
"0", ""), "3", ""), "5", ""), "6", ""), "9", ""), "A", ""), "C", ""), "F", "")),2)</f>
        <v>0</v>
      </c>
      <c r="N56" s="94" t="str">
        <f>BIN2HEX(Table1[[#This Row],[ECC'[6']]]&amp;Table1[[#This Row],[ECC'[5']]]&amp;Table1[[#This Row],[ECC'[4']]]&amp;Table1[[#This Row],[ECC'[3']]]&amp;Table1[[#This Row],[ECC'[2']]]&amp;Table1[[#This Row],[ECC'[1']]]&amp;Table1[[#This Row],[ECC'[0']]],2)</f>
        <v>28</v>
      </c>
      <c r="O56" s="103" t="str">
        <f>LOWER(Table1[[#This Row],[ECC (hex)]]&amp;Table1[[#This Row],[32b hex]])</f>
        <v>2800000000</v>
      </c>
      <c r="P56" s="104" t="s">
        <v>414</v>
      </c>
      <c r="Q56" s="109" t="s">
        <v>416</v>
      </c>
      <c r="R56" s="107" t="str">
        <f>DEC2HEX(IF(IntelHexUseAbsAddr,MOD(Table1[[#This Row],[Address (dec)]],2^16),Table1[[#This Row],[DW_ADDRESS]]*4),4)</f>
        <v>10C8</v>
      </c>
      <c r="S56" s="111" t="s">
        <v>418</v>
      </c>
      <c r="T56" s="113" t="str">
        <f>UPPER(MID(Table1[[#This Row],[32b hex]],7,2)&amp;MID(Table1[[#This Row],[32b hex]],5,2)&amp;MID(Table1[[#This Row],[32b hex]],3,2)&amp;MID(Table1[[#This Row],[32b hex]],1,2))</f>
        <v>00000000</v>
      </c>
      <c r="U56" s="115" t="str">
        <f t="shared" si="0"/>
        <v>24</v>
      </c>
      <c r="V56" s="103" t="str">
        <f t="shared" si="1"/>
        <v>:0410C8000000000024</v>
      </c>
    </row>
    <row r="57" spans="1:22">
      <c r="A57" s="2">
        <v>4300</v>
      </c>
      <c r="B57" s="2" t="str">
        <f>"0x" &amp; DEC2HEX(Table1[[#This Row],[Address (dec)]],4)</f>
        <v>0x10CC</v>
      </c>
      <c r="C57" s="2" t="str">
        <f>DEC2HEX(SUMIFS(MemoryView!$D$4:$D$103,MemoryView!$A$4:$A$103,"0x"&amp;DEC2HEX(Output!$A57+2,4)),4)</f>
        <v>0000</v>
      </c>
      <c r="D57" s="2" t="str">
        <f>DEC2HEX(SUMIFS(MemoryView!$D$4:$D$103,MemoryView!$A$4:$A$103,"0x"&amp;DEC2HEX(Output!$A57,4)),4)</f>
        <v>0000</v>
      </c>
      <c r="E57" s="103" t="str">
        <f t="shared" si="2"/>
        <v>00000000</v>
      </c>
      <c r="F57" s="2">
        <v>51</v>
      </c>
      <c r="G57" s="2">
        <f>MOD(LEN(SUBSTITUTE( SUBSTITUTE( SUBSTITUTE( SUBSTITUTE( SUBSTITUTE( SUBSTITUTE( SUBSTITUTE( SUBSTITUTE(
    DEC2HEX(_xlfn.BITAND(QUOTIENT(Table1[[#This Row],[Address (dec)]],4),HEX2DEC(G$1)),5)&amp;DEC2HEX(_xlfn.BITAND(HEX2DEC(Table1[[#This Row],[32b hex]]),HEX2DEC(G$2)),8),
"0", ""), "3", ""), "5", ""), "6", ""), "9", ""), "A", ""), "C", ""), "F", "")),2)</f>
        <v>1</v>
      </c>
      <c r="H57" s="2">
        <f>MOD(LEN(SUBSTITUTE( SUBSTITUTE( SUBSTITUTE( SUBSTITUTE( SUBSTITUTE( SUBSTITUTE( SUBSTITUTE( SUBSTITUTE(
    DEC2HEX(_xlfn.BITAND(QUOTIENT(Table1[[#This Row],[Address (dec)]],4),HEX2DEC(H$1)),5)&amp;DEC2HEX(_xlfn.BITAND(HEX2DEC(Table1[[#This Row],[32b hex]]),HEX2DEC(H$2)),8),
"0", ""), "3", ""), "5", ""), "6", ""), "9", ""), "A", ""), "C", ""), "F", "")),2)</f>
        <v>0</v>
      </c>
      <c r="I57" s="2">
        <f>MOD(LEN(SUBSTITUTE( SUBSTITUTE( SUBSTITUTE( SUBSTITUTE( SUBSTITUTE( SUBSTITUTE( SUBSTITUTE( SUBSTITUTE(
    DEC2HEX(_xlfn.BITAND(QUOTIENT(Table1[[#This Row],[Address (dec)]],4),HEX2DEC(I$1)),5)&amp;DEC2HEX(_xlfn.BITAND(HEX2DEC(Table1[[#This Row],[32b hex]]),HEX2DEC(I$2)),8),
"0", ""), "3", ""), "5", ""), "6", ""), "9", ""), "A", ""), "C", ""), "F", "")),2)</f>
        <v>0</v>
      </c>
      <c r="J57" s="2">
        <f>MOD(LEN(SUBSTITUTE( SUBSTITUTE( SUBSTITUTE( SUBSTITUTE( SUBSTITUTE( SUBSTITUTE( SUBSTITUTE( SUBSTITUTE(
    DEC2HEX(_xlfn.BITAND(QUOTIENT(Table1[[#This Row],[Address (dec)]],4),HEX2DEC(J$1)),5)&amp;DEC2HEX(_xlfn.BITAND(HEX2DEC(Table1[[#This Row],[32b hex]]),HEX2DEC(J$2)),8),
"0", ""), "3", ""), "5", ""), "6", ""), "9", ""), "A", ""), "C", ""), "F", "")),2)</f>
        <v>0</v>
      </c>
      <c r="K57" s="2">
        <f>MOD(LEN(SUBSTITUTE( SUBSTITUTE( SUBSTITUTE( SUBSTITUTE( SUBSTITUTE( SUBSTITUTE( SUBSTITUTE( SUBSTITUTE(
    DEC2HEX(_xlfn.BITAND(QUOTIENT(Table1[[#This Row],[Address (dec)]],4),HEX2DEC(K$1)),5)&amp;DEC2HEX(_xlfn.BITAND(HEX2DEC(Table1[[#This Row],[32b hex]]),HEX2DEC(K$2)),8),
"0", ""), "3", ""), "5", ""), "6", ""), "9", ""), "A", ""), "C", ""), "F", "")),2)</f>
        <v>0</v>
      </c>
      <c r="L57" s="2">
        <f>MOD(LEN(SUBSTITUTE( SUBSTITUTE( SUBSTITUTE( SUBSTITUTE( SUBSTITUTE( SUBSTITUTE( SUBSTITUTE( SUBSTITUTE(
    DEC2HEX(_xlfn.BITAND(QUOTIENT(Table1[[#This Row],[Address (dec)]],4),HEX2DEC(L$1)),5)&amp;DEC2HEX(_xlfn.BITAND(HEX2DEC(Table1[[#This Row],[32b hex]]),HEX2DEC(L$2)),8),
"0", ""), "3", ""), "5", ""), "6", ""), "9", ""), "A", ""), "C", ""), "F", "")),2)</f>
        <v>1</v>
      </c>
      <c r="M57" s="2">
        <f>MOD(LEN(SUBSTITUTE( SUBSTITUTE( SUBSTITUTE( SUBSTITUTE( SUBSTITUTE( SUBSTITUTE( SUBSTITUTE( SUBSTITUTE(
    DEC2HEX(_xlfn.BITAND(QUOTIENT(Table1[[#This Row],[Address (dec)]],4),HEX2DEC(M$1)),5)&amp;DEC2HEX(_xlfn.BITAND(HEX2DEC(Table1[[#This Row],[32b hex]]),HEX2DEC(M$2)),8),
"0", ""), "3", ""), "5", ""), "6", ""), "9", ""), "A", ""), "C", ""), "F", "")),2)</f>
        <v>1</v>
      </c>
      <c r="N57" s="94" t="str">
        <f>BIN2HEX(Table1[[#This Row],[ECC'[6']]]&amp;Table1[[#This Row],[ECC'[5']]]&amp;Table1[[#This Row],[ECC'[4']]]&amp;Table1[[#This Row],[ECC'[3']]]&amp;Table1[[#This Row],[ECC'[2']]]&amp;Table1[[#This Row],[ECC'[1']]]&amp;Table1[[#This Row],[ECC'[0']]],2)</f>
        <v>43</v>
      </c>
      <c r="O57" s="103" t="str">
        <f>LOWER(Table1[[#This Row],[ECC (hex)]]&amp;Table1[[#This Row],[32b hex]])</f>
        <v>4300000000</v>
      </c>
      <c r="P57" s="104" t="s">
        <v>414</v>
      </c>
      <c r="Q57" s="109" t="s">
        <v>416</v>
      </c>
      <c r="R57" s="107" t="str">
        <f>DEC2HEX(IF(IntelHexUseAbsAddr,MOD(Table1[[#This Row],[Address (dec)]],2^16),Table1[[#This Row],[DW_ADDRESS]]*4),4)</f>
        <v>10CC</v>
      </c>
      <c r="S57" s="111" t="s">
        <v>418</v>
      </c>
      <c r="T57" s="113" t="str">
        <f>UPPER(MID(Table1[[#This Row],[32b hex]],7,2)&amp;MID(Table1[[#This Row],[32b hex]],5,2)&amp;MID(Table1[[#This Row],[32b hex]],3,2)&amp;MID(Table1[[#This Row],[32b hex]],1,2))</f>
        <v>00000000</v>
      </c>
      <c r="U57" s="115" t="str">
        <f t="shared" si="0"/>
        <v>20</v>
      </c>
      <c r="V57" s="103" t="str">
        <f t="shared" si="1"/>
        <v>:0410CC000000000020</v>
      </c>
    </row>
    <row r="58" spans="1:22" ht="15">
      <c r="B58" s="94"/>
      <c r="C58" s="94"/>
      <c r="D58" s="94"/>
      <c r="E58" s="118" t="s">
        <v>425</v>
      </c>
      <c r="G58" s="94"/>
      <c r="H58" s="94"/>
      <c r="I58" s="94"/>
      <c r="J58" s="94"/>
      <c r="K58" s="94"/>
      <c r="L58" s="94"/>
      <c r="M58" s="94"/>
      <c r="N58" s="94"/>
      <c r="O58" s="120" t="s">
        <v>427</v>
      </c>
      <c r="P58" s="104" t="s">
        <v>414</v>
      </c>
      <c r="Q58" s="109" t="s">
        <v>416</v>
      </c>
      <c r="R58" s="121" t="s">
        <v>419</v>
      </c>
      <c r="S58" s="111" t="s">
        <v>431</v>
      </c>
      <c r="T58" s="113" t="str">
        <f>DEC2HEX(IF(IntelHexUseAbsAddr,StartAddress,0),8)</f>
        <v>00001000</v>
      </c>
      <c r="U58" s="115" t="str">
        <f t="shared" ref="U58" si="3">DEC2HEX(MOD(2^8-(HEX2DEC(Q58)+QUOTIENT(HEX2DEC(R58),2^8)+HEX2DEC(R58)+HEX2DEC(S58)+QUOTIENT(HEX2DEC(T58),2^24)+QUOTIENT(HEX2DEC(T58),2^16)+QUOTIENT(HEX2DEC(T58),2^8)+HEX2DEC(T58)),2^8),2)</f>
        <v>E7</v>
      </c>
      <c r="V58" s="103" t="str">
        <f t="shared" ref="V58" si="4">CONCATENATE(P58,Q58,R58,S58,T58,U58)</f>
        <v>:0400000500001000E7</v>
      </c>
    </row>
    <row r="59" spans="1:22">
      <c r="P59" s="104" t="s">
        <v>414</v>
      </c>
      <c r="Q59" s="109" t="s">
        <v>418</v>
      </c>
      <c r="R59" s="106" t="s">
        <v>419</v>
      </c>
      <c r="S59" s="111" t="s">
        <v>420</v>
      </c>
      <c r="T59" s="113"/>
      <c r="U59" s="115" t="str">
        <f>DEC2HEX(MOD(2^8-(HEX2DEC(Q59)+QUOTIENT(HEX2DEC(R59),2^8)+HEX2DEC(R59)+HEX2DEC(S59)+QUOTIENT(HEX2DEC(T59),2^24)+QUOTIENT(HEX2DEC(T59),2^16)+QUOTIENT(HEX2DEC(T59),2^8)+HEX2DEC(T59)),2^8),2)</f>
        <v>FF</v>
      </c>
      <c r="V59" s="103" t="str">
        <f t="shared" ref="V59" si="5">CONCATENATE(P59,Q59,R59,S59,T59,U59)</f>
        <v>:00000001FF</v>
      </c>
    </row>
    <row r="60" spans="1:22">
      <c r="P60" s="104"/>
      <c r="Q60" s="108"/>
      <c r="R60" s="105"/>
      <c r="S60" s="110"/>
      <c r="T60" s="112"/>
      <c r="U60" s="114"/>
      <c r="V60" s="116" t="s">
        <v>428</v>
      </c>
    </row>
  </sheetData>
  <mergeCells count="1">
    <mergeCell ref="P2:V2"/>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MJ316"/>
  <sheetViews>
    <sheetView topLeftCell="A299" zoomScaleNormal="100" workbookViewId="0">
      <selection activeCell="B341" sqref="B341"/>
    </sheetView>
  </sheetViews>
  <sheetFormatPr defaultColWidth="9.140625" defaultRowHeight="12.75"/>
  <cols>
    <col min="1" max="1" width="72" style="98" customWidth="1"/>
    <col min="2" max="2" width="14.5703125" style="101" customWidth="1"/>
    <col min="3" max="3" width="12.140625" style="98" customWidth="1"/>
    <col min="4" max="6" width="9.140625" style="101"/>
    <col min="7" max="7" width="55.85546875" style="98" customWidth="1"/>
    <col min="8" max="1024" width="9.140625" style="98"/>
    <col min="1025" max="16384" width="9.140625" style="2"/>
  </cols>
  <sheetData>
    <row r="1" spans="1:7">
      <c r="A1" s="96" t="s">
        <v>402</v>
      </c>
      <c r="B1" s="97" t="s">
        <v>403</v>
      </c>
      <c r="C1" s="97" t="s">
        <v>36</v>
      </c>
      <c r="D1" s="97" t="s">
        <v>404</v>
      </c>
      <c r="E1" s="97" t="s">
        <v>405</v>
      </c>
      <c r="F1" s="97" t="s">
        <v>406</v>
      </c>
      <c r="G1" s="96" t="s">
        <v>407</v>
      </c>
    </row>
    <row r="2" spans="1:7">
      <c r="A2" s="99" t="str">
        <f ca="1">SUBSTITUTE(UPPER(IF(INDIRECT("'NVRAM map'!"&amp;ADDRESS(ROW()+2,COLUMN('NVRAM map'!AG:AG)))="-",INDIRECT("'NVRAM map'!"&amp;ADDRESS(ROW()+2,COLUMN('NVRAM map'!AS:AS))),INDIRECT("'NVRAM map'!"&amp;ADDRESS(ROW()+2,COLUMN('NVRAM map'!AS:AS)))&amp;"_"&amp;INDIRECT("'NVRAM map'!"&amp;ADDRESS(ROW()+2,COLUMN('NVRAM map'!AG:AG))))),"__","_")</f>
        <v>EE_CHECKSUM</v>
      </c>
      <c r="B2" s="100" t="str">
        <f ca="1">IF(OR(INDIRECT("'NVRAM map'!"&amp;ADDRESS(ROW()+2,COLUMN('NVRAM map'!D:D)))="-",A2="_"),"x","")</f>
        <v>x</v>
      </c>
      <c r="C2" s="100" t="str">
        <f ca="1">IF(B2="x","FIXED",INDIRECT("'NVRAM map'!"&amp;ADDRESS(ROW()+2,COLUMN('NVRAM map'!I:I))))</f>
        <v>FIXED</v>
      </c>
      <c r="D2" s="100" t="str">
        <f ca="1">IF(C2="FIXED","",INDIRECT("'NVRAM map'!"&amp;ADDRESS(ROW()+2,COLUMN('NVRAM map'!K:K))))</f>
        <v/>
      </c>
      <c r="E2" s="100" t="str">
        <f ca="1">IF(C2="FIXED","",INDIRECT("'NVRAM map'!"&amp;ADDRESS(ROW()+2,COLUMN('NVRAM map'!L:L))))</f>
        <v/>
      </c>
      <c r="F2" s="100">
        <f ca="1">IF(C2="FIXED",INDIRECT("'NVRAM map'!"&amp;ADDRESS(ROW()+2,COLUMN('NVRAM map'!AM:AM))),"")</f>
        <v>0</v>
      </c>
      <c r="G2" s="99"/>
    </row>
    <row r="3" spans="1:7">
      <c r="A3" s="99" t="str">
        <f ca="1">SUBSTITUTE(UPPER(IF(INDIRECT("'NVRAM map'!"&amp;ADDRESS(ROW()+2,COLUMN('NVRAM map'!AG:AG)))="-",INDIRECT("'NVRAM map'!"&amp;ADDRESS(ROW()+2,COLUMN('NVRAM map'!AS:AS))),INDIRECT("'NVRAM map'!"&amp;ADDRESS(ROW()+2,COLUMN('NVRAM map'!AS:AS)))&amp;"_"&amp;INDIRECT("'NVRAM map'!"&amp;ADDRESS(ROW()+2,COLUMN('NVRAM map'!AG:AG))))),"__","_")</f>
        <v>EE_CHECKSUM_EEPROM_CHECKSUM</v>
      </c>
      <c r="B3" s="100" t="str">
        <f ca="1">IF(OR(INDIRECT("'NVRAM map'!"&amp;ADDRESS(ROW()+2,COLUMN('NVRAM map'!D:D)))="-",A3="_"),"x","")</f>
        <v/>
      </c>
      <c r="C3" s="100" t="str">
        <f ca="1">IF(B3="x","FIXED",INDIRECT("'NVRAM map'!"&amp;ADDRESS(ROW()+2,COLUMN('NVRAM map'!I:I))))</f>
        <v>CRC</v>
      </c>
      <c r="D3" s="100">
        <f ca="1">IF(C3="FIXED","",INDIRECT("'NVRAM map'!"&amp;ADDRESS(ROW()+2,COLUMN('NVRAM map'!K:K))))</f>
        <v>0</v>
      </c>
      <c r="E3" s="100">
        <f ca="1">IF(C3="FIXED","",INDIRECT("'NVRAM map'!"&amp;ADDRESS(ROW()+2,COLUMN('NVRAM map'!L:L))))</f>
        <v>65535</v>
      </c>
      <c r="F3" s="100" t="str">
        <f ca="1">IF(C3="FIXED",INDIRECT("'NVRAM map'!"&amp;ADDRESS(ROW()+2,COLUMN('NVRAM map'!AM:AM))),"")</f>
        <v/>
      </c>
      <c r="G3" s="99"/>
    </row>
    <row r="4" spans="1:7">
      <c r="A4" s="99" t="str">
        <f ca="1">SUBSTITUTE(UPPER(IF(INDIRECT("'NVRAM map'!"&amp;ADDRESS(ROW()+2,COLUMN('NVRAM map'!AG:AG)))="-",INDIRECT("'NVRAM map'!"&amp;ADDRESS(ROW()+2,COLUMN('NVRAM map'!AS:AS))),INDIRECT("'NVRAM map'!"&amp;ADDRESS(ROW()+2,COLUMN('NVRAM map'!AS:AS)))&amp;"_"&amp;INDIRECT("'NVRAM map'!"&amp;ADDRESS(ROW()+2,COLUMN('NVRAM map'!AG:AG))))),"__","_")</f>
        <v>EE_GEN_CTRL1</v>
      </c>
      <c r="B4" s="100" t="str">
        <f ca="1">IF(OR(INDIRECT("'NVRAM map'!"&amp;ADDRESS(ROW()+2,COLUMN('NVRAM map'!D:D)))="-",A4="_"),"x","")</f>
        <v>x</v>
      </c>
      <c r="C4" s="100" t="str">
        <f ca="1">IF(B4="x","FIXED",INDIRECT("'NVRAM map'!"&amp;ADDRESS(ROW()+2,COLUMN('NVRAM map'!I:I))))</f>
        <v>FIXED</v>
      </c>
      <c r="D4" s="100" t="str">
        <f ca="1">IF(C4="FIXED","",INDIRECT("'NVRAM map'!"&amp;ADDRESS(ROW()+2,COLUMN('NVRAM map'!K:K))))</f>
        <v/>
      </c>
      <c r="E4" s="100" t="str">
        <f ca="1">IF(C4="FIXED","",INDIRECT("'NVRAM map'!"&amp;ADDRESS(ROW()+2,COLUMN('NVRAM map'!L:L))))</f>
        <v/>
      </c>
      <c r="F4" s="100">
        <f ca="1">IF(C4="FIXED",INDIRECT("'NVRAM map'!"&amp;ADDRESS(ROW()+2,COLUMN('NVRAM map'!AM:AM))),"")</f>
        <v>0</v>
      </c>
      <c r="G4" s="99"/>
    </row>
    <row r="5" spans="1:7">
      <c r="A5" s="99" t="str">
        <f ca="1">SUBSTITUTE(UPPER(IF(INDIRECT("'NVRAM map'!"&amp;ADDRESS(ROW()+2,COLUMN('NVRAM map'!AG:AG)))="-",INDIRECT("'NVRAM map'!"&amp;ADDRESS(ROW()+2,COLUMN('NVRAM map'!AS:AS))),INDIRECT("'NVRAM map'!"&amp;ADDRESS(ROW()+2,COLUMN('NVRAM map'!AS:AS)))&amp;"_"&amp;INDIRECT("'NVRAM map'!"&amp;ADDRESS(ROW()+2,COLUMN('NVRAM map'!AG:AG))))),"__","_")</f>
        <v>EE_GEN_CTRL1_EE_LOCK</v>
      </c>
      <c r="B5" s="100" t="str">
        <f ca="1">IF(OR(INDIRECT("'NVRAM map'!"&amp;ADDRESS(ROW()+2,COLUMN('NVRAM map'!D:D)))="-",A5="_"),"x","")</f>
        <v/>
      </c>
      <c r="C5" s="100" t="str">
        <f ca="1">IF(B5="x","FIXED",INDIRECT("'NVRAM map'!"&amp;ADDRESS(ROW()+2,COLUMN('NVRAM map'!I:I))))</f>
        <v>FIXED</v>
      </c>
      <c r="D5" s="100" t="str">
        <f ca="1">IF(C5="FIXED","",INDIRECT("'NVRAM map'!"&amp;ADDRESS(ROW()+2,COLUMN('NVRAM map'!K:K))))</f>
        <v/>
      </c>
      <c r="E5" s="100" t="str">
        <f ca="1">IF(C5="FIXED","",INDIRECT("'NVRAM map'!"&amp;ADDRESS(ROW()+2,COLUMN('NVRAM map'!L:L))))</f>
        <v/>
      </c>
      <c r="F5" s="100">
        <f ca="1">IF(C5="FIXED",INDIRECT("'NVRAM map'!"&amp;ADDRESS(ROW()+2,COLUMN('NVRAM map'!AM:AM))),"")</f>
        <v>1</v>
      </c>
      <c r="G5" s="99"/>
    </row>
    <row r="6" spans="1:7">
      <c r="A6" s="99" t="str">
        <f ca="1">SUBSTITUTE(UPPER(IF(INDIRECT("'NVRAM map'!"&amp;ADDRESS(ROW()+2,COLUMN('NVRAM map'!AG:AG)))="-",INDIRECT("'NVRAM map'!"&amp;ADDRESS(ROW()+2,COLUMN('NVRAM map'!AS:AS))),INDIRECT("'NVRAM map'!"&amp;ADDRESS(ROW()+2,COLUMN('NVRAM map'!AS:AS)))&amp;"_"&amp;INDIRECT("'NVRAM map'!"&amp;ADDRESS(ROW()+2,COLUMN('NVRAM map'!AG:AG))))),"__","_")</f>
        <v>EE_GEN_CTRL1_GEN_CTRL1_RESERVED</v>
      </c>
      <c r="B6" s="100" t="str">
        <f ca="1">IF(OR(INDIRECT("'NVRAM map'!"&amp;ADDRESS(ROW()+2,COLUMN('NVRAM map'!D:D)))="-",A6="_"),"x","")</f>
        <v/>
      </c>
      <c r="C6" s="100" t="str">
        <f ca="1">IF(B6="x","FIXED",INDIRECT("'NVRAM map'!"&amp;ADDRESS(ROW()+2,COLUMN('NVRAM map'!I:I))))</f>
        <v>FIXED</v>
      </c>
      <c r="D6" s="100" t="str">
        <f ca="1">IF(C6="FIXED","",INDIRECT("'NVRAM map'!"&amp;ADDRESS(ROW()+2,COLUMN('NVRAM map'!K:K))))</f>
        <v/>
      </c>
      <c r="E6" s="100" t="str">
        <f ca="1">IF(C6="FIXED","",INDIRECT("'NVRAM map'!"&amp;ADDRESS(ROW()+2,COLUMN('NVRAM map'!L:L))))</f>
        <v/>
      </c>
      <c r="F6" s="100">
        <f ca="1">IF(C6="FIXED",INDIRECT("'NVRAM map'!"&amp;ADDRESS(ROW()+2,COLUMN('NVRAM map'!AM:AM))),"")</f>
        <v>0</v>
      </c>
      <c r="G6" s="99"/>
    </row>
    <row r="7" spans="1:7">
      <c r="A7" s="99" t="str">
        <f ca="1">SUBSTITUTE(UPPER(IF(INDIRECT("'NVRAM map'!"&amp;ADDRESS(ROW()+2,COLUMN('NVRAM map'!AG:AG)))="-",INDIRECT("'NVRAM map'!"&amp;ADDRESS(ROW()+2,COLUMN('NVRAM map'!AS:AS))),INDIRECT("'NVRAM map'!"&amp;ADDRESS(ROW()+2,COLUMN('NVRAM map'!AS:AS)))&amp;"_"&amp;INDIRECT("'NVRAM map'!"&amp;ADDRESS(ROW()+2,COLUMN('NVRAM map'!AG:AG))))),"__","_")</f>
        <v>EE_GEN_CTRL1_DIS_TEMP_BUFF</v>
      </c>
      <c r="B7" s="100" t="str">
        <f ca="1">IF(OR(INDIRECT("'NVRAM map'!"&amp;ADDRESS(ROW()+2,COLUMN('NVRAM map'!D:D)))="-",A7="_"),"x","")</f>
        <v/>
      </c>
      <c r="C7" s="100" t="str">
        <f ca="1">IF(B7="x","FIXED",INDIRECT("'NVRAM map'!"&amp;ADDRESS(ROW()+2,COLUMN('NVRAM map'!I:I))))</f>
        <v>FIXED</v>
      </c>
      <c r="D7" s="100" t="str">
        <f ca="1">IF(C7="FIXED","",INDIRECT("'NVRAM map'!"&amp;ADDRESS(ROW()+2,COLUMN('NVRAM map'!K:K))))</f>
        <v/>
      </c>
      <c r="E7" s="100" t="str">
        <f ca="1">IF(C7="FIXED","",INDIRECT("'NVRAM map'!"&amp;ADDRESS(ROW()+2,COLUMN('NVRAM map'!L:L))))</f>
        <v/>
      </c>
      <c r="F7" s="100">
        <f ca="1">IF(C7="FIXED",INDIRECT("'NVRAM map'!"&amp;ADDRESS(ROW()+2,COLUMN('NVRAM map'!AM:AM))),"")</f>
        <v>0</v>
      </c>
      <c r="G7" s="99"/>
    </row>
    <row r="8" spans="1:7">
      <c r="A8" s="99" t="str">
        <f ca="1">SUBSTITUTE(UPPER(IF(INDIRECT("'NVRAM map'!"&amp;ADDRESS(ROW()+2,COLUMN('NVRAM map'!AG:AG)))="-",INDIRECT("'NVRAM map'!"&amp;ADDRESS(ROW()+2,COLUMN('NVRAM map'!AS:AS))),INDIRECT("'NVRAM map'!"&amp;ADDRESS(ROW()+2,COLUMN('NVRAM map'!AS:AS)))&amp;"_"&amp;INDIRECT("'NVRAM map'!"&amp;ADDRESS(ROW()+2,COLUMN('NVRAM map'!AG:AG))))),"__","_")</f>
        <v>EE_GEN_CTRL1_PAVG_GAIN_SEL</v>
      </c>
      <c r="B8" s="100" t="str">
        <f ca="1">IF(OR(INDIRECT("'NVRAM map'!"&amp;ADDRESS(ROW()+2,COLUMN('NVRAM map'!D:D)))="-",A8="_"),"x","")</f>
        <v/>
      </c>
      <c r="C8" s="100" t="str">
        <f ca="1">IF(B8="x","FIXED",INDIRECT("'NVRAM map'!"&amp;ADDRESS(ROW()+2,COLUMN('NVRAM map'!I:I))))</f>
        <v>FIXED</v>
      </c>
      <c r="D8" s="100" t="str">
        <f ca="1">IF(C8="FIXED","",INDIRECT("'NVRAM map'!"&amp;ADDRESS(ROW()+2,COLUMN('NVRAM map'!K:K))))</f>
        <v/>
      </c>
      <c r="E8" s="100" t="str">
        <f ca="1">IF(C8="FIXED","",INDIRECT("'NVRAM map'!"&amp;ADDRESS(ROW()+2,COLUMN('NVRAM map'!L:L))))</f>
        <v/>
      </c>
      <c r="F8" s="100">
        <f ca="1">IF(C8="FIXED",INDIRECT("'NVRAM map'!"&amp;ADDRESS(ROW()+2,COLUMN('NVRAM map'!AM:AM))),"")</f>
        <v>1</v>
      </c>
      <c r="G8" s="99"/>
    </row>
    <row r="9" spans="1:7">
      <c r="A9" s="99" t="str">
        <f ca="1">SUBSTITUTE(UPPER(IF(INDIRECT("'NVRAM map'!"&amp;ADDRESS(ROW()+2,COLUMN('NVRAM map'!AG:AG)))="-",INDIRECT("'NVRAM map'!"&amp;ADDRESS(ROW()+2,COLUMN('NVRAM map'!AS:AS))),INDIRECT("'NVRAM map'!"&amp;ADDRESS(ROW()+2,COLUMN('NVRAM map'!AS:AS)))&amp;"_"&amp;INDIRECT("'NVRAM map'!"&amp;ADDRESS(ROW()+2,COLUMN('NVRAM map'!AG:AG))))),"__","_")</f>
        <v>EE_GEN_CTRL1_SEL_PRESSURE_RANGE</v>
      </c>
      <c r="B9" s="100" t="str">
        <f ca="1">IF(OR(INDIRECT("'NVRAM map'!"&amp;ADDRESS(ROW()+2,COLUMN('NVRAM map'!D:D)))="-",A9="_"),"x","")</f>
        <v/>
      </c>
      <c r="C9" s="100" t="str">
        <f ca="1">IF(B9="x","FIXED",INDIRECT("'NVRAM map'!"&amp;ADDRESS(ROW()+2,COLUMN('NVRAM map'!I:I))))</f>
        <v>FIXED</v>
      </c>
      <c r="D9" s="100" t="str">
        <f ca="1">IF(C9="FIXED","",INDIRECT("'NVRAM map'!"&amp;ADDRESS(ROW()+2,COLUMN('NVRAM map'!K:K))))</f>
        <v/>
      </c>
      <c r="E9" s="100" t="str">
        <f ca="1">IF(C9="FIXED","",INDIRECT("'NVRAM map'!"&amp;ADDRESS(ROW()+2,COLUMN('NVRAM map'!L:L))))</f>
        <v/>
      </c>
      <c r="F9" s="100">
        <f ca="1">IF(C9="FIXED",INDIRECT("'NVRAM map'!"&amp;ADDRESS(ROW()+2,COLUMN('NVRAM map'!AM:AM))),"")</f>
        <v>0</v>
      </c>
      <c r="G9" s="99"/>
    </row>
    <row r="10" spans="1:7">
      <c r="A10" s="99" t="str">
        <f ca="1">SUBSTITUTE(UPPER(IF(INDIRECT("'NVRAM map'!"&amp;ADDRESS(ROW()+2,COLUMN('NVRAM map'!AG:AG)))="-",INDIRECT("'NVRAM map'!"&amp;ADDRESS(ROW()+2,COLUMN('NVRAM map'!AS:AS))),INDIRECT("'NVRAM map'!"&amp;ADDRESS(ROW()+2,COLUMN('NVRAM map'!AS:AS)))&amp;"_"&amp;INDIRECT("'NVRAM map'!"&amp;ADDRESS(ROW()+2,COLUMN('NVRAM map'!AG:AG))))),"__","_")</f>
        <v>EE_GEN_CTRL1_SEL_TEMP_SENS_TDEV</v>
      </c>
      <c r="B10" s="100" t="str">
        <f ca="1">IF(OR(INDIRECT("'NVRAM map'!"&amp;ADDRESS(ROW()+2,COLUMN('NVRAM map'!D:D)))="-",A10="_"),"x","")</f>
        <v/>
      </c>
      <c r="C10" s="100" t="str">
        <f ca="1">IF(B10="x","FIXED",INDIRECT("'NVRAM map'!"&amp;ADDRESS(ROW()+2,COLUMN('NVRAM map'!I:I))))</f>
        <v>FIXED</v>
      </c>
      <c r="D10" s="100" t="str">
        <f ca="1">IF(C10="FIXED","",INDIRECT("'NVRAM map'!"&amp;ADDRESS(ROW()+2,COLUMN('NVRAM map'!K:K))))</f>
        <v/>
      </c>
      <c r="E10" s="100" t="str">
        <f ca="1">IF(C10="FIXED","",INDIRECT("'NVRAM map'!"&amp;ADDRESS(ROW()+2,COLUMN('NVRAM map'!L:L))))</f>
        <v/>
      </c>
      <c r="F10" s="100">
        <f ca="1">IF(C10="FIXED",INDIRECT("'NVRAM map'!"&amp;ADDRESS(ROW()+2,COLUMN('NVRAM map'!AM:AM))),"")</f>
        <v>1</v>
      </c>
      <c r="G10" s="99"/>
    </row>
    <row r="11" spans="1:7">
      <c r="A11" s="99" t="str">
        <f ca="1">SUBSTITUTE(UPPER(IF(INDIRECT("'NVRAM map'!"&amp;ADDRESS(ROW()+2,COLUMN('NVRAM map'!AG:AG)))="-",INDIRECT("'NVRAM map'!"&amp;ADDRESS(ROW()+2,COLUMN('NVRAM map'!AS:AS))),INDIRECT("'NVRAM map'!"&amp;ADDRESS(ROW()+2,COLUMN('NVRAM map'!AS:AS)))&amp;"_"&amp;INDIRECT("'NVRAM map'!"&amp;ADDRESS(ROW()+2,COLUMN('NVRAM map'!AG:AG))))),"__","_")</f>
        <v>EE_GEN_CTRL1_SEL_TEMP_SENS_PRES</v>
      </c>
      <c r="B11" s="100" t="str">
        <f ca="1">IF(OR(INDIRECT("'NVRAM map'!"&amp;ADDRESS(ROW()+2,COLUMN('NVRAM map'!D:D)))="-",A11="_"),"x","")</f>
        <v/>
      </c>
      <c r="C11" s="100" t="str">
        <f ca="1">IF(B11="x","FIXED",INDIRECT("'NVRAM map'!"&amp;ADDRESS(ROW()+2,COLUMN('NVRAM map'!I:I))))</f>
        <v>FIXED</v>
      </c>
      <c r="D11" s="100" t="str">
        <f ca="1">IF(C11="FIXED","",INDIRECT("'NVRAM map'!"&amp;ADDRESS(ROW()+2,COLUMN('NVRAM map'!K:K))))</f>
        <v/>
      </c>
      <c r="E11" s="100" t="str">
        <f ca="1">IF(C11="FIXED","",INDIRECT("'NVRAM map'!"&amp;ADDRESS(ROW()+2,COLUMN('NVRAM map'!L:L))))</f>
        <v/>
      </c>
      <c r="F11" s="100">
        <f ca="1">IF(C11="FIXED",INDIRECT("'NVRAM map'!"&amp;ADDRESS(ROW()+2,COLUMN('NVRAM map'!AM:AM))),"")</f>
        <v>0</v>
      </c>
      <c r="G11" s="99"/>
    </row>
    <row r="12" spans="1:7">
      <c r="A12" s="99" t="str">
        <f ca="1">SUBSTITUTE(UPPER(IF(INDIRECT("'NVRAM map'!"&amp;ADDRESS(ROW()+2,COLUMN('NVRAM map'!AG:AG)))="-",INDIRECT("'NVRAM map'!"&amp;ADDRESS(ROW()+2,COLUMN('NVRAM map'!AS:AS))),INDIRECT("'NVRAM map'!"&amp;ADDRESS(ROW()+2,COLUMN('NVRAM map'!AS:AS)))&amp;"_"&amp;INDIRECT("'NVRAM map'!"&amp;ADDRESS(ROW()+2,COLUMN('NVRAM map'!AG:AG))))),"__","_")</f>
        <v>EE_GEN_CTRL1_NTC_LOW_POWER_MODE</v>
      </c>
      <c r="B12" s="100" t="str">
        <f ca="1">IF(OR(INDIRECT("'NVRAM map'!"&amp;ADDRESS(ROW()+2,COLUMN('NVRAM map'!D:D)))="-",A12="_"),"x","")</f>
        <v/>
      </c>
      <c r="C12" s="100" t="str">
        <f ca="1">IF(B12="x","FIXED",INDIRECT("'NVRAM map'!"&amp;ADDRESS(ROW()+2,COLUMN('NVRAM map'!I:I))))</f>
        <v>FIXED</v>
      </c>
      <c r="D12" s="100" t="str">
        <f ca="1">IF(C12="FIXED","",INDIRECT("'NVRAM map'!"&amp;ADDRESS(ROW()+2,COLUMN('NVRAM map'!K:K))))</f>
        <v/>
      </c>
      <c r="E12" s="100" t="str">
        <f ca="1">IF(C12="FIXED","",INDIRECT("'NVRAM map'!"&amp;ADDRESS(ROW()+2,COLUMN('NVRAM map'!L:L))))</f>
        <v/>
      </c>
      <c r="F12" s="100">
        <f ca="1">IF(C12="FIXED",INDIRECT("'NVRAM map'!"&amp;ADDRESS(ROW()+2,COLUMN('NVRAM map'!AM:AM))),"")</f>
        <v>0</v>
      </c>
      <c r="G12" s="99"/>
    </row>
    <row r="13" spans="1:7">
      <c r="A13" s="99" t="str">
        <f ca="1">SUBSTITUTE(UPPER(IF(INDIRECT("'NVRAM map'!"&amp;ADDRESS(ROW()+2,COLUMN('NVRAM map'!AG:AG)))="-",INDIRECT("'NVRAM map'!"&amp;ADDRESS(ROW()+2,COLUMN('NVRAM map'!AS:AS))),INDIRECT("'NVRAM map'!"&amp;ADDRESS(ROW()+2,COLUMN('NVRAM map'!AS:AS)))&amp;"_"&amp;INDIRECT("'NVRAM map'!"&amp;ADDRESS(ROW()+2,COLUMN('NVRAM map'!AG:AG))))),"__","_")</f>
        <v>EE_GEN_CTRL1_FIX_NTC_RES</v>
      </c>
      <c r="B13" s="100" t="str">
        <f ca="1">IF(OR(INDIRECT("'NVRAM map'!"&amp;ADDRESS(ROW()+2,COLUMN('NVRAM map'!D:D)))="-",A13="_"),"x","")</f>
        <v/>
      </c>
      <c r="C13" s="100" t="str">
        <f ca="1">IF(B13="x","FIXED",INDIRECT("'NVRAM map'!"&amp;ADDRESS(ROW()+2,COLUMN('NVRAM map'!I:I))))</f>
        <v>FIXED</v>
      </c>
      <c r="D13" s="100" t="str">
        <f ca="1">IF(C13="FIXED","",INDIRECT("'NVRAM map'!"&amp;ADDRESS(ROW()+2,COLUMN('NVRAM map'!K:K))))</f>
        <v/>
      </c>
      <c r="E13" s="100" t="str">
        <f ca="1">IF(C13="FIXED","",INDIRECT("'NVRAM map'!"&amp;ADDRESS(ROW()+2,COLUMN('NVRAM map'!L:L))))</f>
        <v/>
      </c>
      <c r="F13" s="100">
        <f ca="1">IF(C13="FIXED",INDIRECT("'NVRAM map'!"&amp;ADDRESS(ROW()+2,COLUMN('NVRAM map'!AM:AM))),"")</f>
        <v>0</v>
      </c>
      <c r="G13" s="99"/>
    </row>
    <row r="14" spans="1:7">
      <c r="A14" s="99" t="str">
        <f ca="1">SUBSTITUTE(UPPER(IF(INDIRECT("'NVRAM map'!"&amp;ADDRESS(ROW()+2,COLUMN('NVRAM map'!AG:AG)))="-",INDIRECT("'NVRAM map'!"&amp;ADDRESS(ROW()+2,COLUMN('NVRAM map'!AS:AS))),INDIRECT("'NVRAM map'!"&amp;ADDRESS(ROW()+2,COLUMN('NVRAM map'!AS:AS)))&amp;"_"&amp;INDIRECT("'NVRAM map'!"&amp;ADDRESS(ROW()+2,COLUMN('NVRAM map'!AG:AG))))),"__","_")</f>
        <v>EE_GEN_CTRL1_PRES_LOWNOISE_MODE</v>
      </c>
      <c r="B14" s="100" t="str">
        <f ca="1">IF(OR(INDIRECT("'NVRAM map'!"&amp;ADDRESS(ROW()+2,COLUMN('NVRAM map'!D:D)))="-",A14="_"),"x","")</f>
        <v/>
      </c>
      <c r="C14" s="100" t="str">
        <f ca="1">IF(B14="x","FIXED",INDIRECT("'NVRAM map'!"&amp;ADDRESS(ROW()+2,COLUMN('NVRAM map'!I:I))))</f>
        <v>FIXED</v>
      </c>
      <c r="D14" s="100" t="str">
        <f ca="1">IF(C14="FIXED","",INDIRECT("'NVRAM map'!"&amp;ADDRESS(ROW()+2,COLUMN('NVRAM map'!K:K))))</f>
        <v/>
      </c>
      <c r="E14" s="100" t="str">
        <f ca="1">IF(C14="FIXED","",INDIRECT("'NVRAM map'!"&amp;ADDRESS(ROW()+2,COLUMN('NVRAM map'!L:L))))</f>
        <v/>
      </c>
      <c r="F14" s="100">
        <f ca="1">IF(C14="FIXED",INDIRECT("'NVRAM map'!"&amp;ADDRESS(ROW()+2,COLUMN('NVRAM map'!AM:AM))),"")</f>
        <v>0</v>
      </c>
      <c r="G14" s="99"/>
    </row>
    <row r="15" spans="1:7">
      <c r="A15" s="99" t="str">
        <f ca="1">SUBSTITUTE(UPPER(IF(INDIRECT("'NVRAM map'!"&amp;ADDRESS(ROW()+2,COLUMN('NVRAM map'!AG:AG)))="-",INDIRECT("'NVRAM map'!"&amp;ADDRESS(ROW()+2,COLUMN('NVRAM map'!AS:AS))),INDIRECT("'NVRAM map'!"&amp;ADDRESS(ROW()+2,COLUMN('NVRAM map'!AS:AS)))&amp;"_"&amp;INDIRECT("'NVRAM map'!"&amp;ADDRESS(ROW()+2,COLUMN('NVRAM map'!AG:AG))))),"__","_")</f>
        <v>EE_GEN_CTRL1_INT_OUT_POL_CONF</v>
      </c>
      <c r="B15" s="100" t="str">
        <f ca="1">IF(OR(INDIRECT("'NVRAM map'!"&amp;ADDRESS(ROW()+2,COLUMN('NVRAM map'!D:D)))="-",A15="_"),"x","")</f>
        <v/>
      </c>
      <c r="C15" s="100" t="str">
        <f ca="1">IF(B15="x","FIXED",INDIRECT("'NVRAM map'!"&amp;ADDRESS(ROW()+2,COLUMN('NVRAM map'!I:I))))</f>
        <v>FIXED</v>
      </c>
      <c r="D15" s="100" t="str">
        <f ca="1">IF(C15="FIXED","",INDIRECT("'NVRAM map'!"&amp;ADDRESS(ROW()+2,COLUMN('NVRAM map'!K:K))))</f>
        <v/>
      </c>
      <c r="E15" s="100" t="str">
        <f ca="1">IF(C15="FIXED","",INDIRECT("'NVRAM map'!"&amp;ADDRESS(ROW()+2,COLUMN('NVRAM map'!L:L))))</f>
        <v/>
      </c>
      <c r="F15" s="100">
        <f ca="1">IF(C15="FIXED",INDIRECT("'NVRAM map'!"&amp;ADDRESS(ROW()+2,COLUMN('NVRAM map'!AM:AM))),"")</f>
        <v>0</v>
      </c>
      <c r="G15" s="99"/>
    </row>
    <row r="16" spans="1:7">
      <c r="A16" s="99" t="str">
        <f ca="1">SUBSTITUTE(UPPER(IF(INDIRECT("'NVRAM map'!"&amp;ADDRESS(ROW()+2,COLUMN('NVRAM map'!AG:AG)))="-",INDIRECT("'NVRAM map'!"&amp;ADDRESS(ROW()+2,COLUMN('NVRAM map'!AS:AS))),INDIRECT("'NVRAM map'!"&amp;ADDRESS(ROW()+2,COLUMN('NVRAM map'!AS:AS)))&amp;"_"&amp;INDIRECT("'NVRAM map'!"&amp;ADDRESS(ROW()+2,COLUMN('NVRAM map'!AG:AG))))),"__","_")</f>
        <v>EE_GEN_CTRL1_TRIG_INT_CONFIG</v>
      </c>
      <c r="B16" s="100" t="str">
        <f ca="1">IF(OR(INDIRECT("'NVRAM map'!"&amp;ADDRESS(ROW()+2,COLUMN('NVRAM map'!D:D)))="-",A16="_"),"x","")</f>
        <v/>
      </c>
      <c r="C16" s="100" t="str">
        <f ca="1">IF(B16="x","FIXED",INDIRECT("'NVRAM map'!"&amp;ADDRESS(ROW()+2,COLUMN('NVRAM map'!I:I))))</f>
        <v>FIXED</v>
      </c>
      <c r="D16" s="100" t="str">
        <f ca="1">IF(C16="FIXED","",INDIRECT("'NVRAM map'!"&amp;ADDRESS(ROW()+2,COLUMN('NVRAM map'!K:K))))</f>
        <v/>
      </c>
      <c r="E16" s="100" t="str">
        <f ca="1">IF(C16="FIXED","",INDIRECT("'NVRAM map'!"&amp;ADDRESS(ROW()+2,COLUMN('NVRAM map'!L:L))))</f>
        <v/>
      </c>
      <c r="F16" s="100">
        <f ca="1">IF(C16="FIXED",INDIRECT("'NVRAM map'!"&amp;ADDRESS(ROW()+2,COLUMN('NVRAM map'!AM:AM))),"")</f>
        <v>2</v>
      </c>
      <c r="G16" s="99"/>
    </row>
    <row r="17" spans="1:7">
      <c r="A17" s="99" t="str">
        <f ca="1">SUBSTITUTE(UPPER(IF(INDIRECT("'NVRAM map'!"&amp;ADDRESS(ROW()+2,COLUMN('NVRAM map'!AG:AG)))="-",INDIRECT("'NVRAM map'!"&amp;ADDRESS(ROW()+2,COLUMN('NVRAM map'!AS:AS))),INDIRECT("'NVRAM map'!"&amp;ADDRESS(ROW()+2,COLUMN('NVRAM map'!AS:AS)))&amp;"_"&amp;INDIRECT("'NVRAM map'!"&amp;ADDRESS(ROW()+2,COLUMN('NVRAM map'!AG:AG))))),"__","_")</f>
        <v>EE_GEN_CTRL1_FUNCTIONAL_MODE</v>
      </c>
      <c r="B17" s="100" t="str">
        <f ca="1">IF(OR(INDIRECT("'NVRAM map'!"&amp;ADDRESS(ROW()+2,COLUMN('NVRAM map'!D:D)))="-",A17="_"),"x","")</f>
        <v/>
      </c>
      <c r="C17" s="100" t="str">
        <f ca="1">IF(B17="x","FIXED",INDIRECT("'NVRAM map'!"&amp;ADDRESS(ROW()+2,COLUMN('NVRAM map'!I:I))))</f>
        <v>FIXED</v>
      </c>
      <c r="D17" s="100" t="str">
        <f ca="1">IF(C17="FIXED","",INDIRECT("'NVRAM map'!"&amp;ADDRESS(ROW()+2,COLUMN('NVRAM map'!K:K))))</f>
        <v/>
      </c>
      <c r="E17" s="100" t="str">
        <f ca="1">IF(C17="FIXED","",INDIRECT("'NVRAM map'!"&amp;ADDRESS(ROW()+2,COLUMN('NVRAM map'!L:L))))</f>
        <v/>
      </c>
      <c r="F17" s="100">
        <f ca="1">IF(C17="FIXED",INDIRECT("'NVRAM map'!"&amp;ADDRESS(ROW()+2,COLUMN('NVRAM map'!AM:AM))),"")</f>
        <v>0</v>
      </c>
      <c r="G17" s="99"/>
    </row>
    <row r="18" spans="1:7">
      <c r="A18" s="99" t="str">
        <f ca="1">SUBSTITUTE(UPPER(IF(INDIRECT("'NVRAM map'!"&amp;ADDRESS(ROW()+2,COLUMN('NVRAM map'!AG:AG)))="-",INDIRECT("'NVRAM map'!"&amp;ADDRESS(ROW()+2,COLUMN('NVRAM map'!AS:AS))),INDIRECT("'NVRAM map'!"&amp;ADDRESS(ROW()+2,COLUMN('NVRAM map'!AS:AS)))&amp;"_"&amp;INDIRECT("'NVRAM map'!"&amp;ADDRESS(ROW()+2,COLUMN('NVRAM map'!AG:AG))))),"__","_")</f>
        <v>EE_N_AVG_CONF</v>
      </c>
      <c r="B18" s="100" t="str">
        <f ca="1">IF(OR(INDIRECT("'NVRAM map'!"&amp;ADDRESS(ROW()+2,COLUMN('NVRAM map'!D:D)))="-",A18="_"),"x","")</f>
        <v>x</v>
      </c>
      <c r="C18" s="100" t="str">
        <f ca="1">IF(B18="x","FIXED",INDIRECT("'NVRAM map'!"&amp;ADDRESS(ROW()+2,COLUMN('NVRAM map'!I:I))))</f>
        <v>FIXED</v>
      </c>
      <c r="D18" s="100" t="str">
        <f ca="1">IF(C18="FIXED","",INDIRECT("'NVRAM map'!"&amp;ADDRESS(ROW()+2,COLUMN('NVRAM map'!K:K))))</f>
        <v/>
      </c>
      <c r="E18" s="100" t="str">
        <f ca="1">IF(C18="FIXED","",INDIRECT("'NVRAM map'!"&amp;ADDRESS(ROW()+2,COLUMN('NVRAM map'!L:L))))</f>
        <v/>
      </c>
      <c r="F18" s="100">
        <f ca="1">IF(C18="FIXED",INDIRECT("'NVRAM map'!"&amp;ADDRESS(ROW()+2,COLUMN('NVRAM map'!AM:AM))),"")</f>
        <v>0</v>
      </c>
      <c r="G18" s="99"/>
    </row>
    <row r="19" spans="1:7">
      <c r="A19" s="99" t="str">
        <f ca="1">SUBSTITUTE(UPPER(IF(INDIRECT("'NVRAM map'!"&amp;ADDRESS(ROW()+2,COLUMN('NVRAM map'!AG:AG)))="-",INDIRECT("'NVRAM map'!"&amp;ADDRESS(ROW()+2,COLUMN('NVRAM map'!AS:AS))),INDIRECT("'NVRAM map'!"&amp;ADDRESS(ROW()+2,COLUMN('NVRAM map'!AS:AS)))&amp;"_"&amp;INDIRECT("'NVRAM map'!"&amp;ADDRESS(ROW()+2,COLUMN('NVRAM map'!AG:AG))))),"__","_")</f>
        <v>EE_N_AVG_CONF_PRES_N_AVG</v>
      </c>
      <c r="B19" s="100" t="str">
        <f ca="1">IF(OR(INDIRECT("'NVRAM map'!"&amp;ADDRESS(ROW()+2,COLUMN('NVRAM map'!D:D)))="-",A19="_"),"x","")</f>
        <v/>
      </c>
      <c r="C19" s="100" t="str">
        <f ca="1">IF(B19="x","FIXED",INDIRECT("'NVRAM map'!"&amp;ADDRESS(ROW()+2,COLUMN('NVRAM map'!I:I))))</f>
        <v>FIXED</v>
      </c>
      <c r="D19" s="100" t="str">
        <f ca="1">IF(C19="FIXED","",INDIRECT("'NVRAM map'!"&amp;ADDRESS(ROW()+2,COLUMN('NVRAM map'!K:K))))</f>
        <v/>
      </c>
      <c r="E19" s="100" t="str">
        <f ca="1">IF(C19="FIXED","",INDIRECT("'NVRAM map'!"&amp;ADDRESS(ROW()+2,COLUMN('NVRAM map'!L:L))))</f>
        <v/>
      </c>
      <c r="F19" s="100">
        <f ca="1">IF(C19="FIXED",INDIRECT("'NVRAM map'!"&amp;ADDRESS(ROW()+2,COLUMN('NVRAM map'!AM:AM))),"")</f>
        <v>0</v>
      </c>
      <c r="G19" s="99"/>
    </row>
    <row r="20" spans="1:7">
      <c r="A20" s="99" t="str">
        <f ca="1">SUBSTITUTE(UPPER(IF(INDIRECT("'NVRAM map'!"&amp;ADDRESS(ROW()+2,COLUMN('NVRAM map'!AG:AG)))="-",INDIRECT("'NVRAM map'!"&amp;ADDRESS(ROW()+2,COLUMN('NVRAM map'!AS:AS))),INDIRECT("'NVRAM map'!"&amp;ADDRESS(ROW()+2,COLUMN('NVRAM map'!AS:AS)))&amp;"_"&amp;INDIRECT("'NVRAM map'!"&amp;ADDRESS(ROW()+2,COLUMN('NVRAM map'!AG:AG))))),"__","_")</f>
        <v>EE_N_AVG_CONF_VSTEMP_N_AVG</v>
      </c>
      <c r="B20" s="100" t="str">
        <f ca="1">IF(OR(INDIRECT("'NVRAM map'!"&amp;ADDRESS(ROW()+2,COLUMN('NVRAM map'!D:D)))="-",A20="_"),"x","")</f>
        <v/>
      </c>
      <c r="C20" s="100" t="str">
        <f ca="1">IF(B20="x","FIXED",INDIRECT("'NVRAM map'!"&amp;ADDRESS(ROW()+2,COLUMN('NVRAM map'!I:I))))</f>
        <v>FIXED</v>
      </c>
      <c r="D20" s="100" t="str">
        <f ca="1">IF(C20="FIXED","",INDIRECT("'NVRAM map'!"&amp;ADDRESS(ROW()+2,COLUMN('NVRAM map'!K:K))))</f>
        <v/>
      </c>
      <c r="E20" s="100" t="str">
        <f ca="1">IF(C20="FIXED","",INDIRECT("'NVRAM map'!"&amp;ADDRESS(ROW()+2,COLUMN('NVRAM map'!L:L))))</f>
        <v/>
      </c>
      <c r="F20" s="100">
        <f ca="1">IF(C20="FIXED",INDIRECT("'NVRAM map'!"&amp;ADDRESS(ROW()+2,COLUMN('NVRAM map'!AM:AM))),"")</f>
        <v>0</v>
      </c>
      <c r="G20" s="99"/>
    </row>
    <row r="21" spans="1:7">
      <c r="A21" s="99" t="str">
        <f ca="1">SUBSTITUTE(UPPER(IF(INDIRECT("'NVRAM map'!"&amp;ADDRESS(ROW()+2,COLUMN('NVRAM map'!AG:AG)))="-",INDIRECT("'NVRAM map'!"&amp;ADDRESS(ROW()+2,COLUMN('NVRAM map'!AS:AS))),INDIRECT("'NVRAM map'!"&amp;ADDRESS(ROW()+2,COLUMN('NVRAM map'!AS:AS)))&amp;"_"&amp;INDIRECT("'NVRAM map'!"&amp;ADDRESS(ROW()+2,COLUMN('NVRAM map'!AG:AG))))),"__","_")</f>
        <v>EE_N_AVG_CONF_VSTEMP2_N_AVG</v>
      </c>
      <c r="B21" s="100" t="str">
        <f ca="1">IF(OR(INDIRECT("'NVRAM map'!"&amp;ADDRESS(ROW()+2,COLUMN('NVRAM map'!D:D)))="-",A21="_"),"x","")</f>
        <v/>
      </c>
      <c r="C21" s="100" t="str">
        <f ca="1">IF(B21="x","FIXED",INDIRECT("'NVRAM map'!"&amp;ADDRESS(ROW()+2,COLUMN('NVRAM map'!I:I))))</f>
        <v>FIXED</v>
      </c>
      <c r="D21" s="100" t="str">
        <f ca="1">IF(C21="FIXED","",INDIRECT("'NVRAM map'!"&amp;ADDRESS(ROW()+2,COLUMN('NVRAM map'!K:K))))</f>
        <v/>
      </c>
      <c r="E21" s="100" t="str">
        <f ca="1">IF(C21="FIXED","",INDIRECT("'NVRAM map'!"&amp;ADDRESS(ROW()+2,COLUMN('NVRAM map'!L:L))))</f>
        <v/>
      </c>
      <c r="F21" s="100">
        <f ca="1">IF(C21="FIXED",INDIRECT("'NVRAM map'!"&amp;ADDRESS(ROW()+2,COLUMN('NVRAM map'!AM:AM))),"")</f>
        <v>0</v>
      </c>
      <c r="G21" s="99"/>
    </row>
    <row r="22" spans="1:7">
      <c r="A22" s="99" t="str">
        <f ca="1">SUBSTITUTE(UPPER(IF(INDIRECT("'NVRAM map'!"&amp;ADDRESS(ROW()+2,COLUMN('NVRAM map'!AG:AG)))="-",INDIRECT("'NVRAM map'!"&amp;ADDRESS(ROW()+2,COLUMN('NVRAM map'!AS:AS))),INDIRECT("'NVRAM map'!"&amp;ADDRESS(ROW()+2,COLUMN('NVRAM map'!AS:AS)))&amp;"_"&amp;INDIRECT("'NVRAM map'!"&amp;ADDRESS(ROW()+2,COLUMN('NVRAM map'!AG:AG))))),"__","_")</f>
        <v>EE_N_AVG_CONF_VANA_DIV_N_AVG</v>
      </c>
      <c r="B22" s="100" t="str">
        <f ca="1">IF(OR(INDIRECT("'NVRAM map'!"&amp;ADDRESS(ROW()+2,COLUMN('NVRAM map'!D:D)))="-",A22="_"),"x","")</f>
        <v/>
      </c>
      <c r="C22" s="100" t="str">
        <f ca="1">IF(B22="x","FIXED",INDIRECT("'NVRAM map'!"&amp;ADDRESS(ROW()+2,COLUMN('NVRAM map'!I:I))))</f>
        <v>FIXED</v>
      </c>
      <c r="D22" s="100" t="str">
        <f ca="1">IF(C22="FIXED","",INDIRECT("'NVRAM map'!"&amp;ADDRESS(ROW()+2,COLUMN('NVRAM map'!K:K))))</f>
        <v/>
      </c>
      <c r="E22" s="100" t="str">
        <f ca="1">IF(C22="FIXED","",INDIRECT("'NVRAM map'!"&amp;ADDRESS(ROW()+2,COLUMN('NVRAM map'!L:L))))</f>
        <v/>
      </c>
      <c r="F22" s="100">
        <f ca="1">IF(C22="FIXED",INDIRECT("'NVRAM map'!"&amp;ADDRESS(ROW()+2,COLUMN('NVRAM map'!AM:AM))),"")</f>
        <v>0</v>
      </c>
      <c r="G22" s="99"/>
    </row>
    <row r="23" spans="1:7">
      <c r="A23" s="99" t="str">
        <f ca="1">SUBSTITUTE(UPPER(IF(INDIRECT("'NVRAM map'!"&amp;ADDRESS(ROW()+2,COLUMN('NVRAM map'!AG:AG)))="-",INDIRECT("'NVRAM map'!"&amp;ADDRESS(ROW()+2,COLUMN('NVRAM map'!AS:AS))),INDIRECT("'NVRAM map'!"&amp;ADDRESS(ROW()+2,COLUMN('NVRAM map'!AS:AS)))&amp;"_"&amp;INDIRECT("'NVRAM map'!"&amp;ADDRESS(ROW()+2,COLUMN('NVRAM map'!AG:AG))))),"__","_")</f>
        <v>EE_N_AVG_CONF_VPTAT_N_AVG</v>
      </c>
      <c r="B23" s="100" t="str">
        <f ca="1">IF(OR(INDIRECT("'NVRAM map'!"&amp;ADDRESS(ROW()+2,COLUMN('NVRAM map'!D:D)))="-",A23="_"),"x","")</f>
        <v/>
      </c>
      <c r="C23" s="100" t="str">
        <f ca="1">IF(B23="x","FIXED",INDIRECT("'NVRAM map'!"&amp;ADDRESS(ROW()+2,COLUMN('NVRAM map'!I:I))))</f>
        <v>FIXED</v>
      </c>
      <c r="D23" s="100" t="str">
        <f ca="1">IF(C23="FIXED","",INDIRECT("'NVRAM map'!"&amp;ADDRESS(ROW()+2,COLUMN('NVRAM map'!K:K))))</f>
        <v/>
      </c>
      <c r="E23" s="100" t="str">
        <f ca="1">IF(C23="FIXED","",INDIRECT("'NVRAM map'!"&amp;ADDRESS(ROW()+2,COLUMN('NVRAM map'!L:L))))</f>
        <v/>
      </c>
      <c r="F23" s="100">
        <f ca="1">IF(C23="FIXED",INDIRECT("'NVRAM map'!"&amp;ADDRESS(ROW()+2,COLUMN('NVRAM map'!AM:AM))),"")</f>
        <v>3</v>
      </c>
      <c r="G23" s="99"/>
    </row>
    <row r="24" spans="1:7">
      <c r="A24" s="99" t="str">
        <f ca="1">SUBSTITUTE(UPPER(IF(INDIRECT("'NVRAM map'!"&amp;ADDRESS(ROW()+2,COLUMN('NVRAM map'!AG:AG)))="-",INDIRECT("'NVRAM map'!"&amp;ADDRESS(ROW()+2,COLUMN('NVRAM map'!AS:AS))),INDIRECT("'NVRAM map'!"&amp;ADDRESS(ROW()+2,COLUMN('NVRAM map'!AS:AS)))&amp;"_"&amp;INDIRECT("'NVRAM map'!"&amp;ADDRESS(ROW()+2,COLUMN('NVRAM map'!AG:AG))))),"__","_")</f>
        <v>EE_N_AVG_CONF_RNTC_N_AVG</v>
      </c>
      <c r="B24" s="100" t="str">
        <f ca="1">IF(OR(INDIRECT("'NVRAM map'!"&amp;ADDRESS(ROW()+2,COLUMN('NVRAM map'!D:D)))="-",A24="_"),"x","")</f>
        <v/>
      </c>
      <c r="C24" s="100" t="str">
        <f ca="1">IF(B24="x","FIXED",INDIRECT("'NVRAM map'!"&amp;ADDRESS(ROW()+2,COLUMN('NVRAM map'!I:I))))</f>
        <v>FIXED</v>
      </c>
      <c r="D24" s="100" t="str">
        <f ca="1">IF(C24="FIXED","",INDIRECT("'NVRAM map'!"&amp;ADDRESS(ROW()+2,COLUMN('NVRAM map'!K:K))))</f>
        <v/>
      </c>
      <c r="E24" s="100" t="str">
        <f ca="1">IF(C24="FIXED","",INDIRECT("'NVRAM map'!"&amp;ADDRESS(ROW()+2,COLUMN('NVRAM map'!L:L))))</f>
        <v/>
      </c>
      <c r="F24" s="100">
        <f ca="1">IF(C24="FIXED",INDIRECT("'NVRAM map'!"&amp;ADDRESS(ROW()+2,COLUMN('NVRAM map'!AM:AM))),"")</f>
        <v>2</v>
      </c>
      <c r="G24" s="99"/>
    </row>
    <row r="25" spans="1:7">
      <c r="A25" s="99" t="str">
        <f ca="1">SUBSTITUTE(UPPER(IF(INDIRECT("'NVRAM map'!"&amp;ADDRESS(ROW()+2,COLUMN('NVRAM map'!AG:AG)))="-",INDIRECT("'NVRAM map'!"&amp;ADDRESS(ROW()+2,COLUMN('NVRAM map'!AS:AS))),INDIRECT("'NVRAM map'!"&amp;ADDRESS(ROW()+2,COLUMN('NVRAM map'!AS:AS)))&amp;"_"&amp;INDIRECT("'NVRAM map'!"&amp;ADDRESS(ROW()+2,COLUMN('NVRAM map'!AG:AG))))),"__","_")</f>
        <v>EE_OUT_FILT_CONF</v>
      </c>
      <c r="B25" s="100" t="str">
        <f ca="1">IF(OR(INDIRECT("'NVRAM map'!"&amp;ADDRESS(ROW()+2,COLUMN('NVRAM map'!D:D)))="-",A25="_"),"x","")</f>
        <v>x</v>
      </c>
      <c r="C25" s="100" t="str">
        <f ca="1">IF(B25="x","FIXED",INDIRECT("'NVRAM map'!"&amp;ADDRESS(ROW()+2,COLUMN('NVRAM map'!I:I))))</f>
        <v>FIXED</v>
      </c>
      <c r="D25" s="100" t="str">
        <f ca="1">IF(C25="FIXED","",INDIRECT("'NVRAM map'!"&amp;ADDRESS(ROW()+2,COLUMN('NVRAM map'!K:K))))</f>
        <v/>
      </c>
      <c r="E25" s="100" t="str">
        <f ca="1">IF(C25="FIXED","",INDIRECT("'NVRAM map'!"&amp;ADDRESS(ROW()+2,COLUMN('NVRAM map'!L:L))))</f>
        <v/>
      </c>
      <c r="F25" s="100">
        <f ca="1">IF(C25="FIXED",INDIRECT("'NVRAM map'!"&amp;ADDRESS(ROW()+2,COLUMN('NVRAM map'!AM:AM))),"")</f>
        <v>0</v>
      </c>
      <c r="G25" s="99"/>
    </row>
    <row r="26" spans="1:7">
      <c r="A26" s="99" t="str">
        <f ca="1">SUBSTITUTE(UPPER(IF(INDIRECT("'NVRAM map'!"&amp;ADDRESS(ROW()+2,COLUMN('NVRAM map'!AG:AG)))="-",INDIRECT("'NVRAM map'!"&amp;ADDRESS(ROW()+2,COLUMN('NVRAM map'!AS:AS))),INDIRECT("'NVRAM map'!"&amp;ADDRESS(ROW()+2,COLUMN('NVRAM map'!AS:AS)))&amp;"_"&amp;INDIRECT("'NVRAM map'!"&amp;ADDRESS(ROW()+2,COLUMN('NVRAM map'!AG:AG))))),"__","_")</f>
        <v>EE_OUT_FILT_CONF_OUT_FILT_CONF_RESERVED</v>
      </c>
      <c r="B26" s="100" t="str">
        <f ca="1">IF(OR(INDIRECT("'NVRAM map'!"&amp;ADDRESS(ROW()+2,COLUMN('NVRAM map'!D:D)))="-",A26="_"),"x","")</f>
        <v/>
      </c>
      <c r="C26" s="100" t="str">
        <f ca="1">IF(B26="x","FIXED",INDIRECT("'NVRAM map'!"&amp;ADDRESS(ROW()+2,COLUMN('NVRAM map'!I:I))))</f>
        <v>FIXED</v>
      </c>
      <c r="D26" s="100" t="str">
        <f ca="1">IF(C26="FIXED","",INDIRECT("'NVRAM map'!"&amp;ADDRESS(ROW()+2,COLUMN('NVRAM map'!K:K))))</f>
        <v/>
      </c>
      <c r="E26" s="100" t="str">
        <f ca="1">IF(C26="FIXED","",INDIRECT("'NVRAM map'!"&amp;ADDRESS(ROW()+2,COLUMN('NVRAM map'!L:L))))</f>
        <v/>
      </c>
      <c r="F26" s="100">
        <f ca="1">IF(C26="FIXED",INDIRECT("'NVRAM map'!"&amp;ADDRESS(ROW()+2,COLUMN('NVRAM map'!AM:AM))),"")</f>
        <v>0</v>
      </c>
      <c r="G26" s="99"/>
    </row>
    <row r="27" spans="1:7">
      <c r="A27" s="99" t="str">
        <f ca="1">SUBSTITUTE(UPPER(IF(INDIRECT("'NVRAM map'!"&amp;ADDRESS(ROW()+2,COLUMN('NVRAM map'!AG:AG)))="-",INDIRECT("'NVRAM map'!"&amp;ADDRESS(ROW()+2,COLUMN('NVRAM map'!AS:AS))),INDIRECT("'NVRAM map'!"&amp;ADDRESS(ROW()+2,COLUMN('NVRAM map'!AS:AS)))&amp;"_"&amp;INDIRECT("'NVRAM map'!"&amp;ADDRESS(ROW()+2,COLUMN('NVRAM map'!AG:AG))))),"__","_")</f>
        <v>EE_OUT_FILT_CONF_TMEMS_FILT_DEPTH</v>
      </c>
      <c r="B27" s="100" t="str">
        <f ca="1">IF(OR(INDIRECT("'NVRAM map'!"&amp;ADDRESS(ROW()+2,COLUMN('NVRAM map'!D:D)))="-",A27="_"),"x","")</f>
        <v/>
      </c>
      <c r="C27" s="100" t="str">
        <f ca="1">IF(B27="x","FIXED",INDIRECT("'NVRAM map'!"&amp;ADDRESS(ROW()+2,COLUMN('NVRAM map'!I:I))))</f>
        <v>FIXED</v>
      </c>
      <c r="D27" s="100" t="str">
        <f ca="1">IF(C27="FIXED","",INDIRECT("'NVRAM map'!"&amp;ADDRESS(ROW()+2,COLUMN('NVRAM map'!K:K))))</f>
        <v/>
      </c>
      <c r="E27" s="100" t="str">
        <f ca="1">IF(C27="FIXED","",INDIRECT("'NVRAM map'!"&amp;ADDRESS(ROW()+2,COLUMN('NVRAM map'!L:L))))</f>
        <v/>
      </c>
      <c r="F27" s="100">
        <f ca="1">IF(C27="FIXED",INDIRECT("'NVRAM map'!"&amp;ADDRESS(ROW()+2,COLUMN('NVRAM map'!AM:AM))),"")</f>
        <v>0</v>
      </c>
      <c r="G27" s="99"/>
    </row>
    <row r="28" spans="1:7">
      <c r="A28" s="99" t="str">
        <f ca="1">SUBSTITUTE(UPPER(IF(INDIRECT("'NVRAM map'!"&amp;ADDRESS(ROW()+2,COLUMN('NVRAM map'!AG:AG)))="-",INDIRECT("'NVRAM map'!"&amp;ADDRESS(ROW()+2,COLUMN('NVRAM map'!AS:AS))),INDIRECT("'NVRAM map'!"&amp;ADDRESS(ROW()+2,COLUMN('NVRAM map'!AS:AS)))&amp;"_"&amp;INDIRECT("'NVRAM map'!"&amp;ADDRESS(ROW()+2,COLUMN('NVRAM map'!AG:AG))))),"__","_")</f>
        <v>EE_OUT_FILT_CONF_TINT_FILT_DEPTH</v>
      </c>
      <c r="B28" s="100" t="str">
        <f ca="1">IF(OR(INDIRECT("'NVRAM map'!"&amp;ADDRESS(ROW()+2,COLUMN('NVRAM map'!D:D)))="-",A28="_"),"x","")</f>
        <v/>
      </c>
      <c r="C28" s="100" t="str">
        <f ca="1">IF(B28="x","FIXED",INDIRECT("'NVRAM map'!"&amp;ADDRESS(ROW()+2,COLUMN('NVRAM map'!I:I))))</f>
        <v>FIXED</v>
      </c>
      <c r="D28" s="100" t="str">
        <f ca="1">IF(C28="FIXED","",INDIRECT("'NVRAM map'!"&amp;ADDRESS(ROW()+2,COLUMN('NVRAM map'!K:K))))</f>
        <v/>
      </c>
      <c r="E28" s="100" t="str">
        <f ca="1">IF(C28="FIXED","",INDIRECT("'NVRAM map'!"&amp;ADDRESS(ROW()+2,COLUMN('NVRAM map'!L:L))))</f>
        <v/>
      </c>
      <c r="F28" s="100">
        <f ca="1">IF(C28="FIXED",INDIRECT("'NVRAM map'!"&amp;ADDRESS(ROW()+2,COLUMN('NVRAM map'!AM:AM))),"")</f>
        <v>0</v>
      </c>
      <c r="G28" s="99"/>
    </row>
    <row r="29" spans="1:7">
      <c r="A29" s="99" t="str">
        <f ca="1">SUBSTITUTE(UPPER(IF(INDIRECT("'NVRAM map'!"&amp;ADDRESS(ROW()+2,COLUMN('NVRAM map'!AG:AG)))="-",INDIRECT("'NVRAM map'!"&amp;ADDRESS(ROW()+2,COLUMN('NVRAM map'!AS:AS))),INDIRECT("'NVRAM map'!"&amp;ADDRESS(ROW()+2,COLUMN('NVRAM map'!AS:AS)))&amp;"_"&amp;INDIRECT("'NVRAM map'!"&amp;ADDRESS(ROW()+2,COLUMN('NVRAM map'!AG:AG))))),"__","_")</f>
        <v>EE_OUT_FILT_CONF_TNTC_OUT_N_BIT</v>
      </c>
      <c r="B29" s="100" t="str">
        <f ca="1">IF(OR(INDIRECT("'NVRAM map'!"&amp;ADDRESS(ROW()+2,COLUMN('NVRAM map'!D:D)))="-",A29="_"),"x","")</f>
        <v/>
      </c>
      <c r="C29" s="100" t="str">
        <f ca="1">IF(B29="x","FIXED",INDIRECT("'NVRAM map'!"&amp;ADDRESS(ROW()+2,COLUMN('NVRAM map'!I:I))))</f>
        <v>FIXED</v>
      </c>
      <c r="D29" s="100" t="str">
        <f ca="1">IF(C29="FIXED","",INDIRECT("'NVRAM map'!"&amp;ADDRESS(ROW()+2,COLUMN('NVRAM map'!K:K))))</f>
        <v/>
      </c>
      <c r="E29" s="100" t="str">
        <f ca="1">IF(C29="FIXED","",INDIRECT("'NVRAM map'!"&amp;ADDRESS(ROW()+2,COLUMN('NVRAM map'!L:L))))</f>
        <v/>
      </c>
      <c r="F29" s="100">
        <f ca="1">IF(C29="FIXED",INDIRECT("'NVRAM map'!"&amp;ADDRESS(ROW()+2,COLUMN('NVRAM map'!AM:AM))),"")</f>
        <v>5</v>
      </c>
      <c r="G29" s="99"/>
    </row>
    <row r="30" spans="1:7">
      <c r="A30" s="99" t="str">
        <f ca="1">SUBSTITUTE(UPPER(IF(INDIRECT("'NVRAM map'!"&amp;ADDRESS(ROW()+2,COLUMN('NVRAM map'!AG:AG)))="-",INDIRECT("'NVRAM map'!"&amp;ADDRESS(ROW()+2,COLUMN('NVRAM map'!AS:AS))),INDIRECT("'NVRAM map'!"&amp;ADDRESS(ROW()+2,COLUMN('NVRAM map'!AS:AS)))&amp;"_"&amp;INDIRECT("'NVRAM map'!"&amp;ADDRESS(ROW()+2,COLUMN('NVRAM map'!AG:AG))))),"__","_")</f>
        <v>EE_OUT_FILT_CONF_TDEV_OUT_N_BIT</v>
      </c>
      <c r="B30" s="100" t="str">
        <f ca="1">IF(OR(INDIRECT("'NVRAM map'!"&amp;ADDRESS(ROW()+2,COLUMN('NVRAM map'!D:D)))="-",A30="_"),"x","")</f>
        <v/>
      </c>
      <c r="C30" s="100" t="str">
        <f ca="1">IF(B30="x","FIXED",INDIRECT("'NVRAM map'!"&amp;ADDRESS(ROW()+2,COLUMN('NVRAM map'!I:I))))</f>
        <v>FIXED</v>
      </c>
      <c r="D30" s="100" t="str">
        <f ca="1">IF(C30="FIXED","",INDIRECT("'NVRAM map'!"&amp;ADDRESS(ROW()+2,COLUMN('NVRAM map'!K:K))))</f>
        <v/>
      </c>
      <c r="E30" s="100" t="str">
        <f ca="1">IF(C30="FIXED","",INDIRECT("'NVRAM map'!"&amp;ADDRESS(ROW()+2,COLUMN('NVRAM map'!L:L))))</f>
        <v/>
      </c>
      <c r="F30" s="100">
        <f ca="1">IF(C30="FIXED",INDIRECT("'NVRAM map'!"&amp;ADDRESS(ROW()+2,COLUMN('NVRAM map'!AM:AM))),"")</f>
        <v>5</v>
      </c>
      <c r="G30" s="99"/>
    </row>
    <row r="31" spans="1:7">
      <c r="A31" s="99" t="str">
        <f ca="1">SUBSTITUTE(UPPER(IF(INDIRECT("'NVRAM map'!"&amp;ADDRESS(ROW()+2,COLUMN('NVRAM map'!AG:AG)))="-",INDIRECT("'NVRAM map'!"&amp;ADDRESS(ROW()+2,COLUMN('NVRAM map'!AS:AS))),INDIRECT("'NVRAM map'!"&amp;ADDRESS(ROW()+2,COLUMN('NVRAM map'!AS:AS)))&amp;"_"&amp;INDIRECT("'NVRAM map'!"&amp;ADDRESS(ROW()+2,COLUMN('NVRAM map'!AG:AG))))),"__","_")</f>
        <v>EE_OUT_FILT_CONF_P_OUT_N_BIT</v>
      </c>
      <c r="B31" s="100" t="str">
        <f ca="1">IF(OR(INDIRECT("'NVRAM map'!"&amp;ADDRESS(ROW()+2,COLUMN('NVRAM map'!D:D)))="-",A31="_"),"x","")</f>
        <v/>
      </c>
      <c r="C31" s="100" t="str">
        <f ca="1">IF(B31="x","FIXED",INDIRECT("'NVRAM map'!"&amp;ADDRESS(ROW()+2,COLUMN('NVRAM map'!I:I))))</f>
        <v>FIXED</v>
      </c>
      <c r="D31" s="100" t="str">
        <f ca="1">IF(C31="FIXED","",INDIRECT("'NVRAM map'!"&amp;ADDRESS(ROW()+2,COLUMN('NVRAM map'!K:K))))</f>
        <v/>
      </c>
      <c r="E31" s="100" t="str">
        <f ca="1">IF(C31="FIXED","",INDIRECT("'NVRAM map'!"&amp;ADDRESS(ROW()+2,COLUMN('NVRAM map'!L:L))))</f>
        <v/>
      </c>
      <c r="F31" s="100">
        <f ca="1">IF(C31="FIXED",INDIRECT("'NVRAM map'!"&amp;ADDRESS(ROW()+2,COLUMN('NVRAM map'!AM:AM))),"")</f>
        <v>3</v>
      </c>
      <c r="G31" s="99"/>
    </row>
    <row r="32" spans="1:7">
      <c r="A32" s="99" t="str">
        <f ca="1">SUBSTITUTE(UPPER(IF(INDIRECT("'NVRAM map'!"&amp;ADDRESS(ROW()+2,COLUMN('NVRAM map'!AG:AG)))="-",INDIRECT("'NVRAM map'!"&amp;ADDRESS(ROW()+2,COLUMN('NVRAM map'!AS:AS))),INDIRECT("'NVRAM map'!"&amp;ADDRESS(ROW()+2,COLUMN('NVRAM map'!AS:AS)))&amp;"_"&amp;INDIRECT("'NVRAM map'!"&amp;ADDRESS(ROW()+2,COLUMN('NVRAM map'!AG:AG))))),"__","_")</f>
        <v>EE_WOC_VBE_NAVG_CONF</v>
      </c>
      <c r="B32" s="100" t="str">
        <f ca="1">IF(OR(INDIRECT("'NVRAM map'!"&amp;ADDRESS(ROW()+2,COLUMN('NVRAM map'!D:D)))="-",A32="_"),"x","")</f>
        <v>x</v>
      </c>
      <c r="C32" s="100" t="str">
        <f ca="1">IF(B32="x","FIXED",INDIRECT("'NVRAM map'!"&amp;ADDRESS(ROW()+2,COLUMN('NVRAM map'!I:I))))</f>
        <v>FIXED</v>
      </c>
      <c r="D32" s="100" t="str">
        <f ca="1">IF(C32="FIXED","",INDIRECT("'NVRAM map'!"&amp;ADDRESS(ROW()+2,COLUMN('NVRAM map'!K:K))))</f>
        <v/>
      </c>
      <c r="E32" s="100" t="str">
        <f ca="1">IF(C32="FIXED","",INDIRECT("'NVRAM map'!"&amp;ADDRESS(ROW()+2,COLUMN('NVRAM map'!L:L))))</f>
        <v/>
      </c>
      <c r="F32" s="100">
        <f ca="1">IF(C32="FIXED",INDIRECT("'NVRAM map'!"&amp;ADDRESS(ROW()+2,COLUMN('NVRAM map'!AM:AM))),"")</f>
        <v>0</v>
      </c>
      <c r="G32" s="99"/>
    </row>
    <row r="33" spans="1:7">
      <c r="A33" s="99" t="str">
        <f ca="1">SUBSTITUTE(UPPER(IF(INDIRECT("'NVRAM map'!"&amp;ADDRESS(ROW()+2,COLUMN('NVRAM map'!AG:AG)))="-",INDIRECT("'NVRAM map'!"&amp;ADDRESS(ROW()+2,COLUMN('NVRAM map'!AS:AS))),INDIRECT("'NVRAM map'!"&amp;ADDRESS(ROW()+2,COLUMN('NVRAM map'!AS:AS)))&amp;"_"&amp;INDIRECT("'NVRAM map'!"&amp;ADDRESS(ROW()+2,COLUMN('NVRAM map'!AG:AG))))),"__","_")</f>
        <v>EE_WOC_VBE_NAVG_CONF_VBE_N_AVG</v>
      </c>
      <c r="B33" s="100" t="str">
        <f ca="1">IF(OR(INDIRECT("'NVRAM map'!"&amp;ADDRESS(ROW()+2,COLUMN('NVRAM map'!D:D)))="-",A33="_"),"x","")</f>
        <v/>
      </c>
      <c r="C33" s="100" t="str">
        <f ca="1">IF(B33="x","FIXED",INDIRECT("'NVRAM map'!"&amp;ADDRESS(ROW()+2,COLUMN('NVRAM map'!I:I))))</f>
        <v>FIXED</v>
      </c>
      <c r="D33" s="100" t="str">
        <f ca="1">IF(C33="FIXED","",INDIRECT("'NVRAM map'!"&amp;ADDRESS(ROW()+2,COLUMN('NVRAM map'!K:K))))</f>
        <v/>
      </c>
      <c r="E33" s="100" t="str">
        <f ca="1">IF(C33="FIXED","",INDIRECT("'NVRAM map'!"&amp;ADDRESS(ROW()+2,COLUMN('NVRAM map'!L:L))))</f>
        <v/>
      </c>
      <c r="F33" s="100">
        <f ca="1">IF(C33="FIXED",INDIRECT("'NVRAM map'!"&amp;ADDRESS(ROW()+2,COLUMN('NVRAM map'!AM:AM))),"")</f>
        <v>2</v>
      </c>
      <c r="G33" s="99"/>
    </row>
    <row r="34" spans="1:7">
      <c r="A34" s="99" t="str">
        <f ca="1">SUBSTITUTE(UPPER(IF(INDIRECT("'NVRAM map'!"&amp;ADDRESS(ROW()+2,COLUMN('NVRAM map'!AG:AG)))="-",INDIRECT("'NVRAM map'!"&amp;ADDRESS(ROW()+2,COLUMN('NVRAM map'!AS:AS))),INDIRECT("'NVRAM map'!"&amp;ADDRESS(ROW()+2,COLUMN('NVRAM map'!AS:AS)))&amp;"_"&amp;INDIRECT("'NVRAM map'!"&amp;ADDRESS(ROW()+2,COLUMN('NVRAM map'!AG:AG))))),"__","_")</f>
        <v>EE_WOC_VBE_NAVG_CONF_WOC_BASE</v>
      </c>
      <c r="B34" s="100" t="str">
        <f ca="1">IF(OR(INDIRECT("'NVRAM map'!"&amp;ADDRESS(ROW()+2,COLUMN('NVRAM map'!D:D)))="-",A34="_"),"x","")</f>
        <v/>
      </c>
      <c r="C34" s="100" t="str">
        <f ca="1">IF(B34="x","FIXED",INDIRECT("'NVRAM map'!"&amp;ADDRESS(ROW()+2,COLUMN('NVRAM map'!I:I))))</f>
        <v>FIXED</v>
      </c>
      <c r="D34" s="100" t="str">
        <f ca="1">IF(C34="FIXED","",INDIRECT("'NVRAM map'!"&amp;ADDRESS(ROW()+2,COLUMN('NVRAM map'!K:K))))</f>
        <v/>
      </c>
      <c r="E34" s="100" t="str">
        <f ca="1">IF(C34="FIXED","",INDIRECT("'NVRAM map'!"&amp;ADDRESS(ROW()+2,COLUMN('NVRAM map'!L:L))))</f>
        <v/>
      </c>
      <c r="F34" s="100">
        <f ca="1">IF(C34="FIXED",INDIRECT("'NVRAM map'!"&amp;ADDRESS(ROW()+2,COLUMN('NVRAM map'!AM:AM))),"")</f>
        <v>0</v>
      </c>
      <c r="G34" s="99"/>
    </row>
    <row r="35" spans="1:7">
      <c r="A35" s="99" t="str">
        <f ca="1">SUBSTITUTE(UPPER(IF(INDIRECT("'NVRAM map'!"&amp;ADDRESS(ROW()+2,COLUMN('NVRAM map'!AG:AG)))="-",INDIRECT("'NVRAM map'!"&amp;ADDRESS(ROW()+2,COLUMN('NVRAM map'!AS:AS))),INDIRECT("'NVRAM map'!"&amp;ADDRESS(ROW()+2,COLUMN('NVRAM map'!AS:AS)))&amp;"_"&amp;INDIRECT("'NVRAM map'!"&amp;ADDRESS(ROW()+2,COLUMN('NVRAM map'!AG:AG))))),"__","_")</f>
        <v>EE_WOC_BURST_CONT_CONF</v>
      </c>
      <c r="B35" s="100" t="str">
        <f ca="1">IF(OR(INDIRECT("'NVRAM map'!"&amp;ADDRESS(ROW()+2,COLUMN('NVRAM map'!D:D)))="-",A35="_"),"x","")</f>
        <v>x</v>
      </c>
      <c r="C35" s="100" t="str">
        <f ca="1">IF(B35="x","FIXED",INDIRECT("'NVRAM map'!"&amp;ADDRESS(ROW()+2,COLUMN('NVRAM map'!I:I))))</f>
        <v>FIXED</v>
      </c>
      <c r="D35" s="100" t="str">
        <f ca="1">IF(C35="FIXED","",INDIRECT("'NVRAM map'!"&amp;ADDRESS(ROW()+2,COLUMN('NVRAM map'!K:K))))</f>
        <v/>
      </c>
      <c r="E35" s="100" t="str">
        <f ca="1">IF(C35="FIXED","",INDIRECT("'NVRAM map'!"&amp;ADDRESS(ROW()+2,COLUMN('NVRAM map'!L:L))))</f>
        <v/>
      </c>
      <c r="F35" s="100">
        <f ca="1">IF(C35="FIXED",INDIRECT("'NVRAM map'!"&amp;ADDRESS(ROW()+2,COLUMN('NVRAM map'!AM:AM))),"")</f>
        <v>0</v>
      </c>
      <c r="G35" s="99"/>
    </row>
    <row r="36" spans="1:7">
      <c r="A36" s="99" t="str">
        <f ca="1">SUBSTITUTE(UPPER(IF(INDIRECT("'NVRAM map'!"&amp;ADDRESS(ROW()+2,COLUMN('NVRAM map'!AG:AG)))="-",INDIRECT("'NVRAM map'!"&amp;ADDRESS(ROW()+2,COLUMN('NVRAM map'!AS:AS))),INDIRECT("'NVRAM map'!"&amp;ADDRESS(ROW()+2,COLUMN('NVRAM map'!AS:AS)))&amp;"_"&amp;INDIRECT("'NVRAM map'!"&amp;ADDRESS(ROW()+2,COLUMN('NVRAM map'!AG:AG))))),"__","_")</f>
        <v>EE_WOC_BURST_CONT_CONF_CONT_MODE_N_MEAS</v>
      </c>
      <c r="B36" s="100" t="str">
        <f ca="1">IF(OR(INDIRECT("'NVRAM map'!"&amp;ADDRESS(ROW()+2,COLUMN('NVRAM map'!D:D)))="-",A36="_"),"x","")</f>
        <v/>
      </c>
      <c r="C36" s="100" t="str">
        <f ca="1">IF(B36="x","FIXED",INDIRECT("'NVRAM map'!"&amp;ADDRESS(ROW()+2,COLUMN('NVRAM map'!I:I))))</f>
        <v>FIXED</v>
      </c>
      <c r="D36" s="100" t="str">
        <f ca="1">IF(C36="FIXED","",INDIRECT("'NVRAM map'!"&amp;ADDRESS(ROW()+2,COLUMN('NVRAM map'!K:K))))</f>
        <v/>
      </c>
      <c r="E36" s="100" t="str">
        <f ca="1">IF(C36="FIXED","",INDIRECT("'NVRAM map'!"&amp;ADDRESS(ROW()+2,COLUMN('NVRAM map'!L:L))))</f>
        <v/>
      </c>
      <c r="F36" s="100">
        <f ca="1">IF(C36="FIXED",INDIRECT("'NVRAM map'!"&amp;ADDRESS(ROW()+2,COLUMN('NVRAM map'!AM:AM))),"")</f>
        <v>2</v>
      </c>
      <c r="G36" s="99"/>
    </row>
    <row r="37" spans="1:7">
      <c r="A37" s="99" t="str">
        <f ca="1">SUBSTITUTE(UPPER(IF(INDIRECT("'NVRAM map'!"&amp;ADDRESS(ROW()+2,COLUMN('NVRAM map'!AG:AG)))="-",INDIRECT("'NVRAM map'!"&amp;ADDRESS(ROW()+2,COLUMN('NVRAM map'!AS:AS))),INDIRECT("'NVRAM map'!"&amp;ADDRESS(ROW()+2,COLUMN('NVRAM map'!AS:AS)))&amp;"_"&amp;INDIRECT("'NVRAM map'!"&amp;ADDRESS(ROW()+2,COLUMN('NVRAM map'!AG:AG))))),"__","_")</f>
        <v>EE_WOC_BURST_CONT_CONF_WUT_CONFIG</v>
      </c>
      <c r="B37" s="100" t="str">
        <f ca="1">IF(OR(INDIRECT("'NVRAM map'!"&amp;ADDRESS(ROW()+2,COLUMN('NVRAM map'!D:D)))="-",A37="_"),"x","")</f>
        <v/>
      </c>
      <c r="C37" s="100" t="str">
        <f ca="1">IF(B37="x","FIXED",INDIRECT("'NVRAM map'!"&amp;ADDRESS(ROW()+2,COLUMN('NVRAM map'!I:I))))</f>
        <v>FIXED</v>
      </c>
      <c r="D37" s="100" t="str">
        <f ca="1">IF(C37="FIXED","",INDIRECT("'NVRAM map'!"&amp;ADDRESS(ROW()+2,COLUMN('NVRAM map'!K:K))))</f>
        <v/>
      </c>
      <c r="E37" s="100" t="str">
        <f ca="1">IF(C37="FIXED","",INDIRECT("'NVRAM map'!"&amp;ADDRESS(ROW()+2,COLUMN('NVRAM map'!L:L))))</f>
        <v/>
      </c>
      <c r="F37" s="100">
        <f ca="1">IF(C37="FIXED",INDIRECT("'NVRAM map'!"&amp;ADDRESS(ROW()+2,COLUMN('NVRAM map'!AM:AM))),"")</f>
        <v>0</v>
      </c>
      <c r="G37" s="99"/>
    </row>
    <row r="38" spans="1:7">
      <c r="A38" s="99" t="str">
        <f ca="1">SUBSTITUTE(UPPER(IF(INDIRECT("'NVRAM map'!"&amp;ADDRESS(ROW()+2,COLUMN('NVRAM map'!AG:AG)))="-",INDIRECT("'NVRAM map'!"&amp;ADDRESS(ROW()+2,COLUMN('NVRAM map'!AS:AS))),INDIRECT("'NVRAM map'!"&amp;ADDRESS(ROW()+2,COLUMN('NVRAM map'!AS:AS)))&amp;"_"&amp;INDIRECT("'NVRAM map'!"&amp;ADDRESS(ROW()+2,COLUMN('NVRAM map'!AG:AG))))),"__","_")</f>
        <v>EE_WOC_BURST_CONT_CONF_WOC_THRESHOLD</v>
      </c>
      <c r="B38" s="100" t="str">
        <f ca="1">IF(OR(INDIRECT("'NVRAM map'!"&amp;ADDRESS(ROW()+2,COLUMN('NVRAM map'!D:D)))="-",A38="_"),"x","")</f>
        <v/>
      </c>
      <c r="C38" s="100" t="str">
        <f ca="1">IF(B38="x","FIXED",INDIRECT("'NVRAM map'!"&amp;ADDRESS(ROW()+2,COLUMN('NVRAM map'!I:I))))</f>
        <v>FIXED</v>
      </c>
      <c r="D38" s="100" t="str">
        <f ca="1">IF(C38="FIXED","",INDIRECT("'NVRAM map'!"&amp;ADDRESS(ROW()+2,COLUMN('NVRAM map'!K:K))))</f>
        <v/>
      </c>
      <c r="E38" s="100" t="str">
        <f ca="1">IF(C38="FIXED","",INDIRECT("'NVRAM map'!"&amp;ADDRESS(ROW()+2,COLUMN('NVRAM map'!L:L))))</f>
        <v/>
      </c>
      <c r="F38" s="100">
        <f ca="1">IF(C38="FIXED",INDIRECT("'NVRAM map'!"&amp;ADDRESS(ROW()+2,COLUMN('NVRAM map'!AM:AM))),"")</f>
        <v>0</v>
      </c>
      <c r="G38" s="99"/>
    </row>
    <row r="39" spans="1:7">
      <c r="A39" s="99" t="str">
        <f ca="1">SUBSTITUTE(UPPER(IF(INDIRECT("'NVRAM map'!"&amp;ADDRESS(ROW()+2,COLUMN('NVRAM map'!AG:AG)))="-",INDIRECT("'NVRAM map'!"&amp;ADDRESS(ROW()+2,COLUMN('NVRAM map'!AS:AS))),INDIRECT("'NVRAM map'!"&amp;ADDRESS(ROW()+2,COLUMN('NVRAM map'!AS:AS)))&amp;"_"&amp;INDIRECT("'NVRAM map'!"&amp;ADDRESS(ROW()+2,COLUMN('NVRAM map'!AG:AG))))),"__","_")</f>
        <v>EE_PRESS_LSM</v>
      </c>
      <c r="B39" s="100" t="str">
        <f ca="1">IF(OR(INDIRECT("'NVRAM map'!"&amp;ADDRESS(ROW()+2,COLUMN('NVRAM map'!D:D)))="-",A39="_"),"x","")</f>
        <v>x</v>
      </c>
      <c r="C39" s="100" t="str">
        <f ca="1">IF(B39="x","FIXED",INDIRECT("'NVRAM map'!"&amp;ADDRESS(ROW()+2,COLUMN('NVRAM map'!I:I))))</f>
        <v>FIXED</v>
      </c>
      <c r="D39" s="100" t="str">
        <f ca="1">IF(C39="FIXED","",INDIRECT("'NVRAM map'!"&amp;ADDRESS(ROW()+2,COLUMN('NVRAM map'!K:K))))</f>
        <v/>
      </c>
      <c r="E39" s="100" t="str">
        <f ca="1">IF(C39="FIXED","",INDIRECT("'NVRAM map'!"&amp;ADDRESS(ROW()+2,COLUMN('NVRAM map'!L:L))))</f>
        <v/>
      </c>
      <c r="F39" s="100">
        <f ca="1">IF(C39="FIXED",INDIRECT("'NVRAM map'!"&amp;ADDRESS(ROW()+2,COLUMN('NVRAM map'!AM:AM))),"")</f>
        <v>0</v>
      </c>
      <c r="G39" s="99"/>
    </row>
    <row r="40" spans="1:7">
      <c r="A40" s="99" t="str">
        <f ca="1">SUBSTITUTE(UPPER(IF(INDIRECT("'NVRAM map'!"&amp;ADDRESS(ROW()+2,COLUMN('NVRAM map'!AG:AG)))="-",INDIRECT("'NVRAM map'!"&amp;ADDRESS(ROW()+2,COLUMN('NVRAM map'!AS:AS))),INDIRECT("'NVRAM map'!"&amp;ADDRESS(ROW()+2,COLUMN('NVRAM map'!AS:AS)))&amp;"_"&amp;INDIRECT("'NVRAM map'!"&amp;ADDRESS(ROW()+2,COLUMN('NVRAM map'!AG:AG))))),"__","_")</f>
        <v>EE_PRESS_LSM_P_THRD_LOCK_HIGH</v>
      </c>
      <c r="B40" s="100" t="str">
        <f ca="1">IF(OR(INDIRECT("'NVRAM map'!"&amp;ADDRESS(ROW()+2,COLUMN('NVRAM map'!D:D)))="-",A40="_"),"x","")</f>
        <v/>
      </c>
      <c r="C40" s="100" t="str">
        <f ca="1">IF(B40="x","FIXED",INDIRECT("'NVRAM map'!"&amp;ADDRESS(ROW()+2,COLUMN('NVRAM map'!I:I))))</f>
        <v>FIXED</v>
      </c>
      <c r="D40" s="100" t="str">
        <f ca="1">IF(C40="FIXED","",INDIRECT("'NVRAM map'!"&amp;ADDRESS(ROW()+2,COLUMN('NVRAM map'!K:K))))</f>
        <v/>
      </c>
      <c r="E40" s="100" t="str">
        <f ca="1">IF(C40="FIXED","",INDIRECT("'NVRAM map'!"&amp;ADDRESS(ROW()+2,COLUMN('NVRAM map'!L:L))))</f>
        <v/>
      </c>
      <c r="F40" s="100">
        <f ca="1">IF(C40="FIXED",INDIRECT("'NVRAM map'!"&amp;ADDRESS(ROW()+2,COLUMN('NVRAM map'!AM:AM))),"")</f>
        <v>10</v>
      </c>
      <c r="G40" s="99"/>
    </row>
    <row r="41" spans="1:7">
      <c r="A41" s="99" t="str">
        <f ca="1">SUBSTITUTE(UPPER(IF(INDIRECT("'NVRAM map'!"&amp;ADDRESS(ROW()+2,COLUMN('NVRAM map'!AG:AG)))="-",INDIRECT("'NVRAM map'!"&amp;ADDRESS(ROW()+2,COLUMN('NVRAM map'!AS:AS))),INDIRECT("'NVRAM map'!"&amp;ADDRESS(ROW()+2,COLUMN('NVRAM map'!AS:AS)))&amp;"_"&amp;INDIRECT("'NVRAM map'!"&amp;ADDRESS(ROW()+2,COLUMN('NVRAM map'!AG:AG))))),"__","_")</f>
        <v>EE_PRESS_LSM_P_THRD_LOCK_LOW</v>
      </c>
      <c r="B41" s="100" t="str">
        <f ca="1">IF(OR(INDIRECT("'NVRAM map'!"&amp;ADDRESS(ROW()+2,COLUMN('NVRAM map'!D:D)))="-",A41="_"),"x","")</f>
        <v/>
      </c>
      <c r="C41" s="100" t="str">
        <f ca="1">IF(B41="x","FIXED",INDIRECT("'NVRAM map'!"&amp;ADDRESS(ROW()+2,COLUMN('NVRAM map'!I:I))))</f>
        <v>FIXED</v>
      </c>
      <c r="D41" s="100" t="str">
        <f ca="1">IF(C41="FIXED","",INDIRECT("'NVRAM map'!"&amp;ADDRESS(ROW()+2,COLUMN('NVRAM map'!K:K))))</f>
        <v/>
      </c>
      <c r="E41" s="100" t="str">
        <f ca="1">IF(C41="FIXED","",INDIRECT("'NVRAM map'!"&amp;ADDRESS(ROW()+2,COLUMN('NVRAM map'!L:L))))</f>
        <v/>
      </c>
      <c r="F41" s="100">
        <f ca="1">IF(C41="FIXED",INDIRECT("'NVRAM map'!"&amp;ADDRESS(ROW()+2,COLUMN('NVRAM map'!AM:AM))),"")</f>
        <v>4</v>
      </c>
      <c r="G41" s="99"/>
    </row>
    <row r="42" spans="1:7">
      <c r="A42" s="99" t="str">
        <f ca="1">SUBSTITUTE(UPPER(IF(INDIRECT("'NVRAM map'!"&amp;ADDRESS(ROW()+2,COLUMN('NVRAM map'!AG:AG)))="-",INDIRECT("'NVRAM map'!"&amp;ADDRESS(ROW()+2,COLUMN('NVRAM map'!AS:AS))),INDIRECT("'NVRAM map'!"&amp;ADDRESS(ROW()+2,COLUMN('NVRAM map'!AS:AS)))&amp;"_"&amp;INDIRECT("'NVRAM map'!"&amp;ADDRESS(ROW()+2,COLUMN('NVRAM map'!AG:AG))))),"__","_")</f>
        <v>EE_PRESS_LSM_P_CNT_LOCK_STATE</v>
      </c>
      <c r="B42" s="100" t="str">
        <f ca="1">IF(OR(INDIRECT("'NVRAM map'!"&amp;ADDRESS(ROW()+2,COLUMN('NVRAM map'!D:D)))="-",A42="_"),"x","")</f>
        <v/>
      </c>
      <c r="C42" s="100" t="str">
        <f ca="1">IF(B42="x","FIXED",INDIRECT("'NVRAM map'!"&amp;ADDRESS(ROW()+2,COLUMN('NVRAM map'!I:I))))</f>
        <v>FIXED</v>
      </c>
      <c r="D42" s="100" t="str">
        <f ca="1">IF(C42="FIXED","",INDIRECT("'NVRAM map'!"&amp;ADDRESS(ROW()+2,COLUMN('NVRAM map'!K:K))))</f>
        <v/>
      </c>
      <c r="E42" s="100" t="str">
        <f ca="1">IF(C42="FIXED","",INDIRECT("'NVRAM map'!"&amp;ADDRESS(ROW()+2,COLUMN('NVRAM map'!L:L))))</f>
        <v/>
      </c>
      <c r="F42" s="100">
        <f ca="1">IF(C42="FIXED",INDIRECT("'NVRAM map'!"&amp;ADDRESS(ROW()+2,COLUMN('NVRAM map'!AM:AM))),"")</f>
        <v>5</v>
      </c>
      <c r="G42" s="99"/>
    </row>
    <row r="43" spans="1:7">
      <c r="A43" s="99" t="str">
        <f ca="1">SUBSTITUTE(UPPER(IF(INDIRECT("'NVRAM map'!"&amp;ADDRESS(ROW()+2,COLUMN('NVRAM map'!AG:AG)))="-",INDIRECT("'NVRAM map'!"&amp;ADDRESS(ROW()+2,COLUMN('NVRAM map'!AS:AS))),INDIRECT("'NVRAM map'!"&amp;ADDRESS(ROW()+2,COLUMN('NVRAM map'!AS:AS)))&amp;"_"&amp;INDIRECT("'NVRAM map'!"&amp;ADDRESS(ROW()+2,COLUMN('NVRAM map'!AG:AG))))),"__","_")</f>
        <v>EE_PRESS_LSM_P_LPF_DEPTH</v>
      </c>
      <c r="B43" s="100" t="str">
        <f ca="1">IF(OR(INDIRECT("'NVRAM map'!"&amp;ADDRESS(ROW()+2,COLUMN('NVRAM map'!D:D)))="-",A43="_"),"x","")</f>
        <v/>
      </c>
      <c r="C43" s="100" t="str">
        <f ca="1">IF(B43="x","FIXED",INDIRECT("'NVRAM map'!"&amp;ADDRESS(ROW()+2,COLUMN('NVRAM map'!I:I))))</f>
        <v>FIXED</v>
      </c>
      <c r="D43" s="100" t="str">
        <f ca="1">IF(C43="FIXED","",INDIRECT("'NVRAM map'!"&amp;ADDRESS(ROW()+2,COLUMN('NVRAM map'!K:K))))</f>
        <v/>
      </c>
      <c r="E43" s="100" t="str">
        <f ca="1">IF(C43="FIXED","",INDIRECT("'NVRAM map'!"&amp;ADDRESS(ROW()+2,COLUMN('NVRAM map'!L:L))))</f>
        <v/>
      </c>
      <c r="F43" s="100">
        <f ca="1">IF(C43="FIXED",INDIRECT("'NVRAM map'!"&amp;ADDRESS(ROW()+2,COLUMN('NVRAM map'!AM:AM))),"")</f>
        <v>2</v>
      </c>
      <c r="G43" s="99"/>
    </row>
    <row r="44" spans="1:7">
      <c r="A44" s="99" t="str">
        <f ca="1">SUBSTITUTE(UPPER(IF(INDIRECT("'NVRAM map'!"&amp;ADDRESS(ROW()+2,COLUMN('NVRAM map'!AG:AG)))="-",INDIRECT("'NVRAM map'!"&amp;ADDRESS(ROW()+2,COLUMN('NVRAM map'!AS:AS))),INDIRECT("'NVRAM map'!"&amp;ADDRESS(ROW()+2,COLUMN('NVRAM map'!AS:AS)))&amp;"_"&amp;INDIRECT("'NVRAM map'!"&amp;ADDRESS(ROW()+2,COLUMN('NVRAM map'!AG:AG))))),"__","_")</f>
        <v>EE_NTC_ALPF</v>
      </c>
      <c r="B44" s="100" t="str">
        <f ca="1">IF(OR(INDIRECT("'NVRAM map'!"&amp;ADDRESS(ROW()+2,COLUMN('NVRAM map'!D:D)))="-",A44="_"),"x","")</f>
        <v>x</v>
      </c>
      <c r="C44" s="100" t="str">
        <f ca="1">IF(B44="x","FIXED",INDIRECT("'NVRAM map'!"&amp;ADDRESS(ROW()+2,COLUMN('NVRAM map'!I:I))))</f>
        <v>FIXED</v>
      </c>
      <c r="D44" s="100" t="str">
        <f ca="1">IF(C44="FIXED","",INDIRECT("'NVRAM map'!"&amp;ADDRESS(ROW()+2,COLUMN('NVRAM map'!K:K))))</f>
        <v/>
      </c>
      <c r="E44" s="100" t="str">
        <f ca="1">IF(C44="FIXED","",INDIRECT("'NVRAM map'!"&amp;ADDRESS(ROW()+2,COLUMN('NVRAM map'!L:L))))</f>
        <v/>
      </c>
      <c r="F44" s="100">
        <f ca="1">IF(C44="FIXED",INDIRECT("'NVRAM map'!"&amp;ADDRESS(ROW()+2,COLUMN('NVRAM map'!AM:AM))),"")</f>
        <v>0</v>
      </c>
      <c r="G44" s="99"/>
    </row>
    <row r="45" spans="1:7">
      <c r="A45" s="99" t="str">
        <f ca="1">SUBSTITUTE(UPPER(IF(INDIRECT("'NVRAM map'!"&amp;ADDRESS(ROW()+2,COLUMN('NVRAM map'!AG:AG)))="-",INDIRECT("'NVRAM map'!"&amp;ADDRESS(ROW()+2,COLUMN('NVRAM map'!AS:AS))),INDIRECT("'NVRAM map'!"&amp;ADDRESS(ROW()+2,COLUMN('NVRAM map'!AS:AS)))&amp;"_"&amp;INDIRECT("'NVRAM map'!"&amp;ADDRESS(ROW()+2,COLUMN('NVRAM map'!AG:AG))))),"__","_")</f>
        <v>EE_NTC_ALPF_NTC_ALPF_DEPTH_DEC</v>
      </c>
      <c r="B45" s="100" t="str">
        <f ca="1">IF(OR(INDIRECT("'NVRAM map'!"&amp;ADDRESS(ROW()+2,COLUMN('NVRAM map'!D:D)))="-",A45="_"),"x","")</f>
        <v/>
      </c>
      <c r="C45" s="100" t="str">
        <f ca="1">IF(B45="x","FIXED",INDIRECT("'NVRAM map'!"&amp;ADDRESS(ROW()+2,COLUMN('NVRAM map'!I:I))))</f>
        <v>FIXED</v>
      </c>
      <c r="D45" s="100" t="str">
        <f ca="1">IF(C45="FIXED","",INDIRECT("'NVRAM map'!"&amp;ADDRESS(ROW()+2,COLUMN('NVRAM map'!K:K))))</f>
        <v/>
      </c>
      <c r="E45" s="100" t="str">
        <f ca="1">IF(C45="FIXED","",INDIRECT("'NVRAM map'!"&amp;ADDRESS(ROW()+2,COLUMN('NVRAM map'!L:L))))</f>
        <v/>
      </c>
      <c r="F45" s="100">
        <f ca="1">IF(C45="FIXED",INDIRECT("'NVRAM map'!"&amp;ADDRESS(ROW()+2,COLUMN('NVRAM map'!AM:AM))),"")</f>
        <v>1</v>
      </c>
      <c r="G45" s="99"/>
    </row>
    <row r="46" spans="1:7">
      <c r="A46" s="99" t="str">
        <f ca="1">SUBSTITUTE(UPPER(IF(INDIRECT("'NVRAM map'!"&amp;ADDRESS(ROW()+2,COLUMN('NVRAM map'!AG:AG)))="-",INDIRECT("'NVRAM map'!"&amp;ADDRESS(ROW()+2,COLUMN('NVRAM map'!AS:AS))),INDIRECT("'NVRAM map'!"&amp;ADDRESS(ROW()+2,COLUMN('NVRAM map'!AS:AS)))&amp;"_"&amp;INDIRECT("'NVRAM map'!"&amp;ADDRESS(ROW()+2,COLUMN('NVRAM map'!AG:AG))))),"__","_")</f>
        <v>EE_NTC_ALPF_NTC_ALPF_DEPTH_MIN</v>
      </c>
      <c r="B46" s="100" t="str">
        <f ca="1">IF(OR(INDIRECT("'NVRAM map'!"&amp;ADDRESS(ROW()+2,COLUMN('NVRAM map'!D:D)))="-",A46="_"),"x","")</f>
        <v/>
      </c>
      <c r="C46" s="100" t="str">
        <f ca="1">IF(B46="x","FIXED",INDIRECT("'NVRAM map'!"&amp;ADDRESS(ROW()+2,COLUMN('NVRAM map'!I:I))))</f>
        <v>FIXED</v>
      </c>
      <c r="D46" s="100" t="str">
        <f ca="1">IF(C46="FIXED","",INDIRECT("'NVRAM map'!"&amp;ADDRESS(ROW()+2,COLUMN('NVRAM map'!K:K))))</f>
        <v/>
      </c>
      <c r="E46" s="100" t="str">
        <f ca="1">IF(C46="FIXED","",INDIRECT("'NVRAM map'!"&amp;ADDRESS(ROW()+2,COLUMN('NVRAM map'!L:L))))</f>
        <v/>
      </c>
      <c r="F46" s="100">
        <f ca="1">IF(C46="FIXED",INDIRECT("'NVRAM map'!"&amp;ADDRESS(ROW()+2,COLUMN('NVRAM map'!AM:AM))),"")</f>
        <v>0</v>
      </c>
      <c r="G46" s="99"/>
    </row>
    <row r="47" spans="1:7">
      <c r="A47" s="99" t="str">
        <f ca="1">SUBSTITUTE(UPPER(IF(INDIRECT("'NVRAM map'!"&amp;ADDRESS(ROW()+2,COLUMN('NVRAM map'!AG:AG)))="-",INDIRECT("'NVRAM map'!"&amp;ADDRESS(ROW()+2,COLUMN('NVRAM map'!AS:AS))),INDIRECT("'NVRAM map'!"&amp;ADDRESS(ROW()+2,COLUMN('NVRAM map'!AS:AS)))&amp;"_"&amp;INDIRECT("'NVRAM map'!"&amp;ADDRESS(ROW()+2,COLUMN('NVRAM map'!AG:AG))))),"__","_")</f>
        <v>EE_NTC_ALPF_NTC_ALPF_DEPTH_MAX</v>
      </c>
      <c r="B47" s="100" t="str">
        <f ca="1">IF(OR(INDIRECT("'NVRAM map'!"&amp;ADDRESS(ROW()+2,COLUMN('NVRAM map'!D:D)))="-",A47="_"),"x","")</f>
        <v/>
      </c>
      <c r="C47" s="100" t="str">
        <f ca="1">IF(B47="x","FIXED",INDIRECT("'NVRAM map'!"&amp;ADDRESS(ROW()+2,COLUMN('NVRAM map'!I:I))))</f>
        <v>FIXED</v>
      </c>
      <c r="D47" s="100" t="str">
        <f ca="1">IF(C47="FIXED","",INDIRECT("'NVRAM map'!"&amp;ADDRESS(ROW()+2,COLUMN('NVRAM map'!K:K))))</f>
        <v/>
      </c>
      <c r="E47" s="100" t="str">
        <f ca="1">IF(C47="FIXED","",INDIRECT("'NVRAM map'!"&amp;ADDRESS(ROW()+2,COLUMN('NVRAM map'!L:L))))</f>
        <v/>
      </c>
      <c r="F47" s="100">
        <f ca="1">IF(C47="FIXED",INDIRECT("'NVRAM map'!"&amp;ADDRESS(ROW()+2,COLUMN('NVRAM map'!AM:AM))),"")</f>
        <v>5</v>
      </c>
      <c r="G47" s="99"/>
    </row>
    <row r="48" spans="1:7">
      <c r="A48" s="99" t="str">
        <f ca="1">SUBSTITUTE(UPPER(IF(INDIRECT("'NVRAM map'!"&amp;ADDRESS(ROW()+2,COLUMN('NVRAM map'!AG:AG)))="-",INDIRECT("'NVRAM map'!"&amp;ADDRESS(ROW()+2,COLUMN('NVRAM map'!AS:AS))),INDIRECT("'NVRAM map'!"&amp;ADDRESS(ROW()+2,COLUMN('NVRAM map'!AS:AS)))&amp;"_"&amp;INDIRECT("'NVRAM map'!"&amp;ADDRESS(ROW()+2,COLUMN('NVRAM map'!AG:AG))))),"__","_")</f>
        <v>EE_NTC_ALPF_NTC_ALPF_THRESHOLD_MAX</v>
      </c>
      <c r="B48" s="100" t="str">
        <f ca="1">IF(OR(INDIRECT("'NVRAM map'!"&amp;ADDRESS(ROW()+2,COLUMN('NVRAM map'!D:D)))="-",A48="_"),"x","")</f>
        <v/>
      </c>
      <c r="C48" s="100" t="str">
        <f ca="1">IF(B48="x","FIXED",INDIRECT("'NVRAM map'!"&amp;ADDRESS(ROW()+2,COLUMN('NVRAM map'!I:I))))</f>
        <v>FIXED</v>
      </c>
      <c r="D48" s="100" t="str">
        <f ca="1">IF(C48="FIXED","",INDIRECT("'NVRAM map'!"&amp;ADDRESS(ROW()+2,COLUMN('NVRAM map'!K:K))))</f>
        <v/>
      </c>
      <c r="E48" s="100" t="str">
        <f ca="1">IF(C48="FIXED","",INDIRECT("'NVRAM map'!"&amp;ADDRESS(ROW()+2,COLUMN('NVRAM map'!L:L))))</f>
        <v/>
      </c>
      <c r="F48" s="100">
        <f ca="1">IF(C48="FIXED",INDIRECT("'NVRAM map'!"&amp;ADDRESS(ROW()+2,COLUMN('NVRAM map'!AM:AM))),"")</f>
        <v>128</v>
      </c>
      <c r="G48" s="99"/>
    </row>
    <row r="49" spans="1:7">
      <c r="A49" s="99" t="str">
        <f ca="1">SUBSTITUTE(UPPER(IF(INDIRECT("'NVRAM map'!"&amp;ADDRESS(ROW()+2,COLUMN('NVRAM map'!AG:AG)))="-",INDIRECT("'NVRAM map'!"&amp;ADDRESS(ROW()+2,COLUMN('NVRAM map'!AS:AS))),INDIRECT("'NVRAM map'!"&amp;ADDRESS(ROW()+2,COLUMN('NVRAM map'!AS:AS)))&amp;"_"&amp;INDIRECT("'NVRAM map'!"&amp;ADDRESS(ROW()+2,COLUMN('NVRAM map'!AG:AG))))),"__","_")</f>
        <v>EE_I2C_SPI_CONF</v>
      </c>
      <c r="B49" s="100" t="str">
        <f ca="1">IF(OR(INDIRECT("'NVRAM map'!"&amp;ADDRESS(ROW()+2,COLUMN('NVRAM map'!D:D)))="-",A49="_"),"x","")</f>
        <v>x</v>
      </c>
      <c r="C49" s="100" t="str">
        <f ca="1">IF(B49="x","FIXED",INDIRECT("'NVRAM map'!"&amp;ADDRESS(ROW()+2,COLUMN('NVRAM map'!I:I))))</f>
        <v>FIXED</v>
      </c>
      <c r="D49" s="100" t="str">
        <f ca="1">IF(C49="FIXED","",INDIRECT("'NVRAM map'!"&amp;ADDRESS(ROW()+2,COLUMN('NVRAM map'!K:K))))</f>
        <v/>
      </c>
      <c r="E49" s="100" t="str">
        <f ca="1">IF(C49="FIXED","",INDIRECT("'NVRAM map'!"&amp;ADDRESS(ROW()+2,COLUMN('NVRAM map'!L:L))))</f>
        <v/>
      </c>
      <c r="F49" s="100">
        <f ca="1">IF(C49="FIXED",INDIRECT("'NVRAM map'!"&amp;ADDRESS(ROW()+2,COLUMN('NVRAM map'!AM:AM))),"")</f>
        <v>0</v>
      </c>
      <c r="G49" s="99"/>
    </row>
    <row r="50" spans="1:7">
      <c r="A50" s="99" t="str">
        <f ca="1">SUBSTITUTE(UPPER(IF(INDIRECT("'NVRAM map'!"&amp;ADDRESS(ROW()+2,COLUMN('NVRAM map'!AG:AG)))="-",INDIRECT("'NVRAM map'!"&amp;ADDRESS(ROW()+2,COLUMN('NVRAM map'!AS:AS))),INDIRECT("'NVRAM map'!"&amp;ADDRESS(ROW()+2,COLUMN('NVRAM map'!AS:AS)))&amp;"_"&amp;INDIRECT("'NVRAM map'!"&amp;ADDRESS(ROW()+2,COLUMN('NVRAM map'!AG:AG))))),"__","_")</f>
        <v>EE_I2C_SPI_CONF_I2C_SPI_CONF_RESERVED</v>
      </c>
      <c r="B50" s="100" t="str">
        <f ca="1">IF(OR(INDIRECT("'NVRAM map'!"&amp;ADDRESS(ROW()+2,COLUMN('NVRAM map'!D:D)))="-",A50="_"),"x","")</f>
        <v/>
      </c>
      <c r="C50" s="100" t="str">
        <f ca="1">IF(B50="x","FIXED",INDIRECT("'NVRAM map'!"&amp;ADDRESS(ROW()+2,COLUMN('NVRAM map'!I:I))))</f>
        <v>FIXED</v>
      </c>
      <c r="D50" s="100" t="str">
        <f ca="1">IF(C50="FIXED","",INDIRECT("'NVRAM map'!"&amp;ADDRESS(ROW()+2,COLUMN('NVRAM map'!K:K))))</f>
        <v/>
      </c>
      <c r="E50" s="100" t="str">
        <f ca="1">IF(C50="FIXED","",INDIRECT("'NVRAM map'!"&amp;ADDRESS(ROW()+2,COLUMN('NVRAM map'!L:L))))</f>
        <v/>
      </c>
      <c r="F50" s="100">
        <f ca="1">IF(C50="FIXED",INDIRECT("'NVRAM map'!"&amp;ADDRESS(ROW()+2,COLUMN('NVRAM map'!AM:AM))),"")</f>
        <v>0</v>
      </c>
      <c r="G50" s="99"/>
    </row>
    <row r="51" spans="1:7">
      <c r="A51" s="99" t="str">
        <f ca="1">SUBSTITUTE(UPPER(IF(INDIRECT("'NVRAM map'!"&amp;ADDRESS(ROW()+2,COLUMN('NVRAM map'!AG:AG)))="-",INDIRECT("'NVRAM map'!"&amp;ADDRESS(ROW()+2,COLUMN('NVRAM map'!AS:AS))),INDIRECT("'NVRAM map'!"&amp;ADDRESS(ROW()+2,COLUMN('NVRAM map'!AS:AS)))&amp;"_"&amp;INDIRECT("'NVRAM map'!"&amp;ADDRESS(ROW()+2,COLUMN('NVRAM map'!AG:AG))))),"__","_")</f>
        <v>EE_I2C_SPI_CONF_I2C_ADDRESS</v>
      </c>
      <c r="B51" s="100" t="str">
        <f ca="1">IF(OR(INDIRECT("'NVRAM map'!"&amp;ADDRESS(ROW()+2,COLUMN('NVRAM map'!D:D)))="-",A51="_"),"x","")</f>
        <v/>
      </c>
      <c r="C51" s="100" t="str">
        <f ca="1">IF(B51="x","FIXED",INDIRECT("'NVRAM map'!"&amp;ADDRESS(ROW()+2,COLUMN('NVRAM map'!I:I))))</f>
        <v>FIXED</v>
      </c>
      <c r="D51" s="100" t="str">
        <f ca="1">IF(C51="FIXED","",INDIRECT("'NVRAM map'!"&amp;ADDRESS(ROW()+2,COLUMN('NVRAM map'!K:K))))</f>
        <v/>
      </c>
      <c r="E51" s="100" t="str">
        <f ca="1">IF(C51="FIXED","",INDIRECT("'NVRAM map'!"&amp;ADDRESS(ROW()+2,COLUMN('NVRAM map'!L:L))))</f>
        <v/>
      </c>
      <c r="F51" s="100">
        <f ca="1">IF(C51="FIXED",INDIRECT("'NVRAM map'!"&amp;ADDRESS(ROW()+2,COLUMN('NVRAM map'!AM:AM))),"")</f>
        <v>0</v>
      </c>
      <c r="G51" s="99"/>
    </row>
    <row r="52" spans="1:7">
      <c r="A52" s="99" t="str">
        <f ca="1">SUBSTITUTE(UPPER(IF(INDIRECT("'NVRAM map'!"&amp;ADDRESS(ROW()+2,COLUMN('NVRAM map'!AG:AG)))="-",INDIRECT("'NVRAM map'!"&amp;ADDRESS(ROW()+2,COLUMN('NVRAM map'!AS:AS))),INDIRECT("'NVRAM map'!"&amp;ADDRESS(ROW()+2,COLUMN('NVRAM map'!AS:AS)))&amp;"_"&amp;INDIRECT("'NVRAM map'!"&amp;ADDRESS(ROW()+2,COLUMN('NVRAM map'!AG:AG))))),"__","_")</f>
        <v>EE_I2C_SPI_CONF_SPI_CPOL</v>
      </c>
      <c r="B52" s="100" t="str">
        <f ca="1">IF(OR(INDIRECT("'NVRAM map'!"&amp;ADDRESS(ROW()+2,COLUMN('NVRAM map'!D:D)))="-",A52="_"),"x","")</f>
        <v/>
      </c>
      <c r="C52" s="100" t="str">
        <f ca="1">IF(B52="x","FIXED",INDIRECT("'NVRAM map'!"&amp;ADDRESS(ROW()+2,COLUMN('NVRAM map'!I:I))))</f>
        <v>FIXED</v>
      </c>
      <c r="D52" s="100" t="str">
        <f ca="1">IF(C52="FIXED","",INDIRECT("'NVRAM map'!"&amp;ADDRESS(ROW()+2,COLUMN('NVRAM map'!K:K))))</f>
        <v/>
      </c>
      <c r="E52" s="100" t="str">
        <f ca="1">IF(C52="FIXED","",INDIRECT("'NVRAM map'!"&amp;ADDRESS(ROW()+2,COLUMN('NVRAM map'!L:L))))</f>
        <v/>
      </c>
      <c r="F52" s="100">
        <f ca="1">IF(C52="FIXED",INDIRECT("'NVRAM map'!"&amp;ADDRESS(ROW()+2,COLUMN('NVRAM map'!AM:AM))),"")</f>
        <v>0</v>
      </c>
      <c r="G52" s="99"/>
    </row>
    <row r="53" spans="1:7">
      <c r="A53" s="99" t="str">
        <f ca="1">SUBSTITUTE(UPPER(IF(INDIRECT("'NVRAM map'!"&amp;ADDRESS(ROW()+2,COLUMN('NVRAM map'!AG:AG)))="-",INDIRECT("'NVRAM map'!"&amp;ADDRESS(ROW()+2,COLUMN('NVRAM map'!AS:AS))),INDIRECT("'NVRAM map'!"&amp;ADDRESS(ROW()+2,COLUMN('NVRAM map'!AS:AS)))&amp;"_"&amp;INDIRECT("'NVRAM map'!"&amp;ADDRESS(ROW()+2,COLUMN('NVRAM map'!AG:AG))))),"__","_")</f>
        <v>EE_I2C_SPI_CONF_SPI_CPHA</v>
      </c>
      <c r="B53" s="100" t="str">
        <f ca="1">IF(OR(INDIRECT("'NVRAM map'!"&amp;ADDRESS(ROW()+2,COLUMN('NVRAM map'!D:D)))="-",A53="_"),"x","")</f>
        <v/>
      </c>
      <c r="C53" s="100" t="str">
        <f ca="1">IF(B53="x","FIXED",INDIRECT("'NVRAM map'!"&amp;ADDRESS(ROW()+2,COLUMN('NVRAM map'!I:I))))</f>
        <v>FIXED</v>
      </c>
      <c r="D53" s="100" t="str">
        <f ca="1">IF(C53="FIXED","",INDIRECT("'NVRAM map'!"&amp;ADDRESS(ROW()+2,COLUMN('NVRAM map'!K:K))))</f>
        <v/>
      </c>
      <c r="E53" s="100" t="str">
        <f ca="1">IF(C53="FIXED","",INDIRECT("'NVRAM map'!"&amp;ADDRESS(ROW()+2,COLUMN('NVRAM map'!L:L))))</f>
        <v/>
      </c>
      <c r="F53" s="100">
        <f ca="1">IF(C53="FIXED",INDIRECT("'NVRAM map'!"&amp;ADDRESS(ROW()+2,COLUMN('NVRAM map'!AM:AM))),"")</f>
        <v>0</v>
      </c>
      <c r="G53" s="99"/>
    </row>
    <row r="54" spans="1:7">
      <c r="A54" s="99" t="str">
        <f ca="1">SUBSTITUTE(UPPER(IF(INDIRECT("'NVRAM map'!"&amp;ADDRESS(ROW()+2,COLUMN('NVRAM map'!AG:AG)))="-",INDIRECT("'NVRAM map'!"&amp;ADDRESS(ROW()+2,COLUMN('NVRAM map'!AS:AS))),INDIRECT("'NVRAM map'!"&amp;ADDRESS(ROW()+2,COLUMN('NVRAM map'!AS:AS)))&amp;"_"&amp;INDIRECT("'NVRAM map'!"&amp;ADDRESS(ROW()+2,COLUMN('NVRAM map'!AG:AG))))),"__","_")</f>
        <v>EE_I2C_SPI_CONF_ENABLE</v>
      </c>
      <c r="B54" s="100" t="str">
        <f ca="1">IF(OR(INDIRECT("'NVRAM map'!"&amp;ADDRESS(ROW()+2,COLUMN('NVRAM map'!D:D)))="-",A54="_"),"x","")</f>
        <v/>
      </c>
      <c r="C54" s="100" t="str">
        <f ca="1">IF(B54="x","FIXED",INDIRECT("'NVRAM map'!"&amp;ADDRESS(ROW()+2,COLUMN('NVRAM map'!I:I))))</f>
        <v>FIXED</v>
      </c>
      <c r="D54" s="100" t="str">
        <f ca="1">IF(C54="FIXED","",INDIRECT("'NVRAM map'!"&amp;ADDRESS(ROW()+2,COLUMN('NVRAM map'!K:K))))</f>
        <v/>
      </c>
      <c r="E54" s="100" t="str">
        <f ca="1">IF(C54="FIXED","",INDIRECT("'NVRAM map'!"&amp;ADDRESS(ROW()+2,COLUMN('NVRAM map'!L:L))))</f>
        <v/>
      </c>
      <c r="F54" s="100">
        <f ca="1">IF(C54="FIXED",INDIRECT("'NVRAM map'!"&amp;ADDRESS(ROW()+2,COLUMN('NVRAM map'!AM:AM))),"")</f>
        <v>0</v>
      </c>
      <c r="G54" s="99"/>
    </row>
    <row r="55" spans="1:7">
      <c r="A55" s="99" t="str">
        <f ca="1">SUBSTITUTE(UPPER(IF(INDIRECT("'NVRAM map'!"&amp;ADDRESS(ROW()+2,COLUMN('NVRAM map'!AG:AG)))="-",INDIRECT("'NVRAM map'!"&amp;ADDRESS(ROW()+2,COLUMN('NVRAM map'!AS:AS))),INDIRECT("'NVRAM map'!"&amp;ADDRESS(ROW()+2,COLUMN('NVRAM map'!AS:AS)))&amp;"_"&amp;INDIRECT("'NVRAM map'!"&amp;ADDRESS(ROW()+2,COLUMN('NVRAM map'!AG:AG))))),"__","_")</f>
        <v>EE_TRIM4_PADC_RANGE1</v>
      </c>
      <c r="B55" s="100" t="str">
        <f ca="1">IF(OR(INDIRECT("'NVRAM map'!"&amp;ADDRESS(ROW()+2,COLUMN('NVRAM map'!D:D)))="-",A55="_"),"x","")</f>
        <v>x</v>
      </c>
      <c r="C55" s="100" t="str">
        <f ca="1">IF(B55="x","FIXED",INDIRECT("'NVRAM map'!"&amp;ADDRESS(ROW()+2,COLUMN('NVRAM map'!I:I))))</f>
        <v>FIXED</v>
      </c>
      <c r="D55" s="100" t="str">
        <f ca="1">IF(C55="FIXED","",INDIRECT("'NVRAM map'!"&amp;ADDRESS(ROW()+2,COLUMN('NVRAM map'!K:K))))</f>
        <v/>
      </c>
      <c r="E55" s="100" t="str">
        <f ca="1">IF(C55="FIXED","",INDIRECT("'NVRAM map'!"&amp;ADDRESS(ROW()+2,COLUMN('NVRAM map'!L:L))))</f>
        <v/>
      </c>
      <c r="F55" s="100">
        <f ca="1">IF(C55="FIXED",INDIRECT("'NVRAM map'!"&amp;ADDRESS(ROW()+2,COLUMN('NVRAM map'!AM:AM))),"")</f>
        <v>0</v>
      </c>
      <c r="G55" s="99"/>
    </row>
    <row r="56" spans="1:7">
      <c r="A56" s="99" t="str">
        <f ca="1">SUBSTITUTE(UPPER(IF(INDIRECT("'NVRAM map'!"&amp;ADDRESS(ROW()+2,COLUMN('NVRAM map'!AG:AG)))="-",INDIRECT("'NVRAM map'!"&amp;ADDRESS(ROW()+2,COLUMN('NVRAM map'!AS:AS))),INDIRECT("'NVRAM map'!"&amp;ADDRESS(ROW()+2,COLUMN('NVRAM map'!AS:AS)))&amp;"_"&amp;INDIRECT("'NVRAM map'!"&amp;ADDRESS(ROW()+2,COLUMN('NVRAM map'!AG:AG))))),"__","_")</f>
        <v>EE_TRIM4_PADC_RANGE1_INTER_TRIM_PUSHPULL</v>
      </c>
      <c r="B56" s="100" t="str">
        <f ca="1">IF(OR(INDIRECT("'NVRAM map'!"&amp;ADDRESS(ROW()+2,COLUMN('NVRAM map'!D:D)))="-",A56="_"),"x","")</f>
        <v/>
      </c>
      <c r="C56" s="100" t="str">
        <f ca="1">IF(B56="x","FIXED",INDIRECT("'NVRAM map'!"&amp;ADDRESS(ROW()+2,COLUMN('NVRAM map'!I:I))))</f>
        <v>TRIMMED</v>
      </c>
      <c r="D56" s="100">
        <f ca="1">IF(C56="FIXED","",INDIRECT("'NVRAM map'!"&amp;ADDRESS(ROW()+2,COLUMN('NVRAM map'!K:K))))</f>
        <v>0</v>
      </c>
      <c r="E56" s="100">
        <f ca="1">IF(C56="FIXED","",INDIRECT("'NVRAM map'!"&amp;ADDRESS(ROW()+2,COLUMN('NVRAM map'!L:L))))</f>
        <v>7</v>
      </c>
      <c r="F56" s="100" t="str">
        <f ca="1">IF(C56="FIXED",INDIRECT("'NVRAM map'!"&amp;ADDRESS(ROW()+2,COLUMN('NVRAM map'!AM:AM))),"")</f>
        <v/>
      </c>
      <c r="G56" s="99"/>
    </row>
    <row r="57" spans="1:7">
      <c r="A57" s="99" t="str">
        <f ca="1">SUBSTITUTE(UPPER(IF(INDIRECT("'NVRAM map'!"&amp;ADDRESS(ROW()+2,COLUMN('NVRAM map'!AG:AG)))="-",INDIRECT("'NVRAM map'!"&amp;ADDRESS(ROW()+2,COLUMN('NVRAM map'!AS:AS))),INDIRECT("'NVRAM map'!"&amp;ADDRESS(ROW()+2,COLUMN('NVRAM map'!AS:AS)))&amp;"_"&amp;INDIRECT("'NVRAM map'!"&amp;ADDRESS(ROW()+2,COLUMN('NVRAM map'!AG:AG))))),"__","_")</f>
        <v>EE_TRIM4_PADC_RANGE1_INTER_TRIM_SLOPE_OD</v>
      </c>
      <c r="B57" s="100" t="str">
        <f ca="1">IF(OR(INDIRECT("'NVRAM map'!"&amp;ADDRESS(ROW()+2,COLUMN('NVRAM map'!D:D)))="-",A57="_"),"x","")</f>
        <v/>
      </c>
      <c r="C57" s="100" t="str">
        <f ca="1">IF(B57="x","FIXED",INDIRECT("'NVRAM map'!"&amp;ADDRESS(ROW()+2,COLUMN('NVRAM map'!I:I))))</f>
        <v>TRIMMED</v>
      </c>
      <c r="D57" s="100">
        <f ca="1">IF(C57="FIXED","",INDIRECT("'NVRAM map'!"&amp;ADDRESS(ROW()+2,COLUMN('NVRAM map'!K:K))))</f>
        <v>0</v>
      </c>
      <c r="E57" s="100">
        <f ca="1">IF(C57="FIXED","",INDIRECT("'NVRAM map'!"&amp;ADDRESS(ROW()+2,COLUMN('NVRAM map'!L:L))))</f>
        <v>7</v>
      </c>
      <c r="F57" s="100" t="str">
        <f ca="1">IF(C57="FIXED",INDIRECT("'NVRAM map'!"&amp;ADDRESS(ROW()+2,COLUMN('NVRAM map'!AM:AM))),"")</f>
        <v/>
      </c>
      <c r="G57" s="99"/>
    </row>
    <row r="58" spans="1:7">
      <c r="A58" s="99" t="str">
        <f ca="1">SUBSTITUTE(UPPER(IF(INDIRECT("'NVRAM map'!"&amp;ADDRESS(ROW()+2,COLUMN('NVRAM map'!AG:AG)))="-",INDIRECT("'NVRAM map'!"&amp;ADDRESS(ROW()+2,COLUMN('NVRAM map'!AS:AS))),INDIRECT("'NVRAM map'!"&amp;ADDRESS(ROW()+2,COLUMN('NVRAM map'!AS:AS)))&amp;"_"&amp;INDIRECT("'NVRAM map'!"&amp;ADDRESS(ROW()+2,COLUMN('NVRAM map'!AG:AG))))),"__","_")</f>
        <v>EE_TRIM4_PADC_RANGE1_TEST_BRIDGE_RANGE1</v>
      </c>
      <c r="B58" s="100" t="str">
        <f ca="1">IF(OR(INDIRECT("'NVRAM map'!"&amp;ADDRESS(ROW()+2,COLUMN('NVRAM map'!D:D)))="-",A58="_"),"x","")</f>
        <v/>
      </c>
      <c r="C58" s="100" t="str">
        <f ca="1">IF(B58="x","FIXED",INDIRECT("'NVRAM map'!"&amp;ADDRESS(ROW()+2,COLUMN('NVRAM map'!I:I))))</f>
        <v>TRIMMED</v>
      </c>
      <c r="D58" s="100">
        <f ca="1">IF(C58="FIXED","",INDIRECT("'NVRAM map'!"&amp;ADDRESS(ROW()+2,COLUMN('NVRAM map'!K:K))))</f>
        <v>0</v>
      </c>
      <c r="E58" s="100">
        <f ca="1">IF(C58="FIXED","",INDIRECT("'NVRAM map'!"&amp;ADDRESS(ROW()+2,COLUMN('NVRAM map'!L:L))))</f>
        <v>7</v>
      </c>
      <c r="F58" s="100" t="str">
        <f ca="1">IF(C58="FIXED",INDIRECT("'NVRAM map'!"&amp;ADDRESS(ROW()+2,COLUMN('NVRAM map'!AM:AM))),"")</f>
        <v/>
      </c>
      <c r="G58" s="99"/>
    </row>
    <row r="59" spans="1:7">
      <c r="A59" s="99" t="str">
        <f ca="1">SUBSTITUTE(UPPER(IF(INDIRECT("'NVRAM map'!"&amp;ADDRESS(ROW()+2,COLUMN('NVRAM map'!AG:AG)))="-",INDIRECT("'NVRAM map'!"&amp;ADDRESS(ROW()+2,COLUMN('NVRAM map'!AS:AS))),INDIRECT("'NVRAM map'!"&amp;ADDRESS(ROW()+2,COLUMN('NVRAM map'!AS:AS)))&amp;"_"&amp;INDIRECT("'NVRAM map'!"&amp;ADDRESS(ROW()+2,COLUMN('NVRAM map'!AG:AG))))),"__","_")</f>
        <v>EE_TRIM4_PADC_RANGE1_PADC_RANGE1_CAP_SEL</v>
      </c>
      <c r="B59" s="100" t="str">
        <f ca="1">IF(OR(INDIRECT("'NVRAM map'!"&amp;ADDRESS(ROW()+2,COLUMN('NVRAM map'!D:D)))="-",A59="_"),"x","")</f>
        <v/>
      </c>
      <c r="C59" s="100" t="str">
        <f ca="1">IF(B59="x","FIXED",INDIRECT("'NVRAM map'!"&amp;ADDRESS(ROW()+2,COLUMN('NVRAM map'!I:I))))</f>
        <v>TRIMMED</v>
      </c>
      <c r="D59" s="100">
        <f ca="1">IF(C59="FIXED","",INDIRECT("'NVRAM map'!"&amp;ADDRESS(ROW()+2,COLUMN('NVRAM map'!K:K))))</f>
        <v>0</v>
      </c>
      <c r="E59" s="100">
        <f ca="1">IF(C59="FIXED","",INDIRECT("'NVRAM map'!"&amp;ADDRESS(ROW()+2,COLUMN('NVRAM map'!L:L))))</f>
        <v>7</v>
      </c>
      <c r="F59" s="100" t="str">
        <f ca="1">IF(C59="FIXED",INDIRECT("'NVRAM map'!"&amp;ADDRESS(ROW()+2,COLUMN('NVRAM map'!AM:AM))),"")</f>
        <v/>
      </c>
      <c r="G59" s="99"/>
    </row>
    <row r="60" spans="1:7">
      <c r="A60" s="99" t="str">
        <f ca="1">SUBSTITUTE(UPPER(IF(INDIRECT("'NVRAM map'!"&amp;ADDRESS(ROW()+2,COLUMN('NVRAM map'!AG:AG)))="-",INDIRECT("'NVRAM map'!"&amp;ADDRESS(ROW()+2,COLUMN('NVRAM map'!AS:AS))),INDIRECT("'NVRAM map'!"&amp;ADDRESS(ROW()+2,COLUMN('NVRAM map'!AS:AS)))&amp;"_"&amp;INDIRECT("'NVRAM map'!"&amp;ADDRESS(ROW()+2,COLUMN('NVRAM map'!AG:AG))))),"__","_")</f>
        <v>EE_TRIM4_PADC_RANGE1_PADC_RANGE1_SEL2</v>
      </c>
      <c r="B60" s="100" t="str">
        <f ca="1">IF(OR(INDIRECT("'NVRAM map'!"&amp;ADDRESS(ROW()+2,COLUMN('NVRAM map'!D:D)))="-",A60="_"),"x","")</f>
        <v/>
      </c>
      <c r="C60" s="100" t="str">
        <f ca="1">IF(B60="x","FIXED",INDIRECT("'NVRAM map'!"&amp;ADDRESS(ROW()+2,COLUMN('NVRAM map'!I:I))))</f>
        <v>TRIMMED</v>
      </c>
      <c r="D60" s="100">
        <f ca="1">IF(C60="FIXED","",INDIRECT("'NVRAM map'!"&amp;ADDRESS(ROW()+2,COLUMN('NVRAM map'!K:K))))</f>
        <v>0</v>
      </c>
      <c r="E60" s="100">
        <f ca="1">IF(C60="FIXED","",INDIRECT("'NVRAM map'!"&amp;ADDRESS(ROW()+2,COLUMN('NVRAM map'!L:L))))</f>
        <v>3</v>
      </c>
      <c r="F60" s="100" t="str">
        <f ca="1">IF(C60="FIXED",INDIRECT("'NVRAM map'!"&amp;ADDRESS(ROW()+2,COLUMN('NVRAM map'!AM:AM))),"")</f>
        <v/>
      </c>
      <c r="G60" s="99"/>
    </row>
    <row r="61" spans="1:7">
      <c r="A61" s="99" t="str">
        <f ca="1">SUBSTITUTE(UPPER(IF(INDIRECT("'NVRAM map'!"&amp;ADDRESS(ROW()+2,COLUMN('NVRAM map'!AG:AG)))="-",INDIRECT("'NVRAM map'!"&amp;ADDRESS(ROW()+2,COLUMN('NVRAM map'!AS:AS))),INDIRECT("'NVRAM map'!"&amp;ADDRESS(ROW()+2,COLUMN('NVRAM map'!AS:AS)))&amp;"_"&amp;INDIRECT("'NVRAM map'!"&amp;ADDRESS(ROW()+2,COLUMN('NVRAM map'!AG:AG))))),"__","_")</f>
        <v>EE_TRIM4_PADC_RANGE1_PADC_RANGE1_SEL1</v>
      </c>
      <c r="B61" s="100" t="str">
        <f ca="1">IF(OR(INDIRECT("'NVRAM map'!"&amp;ADDRESS(ROW()+2,COLUMN('NVRAM map'!D:D)))="-",A61="_"),"x","")</f>
        <v/>
      </c>
      <c r="C61" s="100" t="str">
        <f ca="1">IF(B61="x","FIXED",INDIRECT("'NVRAM map'!"&amp;ADDRESS(ROW()+2,COLUMN('NVRAM map'!I:I))))</f>
        <v>TRIMMED</v>
      </c>
      <c r="D61" s="100">
        <f ca="1">IF(C61="FIXED","",INDIRECT("'NVRAM map'!"&amp;ADDRESS(ROW()+2,COLUMN('NVRAM map'!K:K))))</f>
        <v>0</v>
      </c>
      <c r="E61" s="100">
        <f ca="1">IF(C61="FIXED","",INDIRECT("'NVRAM map'!"&amp;ADDRESS(ROW()+2,COLUMN('NVRAM map'!L:L))))</f>
        <v>3</v>
      </c>
      <c r="F61" s="100" t="str">
        <f ca="1">IF(C61="FIXED",INDIRECT("'NVRAM map'!"&amp;ADDRESS(ROW()+2,COLUMN('NVRAM map'!AM:AM))),"")</f>
        <v/>
      </c>
      <c r="G61" s="99"/>
    </row>
    <row r="62" spans="1:7">
      <c r="A62" s="99" t="str">
        <f ca="1">SUBSTITUTE(UPPER(IF(INDIRECT("'NVRAM map'!"&amp;ADDRESS(ROW()+2,COLUMN('NVRAM map'!AG:AG)))="-",INDIRECT("'NVRAM map'!"&amp;ADDRESS(ROW()+2,COLUMN('NVRAM map'!AS:AS))),INDIRECT("'NVRAM map'!"&amp;ADDRESS(ROW()+2,COLUMN('NVRAM map'!AS:AS)))&amp;"_"&amp;INDIRECT("'NVRAM map'!"&amp;ADDRESS(ROW()+2,COLUMN('NVRAM map'!AG:AG))))),"__","_")</f>
        <v>EE_TRIM4_PADC_RANGE2</v>
      </c>
      <c r="B62" s="100" t="str">
        <f ca="1">IF(OR(INDIRECT("'NVRAM map'!"&amp;ADDRESS(ROW()+2,COLUMN('NVRAM map'!D:D)))="-",A62="_"),"x","")</f>
        <v>x</v>
      </c>
      <c r="C62" s="100" t="str">
        <f ca="1">IF(B62="x","FIXED",INDIRECT("'NVRAM map'!"&amp;ADDRESS(ROW()+2,COLUMN('NVRAM map'!I:I))))</f>
        <v>FIXED</v>
      </c>
      <c r="D62" s="100" t="str">
        <f ca="1">IF(C62="FIXED","",INDIRECT("'NVRAM map'!"&amp;ADDRESS(ROW()+2,COLUMN('NVRAM map'!K:K))))</f>
        <v/>
      </c>
      <c r="E62" s="100" t="str">
        <f ca="1">IF(C62="FIXED","",INDIRECT("'NVRAM map'!"&amp;ADDRESS(ROW()+2,COLUMN('NVRAM map'!L:L))))</f>
        <v/>
      </c>
      <c r="F62" s="100">
        <f ca="1">IF(C62="FIXED",INDIRECT("'NVRAM map'!"&amp;ADDRESS(ROW()+2,COLUMN('NVRAM map'!AM:AM))),"")</f>
        <v>0</v>
      </c>
      <c r="G62" s="99"/>
    </row>
    <row r="63" spans="1:7">
      <c r="A63" s="99" t="str">
        <f ca="1">SUBSTITUTE(UPPER(IF(INDIRECT("'NVRAM map'!"&amp;ADDRESS(ROW()+2,COLUMN('NVRAM map'!AG:AG)))="-",INDIRECT("'NVRAM map'!"&amp;ADDRESS(ROW()+2,COLUMN('NVRAM map'!AS:AS))),INDIRECT("'NVRAM map'!"&amp;ADDRESS(ROW()+2,COLUMN('NVRAM map'!AS:AS)))&amp;"_"&amp;INDIRECT("'NVRAM map'!"&amp;ADDRESS(ROW()+2,COLUMN('NVRAM map'!AG:AG))))),"__","_")</f>
        <v>EE_TRIM4_PADC_RANGE2_TRIM4_PADC_RANGE2_RESERVED</v>
      </c>
      <c r="B63" s="100" t="str">
        <f ca="1">IF(OR(INDIRECT("'NVRAM map'!"&amp;ADDRESS(ROW()+2,COLUMN('NVRAM map'!D:D)))="-",A63="_"),"x","")</f>
        <v/>
      </c>
      <c r="C63" s="100" t="str">
        <f ca="1">IF(B63="x","FIXED",INDIRECT("'NVRAM map'!"&amp;ADDRESS(ROW()+2,COLUMN('NVRAM map'!I:I))))</f>
        <v>TRIMMED</v>
      </c>
      <c r="D63" s="100">
        <f ca="1">IF(C63="FIXED","",INDIRECT("'NVRAM map'!"&amp;ADDRESS(ROW()+2,COLUMN('NVRAM map'!K:K))))</f>
        <v>0</v>
      </c>
      <c r="E63" s="100">
        <f ca="1">IF(C63="FIXED","",INDIRECT("'NVRAM map'!"&amp;ADDRESS(ROW()+2,COLUMN('NVRAM map'!L:L))))</f>
        <v>63</v>
      </c>
      <c r="F63" s="100" t="str">
        <f ca="1">IF(C63="FIXED",INDIRECT("'NVRAM map'!"&amp;ADDRESS(ROW()+2,COLUMN('NVRAM map'!AM:AM))),"")</f>
        <v/>
      </c>
      <c r="G63" s="99"/>
    </row>
    <row r="64" spans="1:7">
      <c r="A64" s="99" t="str">
        <f ca="1">SUBSTITUTE(UPPER(IF(INDIRECT("'NVRAM map'!"&amp;ADDRESS(ROW()+2,COLUMN('NVRAM map'!AG:AG)))="-",INDIRECT("'NVRAM map'!"&amp;ADDRESS(ROW()+2,COLUMN('NVRAM map'!AS:AS))),INDIRECT("'NVRAM map'!"&amp;ADDRESS(ROW()+2,COLUMN('NVRAM map'!AS:AS)))&amp;"_"&amp;INDIRECT("'NVRAM map'!"&amp;ADDRESS(ROW()+2,COLUMN('NVRAM map'!AG:AG))))),"__","_")</f>
        <v>EE_TRIM4_PADC_RANGE2_TEST_BRIDGE_RANGE2</v>
      </c>
      <c r="B64" s="100" t="str">
        <f ca="1">IF(OR(INDIRECT("'NVRAM map'!"&amp;ADDRESS(ROW()+2,COLUMN('NVRAM map'!D:D)))="-",A64="_"),"x","")</f>
        <v/>
      </c>
      <c r="C64" s="100" t="str">
        <f ca="1">IF(B64="x","FIXED",INDIRECT("'NVRAM map'!"&amp;ADDRESS(ROW()+2,COLUMN('NVRAM map'!I:I))))</f>
        <v>TRIMMED</v>
      </c>
      <c r="D64" s="100">
        <f ca="1">IF(C64="FIXED","",INDIRECT("'NVRAM map'!"&amp;ADDRESS(ROW()+2,COLUMN('NVRAM map'!K:K))))</f>
        <v>0</v>
      </c>
      <c r="E64" s="100">
        <f ca="1">IF(C64="FIXED","",INDIRECT("'NVRAM map'!"&amp;ADDRESS(ROW()+2,COLUMN('NVRAM map'!L:L))))</f>
        <v>7</v>
      </c>
      <c r="F64" s="100" t="str">
        <f ca="1">IF(C64="FIXED",INDIRECT("'NVRAM map'!"&amp;ADDRESS(ROW()+2,COLUMN('NVRAM map'!AM:AM))),"")</f>
        <v/>
      </c>
      <c r="G64" s="99"/>
    </row>
    <row r="65" spans="1:7">
      <c r="A65" s="99" t="str">
        <f ca="1">SUBSTITUTE(UPPER(IF(INDIRECT("'NVRAM map'!"&amp;ADDRESS(ROW()+2,COLUMN('NVRAM map'!AG:AG)))="-",INDIRECT("'NVRAM map'!"&amp;ADDRESS(ROW()+2,COLUMN('NVRAM map'!AS:AS))),INDIRECT("'NVRAM map'!"&amp;ADDRESS(ROW()+2,COLUMN('NVRAM map'!AS:AS)))&amp;"_"&amp;INDIRECT("'NVRAM map'!"&amp;ADDRESS(ROW()+2,COLUMN('NVRAM map'!AG:AG))))),"__","_")</f>
        <v>EE_TRIM4_PADC_RANGE2_PADC_RANGE2_CAP_SEL</v>
      </c>
      <c r="B65" s="100" t="str">
        <f ca="1">IF(OR(INDIRECT("'NVRAM map'!"&amp;ADDRESS(ROW()+2,COLUMN('NVRAM map'!D:D)))="-",A65="_"),"x","")</f>
        <v/>
      </c>
      <c r="C65" s="100" t="str">
        <f ca="1">IF(B65="x","FIXED",INDIRECT("'NVRAM map'!"&amp;ADDRESS(ROW()+2,COLUMN('NVRAM map'!I:I))))</f>
        <v>TRIMMED</v>
      </c>
      <c r="D65" s="100">
        <f ca="1">IF(C65="FIXED","",INDIRECT("'NVRAM map'!"&amp;ADDRESS(ROW()+2,COLUMN('NVRAM map'!K:K))))</f>
        <v>0</v>
      </c>
      <c r="E65" s="100">
        <f ca="1">IF(C65="FIXED","",INDIRECT("'NVRAM map'!"&amp;ADDRESS(ROW()+2,COLUMN('NVRAM map'!L:L))))</f>
        <v>7</v>
      </c>
      <c r="F65" s="100" t="str">
        <f ca="1">IF(C65="FIXED",INDIRECT("'NVRAM map'!"&amp;ADDRESS(ROW()+2,COLUMN('NVRAM map'!AM:AM))),"")</f>
        <v/>
      </c>
      <c r="G65" s="99"/>
    </row>
    <row r="66" spans="1:7">
      <c r="A66" s="99" t="str">
        <f ca="1">SUBSTITUTE(UPPER(IF(INDIRECT("'NVRAM map'!"&amp;ADDRESS(ROW()+2,COLUMN('NVRAM map'!AG:AG)))="-",INDIRECT("'NVRAM map'!"&amp;ADDRESS(ROW()+2,COLUMN('NVRAM map'!AS:AS))),INDIRECT("'NVRAM map'!"&amp;ADDRESS(ROW()+2,COLUMN('NVRAM map'!AS:AS)))&amp;"_"&amp;INDIRECT("'NVRAM map'!"&amp;ADDRESS(ROW()+2,COLUMN('NVRAM map'!AG:AG))))),"__","_")</f>
        <v>EE_TRIM4_PADC_RANGE2_PADC_RANGE2_SEL2</v>
      </c>
      <c r="B66" s="100" t="str">
        <f ca="1">IF(OR(INDIRECT("'NVRAM map'!"&amp;ADDRESS(ROW()+2,COLUMN('NVRAM map'!D:D)))="-",A66="_"),"x","")</f>
        <v/>
      </c>
      <c r="C66" s="100" t="str">
        <f ca="1">IF(B66="x","FIXED",INDIRECT("'NVRAM map'!"&amp;ADDRESS(ROW()+2,COLUMN('NVRAM map'!I:I))))</f>
        <v>TRIMMED</v>
      </c>
      <c r="D66" s="100">
        <f ca="1">IF(C66="FIXED","",INDIRECT("'NVRAM map'!"&amp;ADDRESS(ROW()+2,COLUMN('NVRAM map'!K:K))))</f>
        <v>0</v>
      </c>
      <c r="E66" s="100">
        <f ca="1">IF(C66="FIXED","",INDIRECT("'NVRAM map'!"&amp;ADDRESS(ROW()+2,COLUMN('NVRAM map'!L:L))))</f>
        <v>3</v>
      </c>
      <c r="F66" s="100" t="str">
        <f ca="1">IF(C66="FIXED",INDIRECT("'NVRAM map'!"&amp;ADDRESS(ROW()+2,COLUMN('NVRAM map'!AM:AM))),"")</f>
        <v/>
      </c>
      <c r="G66" s="99"/>
    </row>
    <row r="67" spans="1:7">
      <c r="A67" s="99" t="str">
        <f ca="1">SUBSTITUTE(UPPER(IF(INDIRECT("'NVRAM map'!"&amp;ADDRESS(ROW()+2,COLUMN('NVRAM map'!AG:AG)))="-",INDIRECT("'NVRAM map'!"&amp;ADDRESS(ROW()+2,COLUMN('NVRAM map'!AS:AS))),INDIRECT("'NVRAM map'!"&amp;ADDRESS(ROW()+2,COLUMN('NVRAM map'!AS:AS)))&amp;"_"&amp;INDIRECT("'NVRAM map'!"&amp;ADDRESS(ROW()+2,COLUMN('NVRAM map'!AG:AG))))),"__","_")</f>
        <v>EE_TRIM4_PADC_RANGE2_PADC_RANGE2_SEL1</v>
      </c>
      <c r="B67" s="100" t="str">
        <f ca="1">IF(OR(INDIRECT("'NVRAM map'!"&amp;ADDRESS(ROW()+2,COLUMN('NVRAM map'!D:D)))="-",A67="_"),"x","")</f>
        <v/>
      </c>
      <c r="C67" s="100" t="str">
        <f ca="1">IF(B67="x","FIXED",INDIRECT("'NVRAM map'!"&amp;ADDRESS(ROW()+2,COLUMN('NVRAM map'!I:I))))</f>
        <v>TRIMMED</v>
      </c>
      <c r="D67" s="100">
        <f ca="1">IF(C67="FIXED","",INDIRECT("'NVRAM map'!"&amp;ADDRESS(ROW()+2,COLUMN('NVRAM map'!K:K))))</f>
        <v>0</v>
      </c>
      <c r="E67" s="100">
        <f ca="1">IF(C67="FIXED","",INDIRECT("'NVRAM map'!"&amp;ADDRESS(ROW()+2,COLUMN('NVRAM map'!L:L))))</f>
        <v>3</v>
      </c>
      <c r="F67" s="100" t="str">
        <f ca="1">IF(C67="FIXED",INDIRECT("'NVRAM map'!"&amp;ADDRESS(ROW()+2,COLUMN('NVRAM map'!AM:AM))),"")</f>
        <v/>
      </c>
      <c r="G67" s="99"/>
    </row>
    <row r="68" spans="1:7">
      <c r="A68" s="99" t="str">
        <f ca="1">SUBSTITUTE(UPPER(IF(INDIRECT("'NVRAM map'!"&amp;ADDRESS(ROW()+2,COLUMN('NVRAM map'!AG:AG)))="-",INDIRECT("'NVRAM map'!"&amp;ADDRESS(ROW()+2,COLUMN('NVRAM map'!AS:AS))),INDIRECT("'NVRAM map'!"&amp;ADDRESS(ROW()+2,COLUMN('NVRAM map'!AS:AS)))&amp;"_"&amp;INDIRECT("'NVRAM map'!"&amp;ADDRESS(ROW()+2,COLUMN('NVRAM map'!AG:AG))))),"__","_")</f>
        <v>EE_TRIM5</v>
      </c>
      <c r="B68" s="100" t="str">
        <f ca="1">IF(OR(INDIRECT("'NVRAM map'!"&amp;ADDRESS(ROW()+2,COLUMN('NVRAM map'!D:D)))="-",A68="_"),"x","")</f>
        <v>x</v>
      </c>
      <c r="C68" s="100" t="str">
        <f ca="1">IF(B68="x","FIXED",INDIRECT("'NVRAM map'!"&amp;ADDRESS(ROW()+2,COLUMN('NVRAM map'!I:I))))</f>
        <v>FIXED</v>
      </c>
      <c r="D68" s="100" t="str">
        <f ca="1">IF(C68="FIXED","",INDIRECT("'NVRAM map'!"&amp;ADDRESS(ROW()+2,COLUMN('NVRAM map'!K:K))))</f>
        <v/>
      </c>
      <c r="E68" s="100" t="str">
        <f ca="1">IF(C68="FIXED","",INDIRECT("'NVRAM map'!"&amp;ADDRESS(ROW()+2,COLUMN('NVRAM map'!L:L))))</f>
        <v/>
      </c>
      <c r="F68" s="100">
        <f ca="1">IF(C68="FIXED",INDIRECT("'NVRAM map'!"&amp;ADDRESS(ROW()+2,COLUMN('NVRAM map'!AM:AM))),"")</f>
        <v>0</v>
      </c>
      <c r="G68" s="99"/>
    </row>
    <row r="69" spans="1:7">
      <c r="A69" s="99" t="str">
        <f ca="1">SUBSTITUTE(UPPER(IF(INDIRECT("'NVRAM map'!"&amp;ADDRESS(ROW()+2,COLUMN('NVRAM map'!AG:AG)))="-",INDIRECT("'NVRAM map'!"&amp;ADDRESS(ROW()+2,COLUMN('NVRAM map'!AS:AS))),INDIRECT("'NVRAM map'!"&amp;ADDRESS(ROW()+2,COLUMN('NVRAM map'!AS:AS)))&amp;"_"&amp;INDIRECT("'NVRAM map'!"&amp;ADDRESS(ROW()+2,COLUMN('NVRAM map'!AG:AG))))),"__","_")</f>
        <v>EE_TRIM5_TRIM5_RESERVED</v>
      </c>
      <c r="B69" s="100" t="str">
        <f ca="1">IF(OR(INDIRECT("'NVRAM map'!"&amp;ADDRESS(ROW()+2,COLUMN('NVRAM map'!D:D)))="-",A69="_"),"x","")</f>
        <v/>
      </c>
      <c r="C69" s="100" t="str">
        <f ca="1">IF(B69="x","FIXED",INDIRECT("'NVRAM map'!"&amp;ADDRESS(ROW()+2,COLUMN('NVRAM map'!I:I))))</f>
        <v>FIXED</v>
      </c>
      <c r="D69" s="100" t="str">
        <f ca="1">IF(C69="FIXED","",INDIRECT("'NVRAM map'!"&amp;ADDRESS(ROW()+2,COLUMN('NVRAM map'!K:K))))</f>
        <v/>
      </c>
      <c r="E69" s="100" t="str">
        <f ca="1">IF(C69="FIXED","",INDIRECT("'NVRAM map'!"&amp;ADDRESS(ROW()+2,COLUMN('NVRAM map'!L:L))))</f>
        <v/>
      </c>
      <c r="F69" s="100">
        <f ca="1">IF(C69="FIXED",INDIRECT("'NVRAM map'!"&amp;ADDRESS(ROW()+2,COLUMN('NVRAM map'!AM:AM))),"")</f>
        <v>0</v>
      </c>
      <c r="G69" s="99"/>
    </row>
    <row r="70" spans="1:7">
      <c r="A70" s="99" t="str">
        <f ca="1">SUBSTITUTE(UPPER(IF(INDIRECT("'NVRAM map'!"&amp;ADDRESS(ROW()+2,COLUMN('NVRAM map'!AG:AG)))="-",INDIRECT("'NVRAM map'!"&amp;ADDRESS(ROW()+2,COLUMN('NVRAM map'!AS:AS))),INDIRECT("'NVRAM map'!"&amp;ADDRESS(ROW()+2,COLUMN('NVRAM map'!AS:AS)))&amp;"_"&amp;INDIRECT("'NVRAM map'!"&amp;ADDRESS(ROW()+2,COLUMN('NVRAM map'!AG:AG))))),"__","_")</f>
        <v>EE_TRIM5_TRIGGER_DEB_DIS</v>
      </c>
      <c r="B70" s="100" t="str">
        <f ca="1">IF(OR(INDIRECT("'NVRAM map'!"&amp;ADDRESS(ROW()+2,COLUMN('NVRAM map'!D:D)))="-",A70="_"),"x","")</f>
        <v/>
      </c>
      <c r="C70" s="100" t="str">
        <f ca="1">IF(B70="x","FIXED",INDIRECT("'NVRAM map'!"&amp;ADDRESS(ROW()+2,COLUMN('NVRAM map'!I:I))))</f>
        <v>FIXED</v>
      </c>
      <c r="D70" s="100" t="str">
        <f ca="1">IF(C70="FIXED","",INDIRECT("'NVRAM map'!"&amp;ADDRESS(ROW()+2,COLUMN('NVRAM map'!K:K))))</f>
        <v/>
      </c>
      <c r="E70" s="100" t="str">
        <f ca="1">IF(C70="FIXED","",INDIRECT("'NVRAM map'!"&amp;ADDRESS(ROW()+2,COLUMN('NVRAM map'!L:L))))</f>
        <v/>
      </c>
      <c r="F70" s="100">
        <f ca="1">IF(C70="FIXED",INDIRECT("'NVRAM map'!"&amp;ADDRESS(ROW()+2,COLUMN('NVRAM map'!AM:AM))),"")</f>
        <v>0</v>
      </c>
      <c r="G70" s="99"/>
    </row>
    <row r="71" spans="1:7">
      <c r="A71" s="99" t="str">
        <f ca="1">SUBSTITUTE(UPPER(IF(INDIRECT("'NVRAM map'!"&amp;ADDRESS(ROW()+2,COLUMN('NVRAM map'!AG:AG)))="-",INDIRECT("'NVRAM map'!"&amp;ADDRESS(ROW()+2,COLUMN('NVRAM map'!AS:AS))),INDIRECT("'NVRAM map'!"&amp;ADDRESS(ROW()+2,COLUMN('NVRAM map'!AS:AS)))&amp;"_"&amp;INDIRECT("'NVRAM map'!"&amp;ADDRESS(ROW()+2,COLUMN('NVRAM map'!AG:AG))))),"__","_")</f>
        <v>EE_TRIM5_INTER_OPENDR_FMPLUS_DIS</v>
      </c>
      <c r="B71" s="100" t="str">
        <f ca="1">IF(OR(INDIRECT("'NVRAM map'!"&amp;ADDRESS(ROW()+2,COLUMN('NVRAM map'!D:D)))="-",A71="_"),"x","")</f>
        <v/>
      </c>
      <c r="C71" s="100" t="str">
        <f ca="1">IF(B71="x","FIXED",INDIRECT("'NVRAM map'!"&amp;ADDRESS(ROW()+2,COLUMN('NVRAM map'!I:I))))</f>
        <v>FIXED</v>
      </c>
      <c r="D71" s="100" t="str">
        <f ca="1">IF(C71="FIXED","",INDIRECT("'NVRAM map'!"&amp;ADDRESS(ROW()+2,COLUMN('NVRAM map'!K:K))))</f>
        <v/>
      </c>
      <c r="E71" s="100" t="str">
        <f ca="1">IF(C71="FIXED","",INDIRECT("'NVRAM map'!"&amp;ADDRESS(ROW()+2,COLUMN('NVRAM map'!L:L))))</f>
        <v/>
      </c>
      <c r="F71" s="100">
        <f ca="1">IF(C71="FIXED",INDIRECT("'NVRAM map'!"&amp;ADDRESS(ROW()+2,COLUMN('NVRAM map'!AM:AM))),"")</f>
        <v>0</v>
      </c>
      <c r="G71" s="99"/>
    </row>
    <row r="72" spans="1:7">
      <c r="A72" s="99" t="str">
        <f ca="1">SUBSTITUTE(UPPER(IF(INDIRECT("'NVRAM map'!"&amp;ADDRESS(ROW()+2,COLUMN('NVRAM map'!AG:AG)))="-",INDIRECT("'NVRAM map'!"&amp;ADDRESS(ROW()+2,COLUMN('NVRAM map'!AS:AS))),INDIRECT("'NVRAM map'!"&amp;ADDRESS(ROW()+2,COLUMN('NVRAM map'!AS:AS)))&amp;"_"&amp;INDIRECT("'NVRAM map'!"&amp;ADDRESS(ROW()+2,COLUMN('NVRAM map'!AG:AG))))),"__","_")</f>
        <v>EE_TRIM5_TRIM_SPI_SLOPE</v>
      </c>
      <c r="B72" s="100" t="str">
        <f ca="1">IF(OR(INDIRECT("'NVRAM map'!"&amp;ADDRESS(ROW()+2,COLUMN('NVRAM map'!D:D)))="-",A72="_"),"x","")</f>
        <v/>
      </c>
      <c r="C72" s="100" t="str">
        <f ca="1">IF(B72="x","FIXED",INDIRECT("'NVRAM map'!"&amp;ADDRESS(ROW()+2,COLUMN('NVRAM map'!I:I))))</f>
        <v>FIXED</v>
      </c>
      <c r="D72" s="100" t="str">
        <f ca="1">IF(C72="FIXED","",INDIRECT("'NVRAM map'!"&amp;ADDRESS(ROW()+2,COLUMN('NVRAM map'!K:K))))</f>
        <v/>
      </c>
      <c r="E72" s="100" t="str">
        <f ca="1">IF(C72="FIXED","",INDIRECT("'NVRAM map'!"&amp;ADDRESS(ROW()+2,COLUMN('NVRAM map'!L:L))))</f>
        <v/>
      </c>
      <c r="F72" s="100">
        <f ca="1">IF(C72="FIXED",INDIRECT("'NVRAM map'!"&amp;ADDRESS(ROW()+2,COLUMN('NVRAM map'!AM:AM))),"")</f>
        <v>0</v>
      </c>
      <c r="G72" s="99"/>
    </row>
    <row r="73" spans="1:7">
      <c r="A73" s="99" t="str">
        <f ca="1">SUBSTITUTE(UPPER(IF(INDIRECT("'NVRAM map'!"&amp;ADDRESS(ROW()+2,COLUMN('NVRAM map'!AG:AG)))="-",INDIRECT("'NVRAM map'!"&amp;ADDRESS(ROW()+2,COLUMN('NVRAM map'!AS:AS))),INDIRECT("'NVRAM map'!"&amp;ADDRESS(ROW()+2,COLUMN('NVRAM map'!AS:AS)))&amp;"_"&amp;INDIRECT("'NVRAM map'!"&amp;ADDRESS(ROW()+2,COLUMN('NVRAM map'!AG:AG))))),"__","_")</f>
        <v>EE_TRIM5_I2C_ST_FILT</v>
      </c>
      <c r="B73" s="100" t="str">
        <f ca="1">IF(OR(INDIRECT("'NVRAM map'!"&amp;ADDRESS(ROW()+2,COLUMN('NVRAM map'!D:D)))="-",A73="_"),"x","")</f>
        <v/>
      </c>
      <c r="C73" s="100" t="str">
        <f ca="1">IF(B73="x","FIXED",INDIRECT("'NVRAM map'!"&amp;ADDRESS(ROW()+2,COLUMN('NVRAM map'!I:I))))</f>
        <v>FIXED</v>
      </c>
      <c r="D73" s="100" t="str">
        <f ca="1">IF(C73="FIXED","",INDIRECT("'NVRAM map'!"&amp;ADDRESS(ROW()+2,COLUMN('NVRAM map'!K:K))))</f>
        <v/>
      </c>
      <c r="E73" s="100" t="str">
        <f ca="1">IF(C73="FIXED","",INDIRECT("'NVRAM map'!"&amp;ADDRESS(ROW()+2,COLUMN('NVRAM map'!L:L))))</f>
        <v/>
      </c>
      <c r="F73" s="100">
        <f ca="1">IF(C73="FIXED",INDIRECT("'NVRAM map'!"&amp;ADDRESS(ROW()+2,COLUMN('NVRAM map'!AM:AM))),"")</f>
        <v>0</v>
      </c>
      <c r="G73" s="99"/>
    </row>
    <row r="74" spans="1:7">
      <c r="A74" s="99" t="str">
        <f ca="1">SUBSTITUTE(UPPER(IF(INDIRECT("'NVRAM map'!"&amp;ADDRESS(ROW()+2,COLUMN('NVRAM map'!AG:AG)))="-",INDIRECT("'NVRAM map'!"&amp;ADDRESS(ROW()+2,COLUMN('NVRAM map'!AS:AS))),INDIRECT("'NVRAM map'!"&amp;ADDRESS(ROW()+2,COLUMN('NVRAM map'!AS:AS)))&amp;"_"&amp;INDIRECT("'NVRAM map'!"&amp;ADDRESS(ROW()+2,COLUMN('NVRAM map'!AG:AG))))),"__","_")</f>
        <v>EE_TRIM5_I2C_FMPLUS_DISABLE</v>
      </c>
      <c r="B74" s="100" t="str">
        <f ca="1">IF(OR(INDIRECT("'NVRAM map'!"&amp;ADDRESS(ROW()+2,COLUMN('NVRAM map'!D:D)))="-",A74="_"),"x","")</f>
        <v/>
      </c>
      <c r="C74" s="100" t="str">
        <f ca="1">IF(B74="x","FIXED",INDIRECT("'NVRAM map'!"&amp;ADDRESS(ROW()+2,COLUMN('NVRAM map'!I:I))))</f>
        <v>FIXED</v>
      </c>
      <c r="D74" s="100" t="str">
        <f ca="1">IF(C74="FIXED","",INDIRECT("'NVRAM map'!"&amp;ADDRESS(ROW()+2,COLUMN('NVRAM map'!K:K))))</f>
        <v/>
      </c>
      <c r="E74" s="100" t="str">
        <f ca="1">IF(C74="FIXED","",INDIRECT("'NVRAM map'!"&amp;ADDRESS(ROW()+2,COLUMN('NVRAM map'!L:L))))</f>
        <v/>
      </c>
      <c r="F74" s="100">
        <f ca="1">IF(C74="FIXED",INDIRECT("'NVRAM map'!"&amp;ADDRESS(ROW()+2,COLUMN('NVRAM map'!AM:AM))),"")</f>
        <v>0</v>
      </c>
      <c r="G74" s="99"/>
    </row>
    <row r="75" spans="1:7">
      <c r="A75" s="99" t="str">
        <f ca="1">SUBSTITUTE(UPPER(IF(INDIRECT("'NVRAM map'!"&amp;ADDRESS(ROW()+2,COLUMN('NVRAM map'!AG:AG)))="-",INDIRECT("'NVRAM map'!"&amp;ADDRESS(ROW()+2,COLUMN('NVRAM map'!AS:AS))),INDIRECT("'NVRAM map'!"&amp;ADDRESS(ROW()+2,COLUMN('NVRAM map'!AS:AS)))&amp;"_"&amp;INDIRECT("'NVRAM map'!"&amp;ADDRESS(ROW()+2,COLUMN('NVRAM map'!AG:AG))))),"__","_")</f>
        <v>EE_TRIM5_I2C_DEBOUNCE_DISABLE</v>
      </c>
      <c r="B75" s="100" t="str">
        <f ca="1">IF(OR(INDIRECT("'NVRAM map'!"&amp;ADDRESS(ROW()+2,COLUMN('NVRAM map'!D:D)))="-",A75="_"),"x","")</f>
        <v/>
      </c>
      <c r="C75" s="100" t="str">
        <f ca="1">IF(B75="x","FIXED",INDIRECT("'NVRAM map'!"&amp;ADDRESS(ROW()+2,COLUMN('NVRAM map'!I:I))))</f>
        <v>FIXED</v>
      </c>
      <c r="D75" s="100" t="str">
        <f ca="1">IF(C75="FIXED","",INDIRECT("'NVRAM map'!"&amp;ADDRESS(ROW()+2,COLUMN('NVRAM map'!K:K))))</f>
        <v/>
      </c>
      <c r="E75" s="100" t="str">
        <f ca="1">IF(C75="FIXED","",INDIRECT("'NVRAM map'!"&amp;ADDRESS(ROW()+2,COLUMN('NVRAM map'!L:L))))</f>
        <v/>
      </c>
      <c r="F75" s="100">
        <f ca="1">IF(C75="FIXED",INDIRECT("'NVRAM map'!"&amp;ADDRESS(ROW()+2,COLUMN('NVRAM map'!AM:AM))),"")</f>
        <v>0</v>
      </c>
      <c r="G75" s="99"/>
    </row>
    <row r="76" spans="1:7">
      <c r="A76" s="99" t="str">
        <f ca="1">SUBSTITUTE(UPPER(IF(INDIRECT("'NVRAM map'!"&amp;ADDRESS(ROW()+2,COLUMN('NVRAM map'!AG:AG)))="-",INDIRECT("'NVRAM map'!"&amp;ADDRESS(ROW()+2,COLUMN('NVRAM map'!AS:AS))),INDIRECT("'NVRAM map'!"&amp;ADDRESS(ROW()+2,COLUMN('NVRAM map'!AS:AS)))&amp;"_"&amp;INDIRECT("'NVRAM map'!"&amp;ADDRESS(ROW()+2,COLUMN('NVRAM map'!AG:AG))))),"__","_")</f>
        <v>EE_TRIM5_TRIM_I2C_SLOPE</v>
      </c>
      <c r="B76" s="100" t="str">
        <f ca="1">IF(OR(INDIRECT("'NVRAM map'!"&amp;ADDRESS(ROW()+2,COLUMN('NVRAM map'!D:D)))="-",A76="_"),"x","")</f>
        <v/>
      </c>
      <c r="C76" s="100" t="str">
        <f ca="1">IF(B76="x","FIXED",INDIRECT("'NVRAM map'!"&amp;ADDRESS(ROW()+2,COLUMN('NVRAM map'!I:I))))</f>
        <v>FIXED</v>
      </c>
      <c r="D76" s="100" t="str">
        <f ca="1">IF(C76="FIXED","",INDIRECT("'NVRAM map'!"&amp;ADDRESS(ROW()+2,COLUMN('NVRAM map'!K:K))))</f>
        <v/>
      </c>
      <c r="E76" s="100" t="str">
        <f ca="1">IF(C76="FIXED","",INDIRECT("'NVRAM map'!"&amp;ADDRESS(ROW()+2,COLUMN('NVRAM map'!L:L))))</f>
        <v/>
      </c>
      <c r="F76" s="100">
        <f ca="1">IF(C76="FIXED",INDIRECT("'NVRAM map'!"&amp;ADDRESS(ROW()+2,COLUMN('NVRAM map'!AM:AM))),"")</f>
        <v>7</v>
      </c>
      <c r="G76" s="99"/>
    </row>
    <row r="77" spans="1:7">
      <c r="A77" s="99" t="str">
        <f ca="1">SUBSTITUTE(UPPER(IF(INDIRECT("'NVRAM map'!"&amp;ADDRESS(ROW()+2,COLUMN('NVRAM map'!AG:AG)))="-",INDIRECT("'NVRAM map'!"&amp;ADDRESS(ROW()+2,COLUMN('NVRAM map'!AS:AS))),INDIRECT("'NVRAM map'!"&amp;ADDRESS(ROW()+2,COLUMN('NVRAM map'!AS:AS)))&amp;"_"&amp;INDIRECT("'NVRAM map'!"&amp;ADDRESS(ROW()+2,COLUMN('NVRAM map'!AG:AG))))),"__","_")</f>
        <v>EE_TRIM5_ENABLE_I2C_5VMODE</v>
      </c>
      <c r="B77" s="100" t="str">
        <f ca="1">IF(OR(INDIRECT("'NVRAM map'!"&amp;ADDRESS(ROW()+2,COLUMN('NVRAM map'!D:D)))="-",A77="_"),"x","")</f>
        <v/>
      </c>
      <c r="C77" s="100" t="str">
        <f ca="1">IF(B77="x","FIXED",INDIRECT("'NVRAM map'!"&amp;ADDRESS(ROW()+2,COLUMN('NVRAM map'!I:I))))</f>
        <v>FIXED</v>
      </c>
      <c r="D77" s="100" t="str">
        <f ca="1">IF(C77="FIXED","",INDIRECT("'NVRAM map'!"&amp;ADDRESS(ROW()+2,COLUMN('NVRAM map'!K:K))))</f>
        <v/>
      </c>
      <c r="E77" s="100" t="str">
        <f ca="1">IF(C77="FIXED","",INDIRECT("'NVRAM map'!"&amp;ADDRESS(ROW()+2,COLUMN('NVRAM map'!L:L))))</f>
        <v/>
      </c>
      <c r="F77" s="100">
        <f ca="1">IF(C77="FIXED",INDIRECT("'NVRAM map'!"&amp;ADDRESS(ROW()+2,COLUMN('NVRAM map'!AM:AM))),"")</f>
        <v>0</v>
      </c>
      <c r="G77" s="99"/>
    </row>
    <row r="78" spans="1:7">
      <c r="A78" s="99" t="str">
        <f ca="1">SUBSTITUTE(UPPER(IF(INDIRECT("'NVRAM map'!"&amp;ADDRESS(ROW()+2,COLUMN('NVRAM map'!AG:AG)))="-",INDIRECT("'NVRAM map'!"&amp;ADDRESS(ROW()+2,COLUMN('NVRAM map'!AS:AS))),INDIRECT("'NVRAM map'!"&amp;ADDRESS(ROW()+2,COLUMN('NVRAM map'!AS:AS)))&amp;"_"&amp;INDIRECT("'NVRAM map'!"&amp;ADDRESS(ROW()+2,COLUMN('NVRAM map'!AG:AG))))),"__","_")</f>
        <v>EE_VSUP_CTRL</v>
      </c>
      <c r="B78" s="100" t="str">
        <f ca="1">IF(OR(INDIRECT("'NVRAM map'!"&amp;ADDRESS(ROW()+2,COLUMN('NVRAM map'!D:D)))="-",A78="_"),"x","")</f>
        <v>x</v>
      </c>
      <c r="C78" s="100" t="str">
        <f ca="1">IF(B78="x","FIXED",INDIRECT("'NVRAM map'!"&amp;ADDRESS(ROW()+2,COLUMN('NVRAM map'!I:I))))</f>
        <v>FIXED</v>
      </c>
      <c r="D78" s="100" t="str">
        <f ca="1">IF(C78="FIXED","",INDIRECT("'NVRAM map'!"&amp;ADDRESS(ROW()+2,COLUMN('NVRAM map'!K:K))))</f>
        <v/>
      </c>
      <c r="E78" s="100" t="str">
        <f ca="1">IF(C78="FIXED","",INDIRECT("'NVRAM map'!"&amp;ADDRESS(ROW()+2,COLUMN('NVRAM map'!L:L))))</f>
        <v/>
      </c>
      <c r="F78" s="100">
        <f ca="1">IF(C78="FIXED",INDIRECT("'NVRAM map'!"&amp;ADDRESS(ROW()+2,COLUMN('NVRAM map'!AM:AM))),"")</f>
        <v>0</v>
      </c>
      <c r="G78" s="99"/>
    </row>
    <row r="79" spans="1:7">
      <c r="A79" s="99" t="str">
        <f ca="1">SUBSTITUTE(UPPER(IF(INDIRECT("'NVRAM map'!"&amp;ADDRESS(ROW()+2,COLUMN('NVRAM map'!AG:AG)))="-",INDIRECT("'NVRAM map'!"&amp;ADDRESS(ROW()+2,COLUMN('NVRAM map'!AS:AS))),INDIRECT("'NVRAM map'!"&amp;ADDRESS(ROW()+2,COLUMN('NVRAM map'!AS:AS)))&amp;"_"&amp;INDIRECT("'NVRAM map'!"&amp;ADDRESS(ROW()+2,COLUMN('NVRAM map'!AG:AG))))),"__","_")</f>
        <v>EE_VSUP_CTRL_V_SUP_HIGH</v>
      </c>
      <c r="B79" s="100" t="str">
        <f ca="1">IF(OR(INDIRECT("'NVRAM map'!"&amp;ADDRESS(ROW()+2,COLUMN('NVRAM map'!D:D)))="-",A79="_"),"x","")</f>
        <v/>
      </c>
      <c r="C79" s="100" t="str">
        <f ca="1">IF(B79="x","FIXED",INDIRECT("'NVRAM map'!"&amp;ADDRESS(ROW()+2,COLUMN('NVRAM map'!I:I))))</f>
        <v>TRIMMED</v>
      </c>
      <c r="D79" s="100">
        <f ca="1">IF(C79="FIXED","",INDIRECT("'NVRAM map'!"&amp;ADDRESS(ROW()+2,COLUMN('NVRAM map'!K:K))))</f>
        <v>0</v>
      </c>
      <c r="E79" s="100">
        <f ca="1">IF(C79="FIXED","",INDIRECT("'NVRAM map'!"&amp;ADDRESS(ROW()+2,COLUMN('NVRAM map'!L:L))))</f>
        <v>255</v>
      </c>
      <c r="F79" s="100" t="str">
        <f ca="1">IF(C79="FIXED",INDIRECT("'NVRAM map'!"&amp;ADDRESS(ROW()+2,COLUMN('NVRAM map'!AM:AM))),"")</f>
        <v/>
      </c>
      <c r="G79" s="99"/>
    </row>
    <row r="80" spans="1:7">
      <c r="A80" s="99" t="str">
        <f ca="1">SUBSTITUTE(UPPER(IF(INDIRECT("'NVRAM map'!"&amp;ADDRESS(ROW()+2,COLUMN('NVRAM map'!AG:AG)))="-",INDIRECT("'NVRAM map'!"&amp;ADDRESS(ROW()+2,COLUMN('NVRAM map'!AS:AS))),INDIRECT("'NVRAM map'!"&amp;ADDRESS(ROW()+2,COLUMN('NVRAM map'!AS:AS)))&amp;"_"&amp;INDIRECT("'NVRAM map'!"&amp;ADDRESS(ROW()+2,COLUMN('NVRAM map'!AG:AG))))),"__","_")</f>
        <v>EE_VSUP_CTRL_V_SUP_LOW</v>
      </c>
      <c r="B80" s="100" t="str">
        <f ca="1">IF(OR(INDIRECT("'NVRAM map'!"&amp;ADDRESS(ROW()+2,COLUMN('NVRAM map'!D:D)))="-",A80="_"),"x","")</f>
        <v/>
      </c>
      <c r="C80" s="100" t="str">
        <f ca="1">IF(B80="x","FIXED",INDIRECT("'NVRAM map'!"&amp;ADDRESS(ROW()+2,COLUMN('NVRAM map'!I:I))))</f>
        <v>TRIMMED</v>
      </c>
      <c r="D80" s="100">
        <f ca="1">IF(C80="FIXED","",INDIRECT("'NVRAM map'!"&amp;ADDRESS(ROW()+2,COLUMN('NVRAM map'!K:K))))</f>
        <v>0</v>
      </c>
      <c r="E80" s="100">
        <f ca="1">IF(C80="FIXED","",INDIRECT("'NVRAM map'!"&amp;ADDRESS(ROW()+2,COLUMN('NVRAM map'!L:L))))</f>
        <v>255</v>
      </c>
      <c r="F80" s="100" t="str">
        <f ca="1">IF(C80="FIXED",INDIRECT("'NVRAM map'!"&amp;ADDRESS(ROW()+2,COLUMN('NVRAM map'!AM:AM))),"")</f>
        <v/>
      </c>
      <c r="G80" s="99"/>
    </row>
    <row r="81" spans="1:7">
      <c r="A81" s="99" t="str">
        <f ca="1">SUBSTITUTE(UPPER(IF(INDIRECT("'NVRAM map'!"&amp;ADDRESS(ROW()+2,COLUMN('NVRAM map'!AG:AG)))="-",INDIRECT("'NVRAM map'!"&amp;ADDRESS(ROW()+2,COLUMN('NVRAM map'!AS:AS))),INDIRECT("'NVRAM map'!"&amp;ADDRESS(ROW()+2,COLUMN('NVRAM map'!AS:AS)))&amp;"_"&amp;INDIRECT("'NVRAM map'!"&amp;ADDRESS(ROW()+2,COLUMN('NVRAM map'!AG:AG))))),"__","_")</f>
        <v>EE_P0</v>
      </c>
      <c r="B81" s="100" t="str">
        <f ca="1">IF(OR(INDIRECT("'NVRAM map'!"&amp;ADDRESS(ROW()+2,COLUMN('NVRAM map'!D:D)))="-",A81="_"),"x","")</f>
        <v>x</v>
      </c>
      <c r="C81" s="100" t="str">
        <f ca="1">IF(B81="x","FIXED",INDIRECT("'NVRAM map'!"&amp;ADDRESS(ROW()+2,COLUMN('NVRAM map'!I:I))))</f>
        <v>FIXED</v>
      </c>
      <c r="D81" s="100" t="str">
        <f ca="1">IF(C81="FIXED","",INDIRECT("'NVRAM map'!"&amp;ADDRESS(ROW()+2,COLUMN('NVRAM map'!K:K))))</f>
        <v/>
      </c>
      <c r="E81" s="100" t="str">
        <f ca="1">IF(C81="FIXED","",INDIRECT("'NVRAM map'!"&amp;ADDRESS(ROW()+2,COLUMN('NVRAM map'!L:L))))</f>
        <v/>
      </c>
      <c r="F81" s="100">
        <f ca="1">IF(C81="FIXED",INDIRECT("'NVRAM map'!"&amp;ADDRESS(ROW()+2,COLUMN('NVRAM map'!AM:AM))),"")</f>
        <v>0</v>
      </c>
      <c r="G81" s="99"/>
    </row>
    <row r="82" spans="1:7">
      <c r="A82" s="99" t="str">
        <f ca="1">SUBSTITUTE(UPPER(IF(INDIRECT("'NVRAM map'!"&amp;ADDRESS(ROW()+2,COLUMN('NVRAM map'!AG:AG)))="-",INDIRECT("'NVRAM map'!"&amp;ADDRESS(ROW()+2,COLUMN('NVRAM map'!AS:AS))),INDIRECT("'NVRAM map'!"&amp;ADDRESS(ROW()+2,COLUMN('NVRAM map'!AS:AS)))&amp;"_"&amp;INDIRECT("'NVRAM map'!"&amp;ADDRESS(ROW()+2,COLUMN('NVRAM map'!AG:AG))))),"__","_")</f>
        <v>EE_P0_P0</v>
      </c>
      <c r="B82" s="100" t="str">
        <f ca="1">IF(OR(INDIRECT("'NVRAM map'!"&amp;ADDRESS(ROW()+2,COLUMN('NVRAM map'!D:D)))="-",A82="_"),"x","")</f>
        <v/>
      </c>
      <c r="C82" s="100" t="str">
        <f ca="1">IF(B82="x","FIXED",INDIRECT("'NVRAM map'!"&amp;ADDRESS(ROW()+2,COLUMN('NVRAM map'!I:I))))</f>
        <v>TRIMMED</v>
      </c>
      <c r="D82" s="100">
        <f ca="1">IF(C82="FIXED","",INDIRECT("'NVRAM map'!"&amp;ADDRESS(ROW()+2,COLUMN('NVRAM map'!K:K))))</f>
        <v>-32768</v>
      </c>
      <c r="E82" s="100">
        <f ca="1">IF(C82="FIXED","",INDIRECT("'NVRAM map'!"&amp;ADDRESS(ROW()+2,COLUMN('NVRAM map'!L:L))))</f>
        <v>32767</v>
      </c>
      <c r="F82" s="100" t="str">
        <f ca="1">IF(C82="FIXED",INDIRECT("'NVRAM map'!"&amp;ADDRESS(ROW()+2,COLUMN('NVRAM map'!AM:AM))),"")</f>
        <v/>
      </c>
      <c r="G82" s="99"/>
    </row>
    <row r="83" spans="1:7">
      <c r="A83" s="99" t="str">
        <f ca="1">SUBSTITUTE(UPPER(IF(INDIRECT("'NVRAM map'!"&amp;ADDRESS(ROW()+2,COLUMN('NVRAM map'!AG:AG)))="-",INDIRECT("'NVRAM map'!"&amp;ADDRESS(ROW()+2,COLUMN('NVRAM map'!AS:AS))),INDIRECT("'NVRAM map'!"&amp;ADDRESS(ROW()+2,COLUMN('NVRAM map'!AS:AS)))&amp;"_"&amp;INDIRECT("'NVRAM map'!"&amp;ADDRESS(ROW()+2,COLUMN('NVRAM map'!AG:AG))))),"__","_")</f>
        <v>EE_A0</v>
      </c>
      <c r="B83" s="100" t="str">
        <f ca="1">IF(OR(INDIRECT("'NVRAM map'!"&amp;ADDRESS(ROW()+2,COLUMN('NVRAM map'!D:D)))="-",A83="_"),"x","")</f>
        <v>x</v>
      </c>
      <c r="C83" s="100" t="str">
        <f ca="1">IF(B83="x","FIXED",INDIRECT("'NVRAM map'!"&amp;ADDRESS(ROW()+2,COLUMN('NVRAM map'!I:I))))</f>
        <v>FIXED</v>
      </c>
      <c r="D83" s="100" t="str">
        <f ca="1">IF(C83="FIXED","",INDIRECT("'NVRAM map'!"&amp;ADDRESS(ROW()+2,COLUMN('NVRAM map'!K:K))))</f>
        <v/>
      </c>
      <c r="E83" s="100" t="str">
        <f ca="1">IF(C83="FIXED","",INDIRECT("'NVRAM map'!"&amp;ADDRESS(ROW()+2,COLUMN('NVRAM map'!L:L))))</f>
        <v/>
      </c>
      <c r="F83" s="100">
        <f ca="1">IF(C83="FIXED",INDIRECT("'NVRAM map'!"&amp;ADDRESS(ROW()+2,COLUMN('NVRAM map'!AM:AM))),"")</f>
        <v>0</v>
      </c>
      <c r="G83" s="99"/>
    </row>
    <row r="84" spans="1:7">
      <c r="A84" s="99" t="str">
        <f ca="1">SUBSTITUTE(UPPER(IF(INDIRECT("'NVRAM map'!"&amp;ADDRESS(ROW()+2,COLUMN('NVRAM map'!AG:AG)))="-",INDIRECT("'NVRAM map'!"&amp;ADDRESS(ROW()+2,COLUMN('NVRAM map'!AS:AS))),INDIRECT("'NVRAM map'!"&amp;ADDRESS(ROW()+2,COLUMN('NVRAM map'!AS:AS)))&amp;"_"&amp;INDIRECT("'NVRAM map'!"&amp;ADDRESS(ROW()+2,COLUMN('NVRAM map'!AG:AG))))),"__","_")</f>
        <v>EE_A0_A0</v>
      </c>
      <c r="B84" s="100" t="str">
        <f ca="1">IF(OR(INDIRECT("'NVRAM map'!"&amp;ADDRESS(ROW()+2,COLUMN('NVRAM map'!D:D)))="-",A84="_"),"x","")</f>
        <v/>
      </c>
      <c r="C84" s="100" t="str">
        <f ca="1">IF(B84="x","FIXED",INDIRECT("'NVRAM map'!"&amp;ADDRESS(ROW()+2,COLUMN('NVRAM map'!I:I))))</f>
        <v>TRIMMED</v>
      </c>
      <c r="D84" s="100">
        <f ca="1">IF(C84="FIXED","",INDIRECT("'NVRAM map'!"&amp;ADDRESS(ROW()+2,COLUMN('NVRAM map'!K:K))))</f>
        <v>-32768</v>
      </c>
      <c r="E84" s="100">
        <f ca="1">IF(C84="FIXED","",INDIRECT("'NVRAM map'!"&amp;ADDRESS(ROW()+2,COLUMN('NVRAM map'!L:L))))</f>
        <v>32767</v>
      </c>
      <c r="F84" s="100" t="str">
        <f ca="1">IF(C84="FIXED",INDIRECT("'NVRAM map'!"&amp;ADDRESS(ROW()+2,COLUMN('NVRAM map'!AM:AM))),"")</f>
        <v/>
      </c>
      <c r="G84" s="99"/>
    </row>
    <row r="85" spans="1:7">
      <c r="A85" s="99" t="str">
        <f ca="1">SUBSTITUTE(UPPER(IF(INDIRECT("'NVRAM map'!"&amp;ADDRESS(ROW()+2,COLUMN('NVRAM map'!AG:AG)))="-",INDIRECT("'NVRAM map'!"&amp;ADDRESS(ROW()+2,COLUMN('NVRAM map'!AS:AS))),INDIRECT("'NVRAM map'!"&amp;ADDRESS(ROW()+2,COLUMN('NVRAM map'!AS:AS)))&amp;"_"&amp;INDIRECT("'NVRAM map'!"&amp;ADDRESS(ROW()+2,COLUMN('NVRAM map'!AG:AG))))),"__","_")</f>
        <v>EE_A1</v>
      </c>
      <c r="B85" s="100" t="str">
        <f ca="1">IF(OR(INDIRECT("'NVRAM map'!"&amp;ADDRESS(ROW()+2,COLUMN('NVRAM map'!D:D)))="-",A85="_"),"x","")</f>
        <v>x</v>
      </c>
      <c r="C85" s="100" t="str">
        <f ca="1">IF(B85="x","FIXED",INDIRECT("'NVRAM map'!"&amp;ADDRESS(ROW()+2,COLUMN('NVRAM map'!I:I))))</f>
        <v>FIXED</v>
      </c>
      <c r="D85" s="100" t="str">
        <f ca="1">IF(C85="FIXED","",INDIRECT("'NVRAM map'!"&amp;ADDRESS(ROW()+2,COLUMN('NVRAM map'!K:K))))</f>
        <v/>
      </c>
      <c r="E85" s="100" t="str">
        <f ca="1">IF(C85="FIXED","",INDIRECT("'NVRAM map'!"&amp;ADDRESS(ROW()+2,COLUMN('NVRAM map'!L:L))))</f>
        <v/>
      </c>
      <c r="F85" s="100">
        <f ca="1">IF(C85="FIXED",INDIRECT("'NVRAM map'!"&amp;ADDRESS(ROW()+2,COLUMN('NVRAM map'!AM:AM))),"")</f>
        <v>0</v>
      </c>
      <c r="G85" s="99"/>
    </row>
    <row r="86" spans="1:7">
      <c r="A86" s="99" t="str">
        <f ca="1">SUBSTITUTE(UPPER(IF(INDIRECT("'NVRAM map'!"&amp;ADDRESS(ROW()+2,COLUMN('NVRAM map'!AG:AG)))="-",INDIRECT("'NVRAM map'!"&amp;ADDRESS(ROW()+2,COLUMN('NVRAM map'!AS:AS))),INDIRECT("'NVRAM map'!"&amp;ADDRESS(ROW()+2,COLUMN('NVRAM map'!AS:AS)))&amp;"_"&amp;INDIRECT("'NVRAM map'!"&amp;ADDRESS(ROW()+2,COLUMN('NVRAM map'!AG:AG))))),"__","_")</f>
        <v>EE_A1_A1</v>
      </c>
      <c r="B86" s="100" t="str">
        <f ca="1">IF(OR(INDIRECT("'NVRAM map'!"&amp;ADDRESS(ROW()+2,COLUMN('NVRAM map'!D:D)))="-",A86="_"),"x","")</f>
        <v/>
      </c>
      <c r="C86" s="100" t="str">
        <f ca="1">IF(B86="x","FIXED",INDIRECT("'NVRAM map'!"&amp;ADDRESS(ROW()+2,COLUMN('NVRAM map'!I:I))))</f>
        <v>TRIMMED</v>
      </c>
      <c r="D86" s="100">
        <f ca="1">IF(C86="FIXED","",INDIRECT("'NVRAM map'!"&amp;ADDRESS(ROW()+2,COLUMN('NVRAM map'!K:K))))</f>
        <v>-32768</v>
      </c>
      <c r="E86" s="100">
        <f ca="1">IF(C86="FIXED","",INDIRECT("'NVRAM map'!"&amp;ADDRESS(ROW()+2,COLUMN('NVRAM map'!L:L))))</f>
        <v>32767</v>
      </c>
      <c r="F86" s="100" t="str">
        <f ca="1">IF(C86="FIXED",INDIRECT("'NVRAM map'!"&amp;ADDRESS(ROW()+2,COLUMN('NVRAM map'!AM:AM))),"")</f>
        <v/>
      </c>
      <c r="G86" s="99"/>
    </row>
    <row r="87" spans="1:7">
      <c r="A87" s="99" t="str">
        <f ca="1">SUBSTITUTE(UPPER(IF(INDIRECT("'NVRAM map'!"&amp;ADDRESS(ROW()+2,COLUMN('NVRAM map'!AG:AG)))="-",INDIRECT("'NVRAM map'!"&amp;ADDRESS(ROW()+2,COLUMN('NVRAM map'!AS:AS))),INDIRECT("'NVRAM map'!"&amp;ADDRESS(ROW()+2,COLUMN('NVRAM map'!AS:AS)))&amp;"_"&amp;INDIRECT("'NVRAM map'!"&amp;ADDRESS(ROW()+2,COLUMN('NVRAM map'!AG:AG))))),"__","_")</f>
        <v>EE_A2</v>
      </c>
      <c r="B87" s="100" t="str">
        <f ca="1">IF(OR(INDIRECT("'NVRAM map'!"&amp;ADDRESS(ROW()+2,COLUMN('NVRAM map'!D:D)))="-",A87="_"),"x","")</f>
        <v>x</v>
      </c>
      <c r="C87" s="100" t="str">
        <f ca="1">IF(B87="x","FIXED",INDIRECT("'NVRAM map'!"&amp;ADDRESS(ROW()+2,COLUMN('NVRAM map'!I:I))))</f>
        <v>FIXED</v>
      </c>
      <c r="D87" s="100" t="str">
        <f ca="1">IF(C87="FIXED","",INDIRECT("'NVRAM map'!"&amp;ADDRESS(ROW()+2,COLUMN('NVRAM map'!K:K))))</f>
        <v/>
      </c>
      <c r="E87" s="100" t="str">
        <f ca="1">IF(C87="FIXED","",INDIRECT("'NVRAM map'!"&amp;ADDRESS(ROW()+2,COLUMN('NVRAM map'!L:L))))</f>
        <v/>
      </c>
      <c r="F87" s="100">
        <f ca="1">IF(C87="FIXED",INDIRECT("'NVRAM map'!"&amp;ADDRESS(ROW()+2,COLUMN('NVRAM map'!AM:AM))),"")</f>
        <v>0</v>
      </c>
      <c r="G87" s="99"/>
    </row>
    <row r="88" spans="1:7">
      <c r="A88" s="99" t="str">
        <f ca="1">SUBSTITUTE(UPPER(IF(INDIRECT("'NVRAM map'!"&amp;ADDRESS(ROW()+2,COLUMN('NVRAM map'!AG:AG)))="-",INDIRECT("'NVRAM map'!"&amp;ADDRESS(ROW()+2,COLUMN('NVRAM map'!AS:AS))),INDIRECT("'NVRAM map'!"&amp;ADDRESS(ROW()+2,COLUMN('NVRAM map'!AS:AS)))&amp;"_"&amp;INDIRECT("'NVRAM map'!"&amp;ADDRESS(ROW()+2,COLUMN('NVRAM map'!AG:AG))))),"__","_")</f>
        <v>EE_A2_A2</v>
      </c>
      <c r="B88" s="100" t="str">
        <f ca="1">IF(OR(INDIRECT("'NVRAM map'!"&amp;ADDRESS(ROW()+2,COLUMN('NVRAM map'!D:D)))="-",A88="_"),"x","")</f>
        <v/>
      </c>
      <c r="C88" s="100" t="str">
        <f ca="1">IF(B88="x","FIXED",INDIRECT("'NVRAM map'!"&amp;ADDRESS(ROW()+2,COLUMN('NVRAM map'!I:I))))</f>
        <v>TRIMMED</v>
      </c>
      <c r="D88" s="100">
        <f ca="1">IF(C88="FIXED","",INDIRECT("'NVRAM map'!"&amp;ADDRESS(ROW()+2,COLUMN('NVRAM map'!K:K))))</f>
        <v>-32768</v>
      </c>
      <c r="E88" s="100">
        <f ca="1">IF(C88="FIXED","",INDIRECT("'NVRAM map'!"&amp;ADDRESS(ROW()+2,COLUMN('NVRAM map'!L:L))))</f>
        <v>32767</v>
      </c>
      <c r="F88" s="100" t="str">
        <f ca="1">IF(C88="FIXED",INDIRECT("'NVRAM map'!"&amp;ADDRESS(ROW()+2,COLUMN('NVRAM map'!AM:AM))),"")</f>
        <v/>
      </c>
      <c r="G88" s="99"/>
    </row>
    <row r="89" spans="1:7">
      <c r="A89" s="99" t="str">
        <f ca="1">SUBSTITUTE(UPPER(IF(INDIRECT("'NVRAM map'!"&amp;ADDRESS(ROW()+2,COLUMN('NVRAM map'!AG:AG)))="-",INDIRECT("'NVRAM map'!"&amp;ADDRESS(ROW()+2,COLUMN('NVRAM map'!AS:AS))),INDIRECT("'NVRAM map'!"&amp;ADDRESS(ROW()+2,COLUMN('NVRAM map'!AS:AS)))&amp;"_"&amp;INDIRECT("'NVRAM map'!"&amp;ADDRESS(ROW()+2,COLUMN('NVRAM map'!AG:AG))))),"__","_")</f>
        <v>EE_A3</v>
      </c>
      <c r="B89" s="100" t="str">
        <f ca="1">IF(OR(INDIRECT("'NVRAM map'!"&amp;ADDRESS(ROW()+2,COLUMN('NVRAM map'!D:D)))="-",A89="_"),"x","")</f>
        <v>x</v>
      </c>
      <c r="C89" s="100" t="str">
        <f ca="1">IF(B89="x","FIXED",INDIRECT("'NVRAM map'!"&amp;ADDRESS(ROW()+2,COLUMN('NVRAM map'!I:I))))</f>
        <v>FIXED</v>
      </c>
      <c r="D89" s="100" t="str">
        <f ca="1">IF(C89="FIXED","",INDIRECT("'NVRAM map'!"&amp;ADDRESS(ROW()+2,COLUMN('NVRAM map'!K:K))))</f>
        <v/>
      </c>
      <c r="E89" s="100" t="str">
        <f ca="1">IF(C89="FIXED","",INDIRECT("'NVRAM map'!"&amp;ADDRESS(ROW()+2,COLUMN('NVRAM map'!L:L))))</f>
        <v/>
      </c>
      <c r="F89" s="100">
        <f ca="1">IF(C89="FIXED",INDIRECT("'NVRAM map'!"&amp;ADDRESS(ROW()+2,COLUMN('NVRAM map'!AM:AM))),"")</f>
        <v>0</v>
      </c>
      <c r="G89" s="99"/>
    </row>
    <row r="90" spans="1:7">
      <c r="A90" s="99" t="str">
        <f ca="1">SUBSTITUTE(UPPER(IF(INDIRECT("'NVRAM map'!"&amp;ADDRESS(ROW()+2,COLUMN('NVRAM map'!AG:AG)))="-",INDIRECT("'NVRAM map'!"&amp;ADDRESS(ROW()+2,COLUMN('NVRAM map'!AS:AS))),INDIRECT("'NVRAM map'!"&amp;ADDRESS(ROW()+2,COLUMN('NVRAM map'!AS:AS)))&amp;"_"&amp;INDIRECT("'NVRAM map'!"&amp;ADDRESS(ROW()+2,COLUMN('NVRAM map'!AG:AG))))),"__","_")</f>
        <v>EE_A3_A3</v>
      </c>
      <c r="B90" s="100" t="str">
        <f ca="1">IF(OR(INDIRECT("'NVRAM map'!"&amp;ADDRESS(ROW()+2,COLUMN('NVRAM map'!D:D)))="-",A90="_"),"x","")</f>
        <v/>
      </c>
      <c r="C90" s="100" t="str">
        <f ca="1">IF(B90="x","FIXED",INDIRECT("'NVRAM map'!"&amp;ADDRESS(ROW()+2,COLUMN('NVRAM map'!I:I))))</f>
        <v>TRIMMED</v>
      </c>
      <c r="D90" s="100">
        <f ca="1">IF(C90="FIXED","",INDIRECT("'NVRAM map'!"&amp;ADDRESS(ROW()+2,COLUMN('NVRAM map'!K:K))))</f>
        <v>-32768</v>
      </c>
      <c r="E90" s="100">
        <f ca="1">IF(C90="FIXED","",INDIRECT("'NVRAM map'!"&amp;ADDRESS(ROW()+2,COLUMN('NVRAM map'!L:L))))</f>
        <v>32767</v>
      </c>
      <c r="F90" s="100" t="str">
        <f ca="1">IF(C90="FIXED",INDIRECT("'NVRAM map'!"&amp;ADDRESS(ROW()+2,COLUMN('NVRAM map'!AM:AM))),"")</f>
        <v/>
      </c>
      <c r="G90" s="99"/>
    </row>
    <row r="91" spans="1:7">
      <c r="A91" s="99" t="str">
        <f ca="1">SUBSTITUTE(UPPER(IF(INDIRECT("'NVRAM map'!"&amp;ADDRESS(ROW()+2,COLUMN('NVRAM map'!AG:AG)))="-",INDIRECT("'NVRAM map'!"&amp;ADDRESS(ROW()+2,COLUMN('NVRAM map'!AS:AS))),INDIRECT("'NVRAM map'!"&amp;ADDRESS(ROW()+2,COLUMN('NVRAM map'!AS:AS)))&amp;"_"&amp;INDIRECT("'NVRAM map'!"&amp;ADDRESS(ROW()+2,COLUMN('NVRAM map'!AG:AG))))),"__","_")</f>
        <v>EE_B0</v>
      </c>
      <c r="B91" s="100" t="str">
        <f ca="1">IF(OR(INDIRECT("'NVRAM map'!"&amp;ADDRESS(ROW()+2,COLUMN('NVRAM map'!D:D)))="-",A91="_"),"x","")</f>
        <v>x</v>
      </c>
      <c r="C91" s="100" t="str">
        <f ca="1">IF(B91="x","FIXED",INDIRECT("'NVRAM map'!"&amp;ADDRESS(ROW()+2,COLUMN('NVRAM map'!I:I))))</f>
        <v>FIXED</v>
      </c>
      <c r="D91" s="100" t="str">
        <f ca="1">IF(C91="FIXED","",INDIRECT("'NVRAM map'!"&amp;ADDRESS(ROW()+2,COLUMN('NVRAM map'!K:K))))</f>
        <v/>
      </c>
      <c r="E91" s="100" t="str">
        <f ca="1">IF(C91="FIXED","",INDIRECT("'NVRAM map'!"&amp;ADDRESS(ROW()+2,COLUMN('NVRAM map'!L:L))))</f>
        <v/>
      </c>
      <c r="F91" s="100">
        <f ca="1">IF(C91="FIXED",INDIRECT("'NVRAM map'!"&amp;ADDRESS(ROW()+2,COLUMN('NVRAM map'!AM:AM))),"")</f>
        <v>0</v>
      </c>
      <c r="G91" s="99"/>
    </row>
    <row r="92" spans="1:7">
      <c r="A92" s="99" t="str">
        <f ca="1">SUBSTITUTE(UPPER(IF(INDIRECT("'NVRAM map'!"&amp;ADDRESS(ROW()+2,COLUMN('NVRAM map'!AG:AG)))="-",INDIRECT("'NVRAM map'!"&amp;ADDRESS(ROW()+2,COLUMN('NVRAM map'!AS:AS))),INDIRECT("'NVRAM map'!"&amp;ADDRESS(ROW()+2,COLUMN('NVRAM map'!AS:AS)))&amp;"_"&amp;INDIRECT("'NVRAM map'!"&amp;ADDRESS(ROW()+2,COLUMN('NVRAM map'!AG:AG))))),"__","_")</f>
        <v>EE_B0_B0</v>
      </c>
      <c r="B92" s="100" t="str">
        <f ca="1">IF(OR(INDIRECT("'NVRAM map'!"&amp;ADDRESS(ROW()+2,COLUMN('NVRAM map'!D:D)))="-",A92="_"),"x","")</f>
        <v/>
      </c>
      <c r="C92" s="100" t="str">
        <f ca="1">IF(B92="x","FIXED",INDIRECT("'NVRAM map'!"&amp;ADDRESS(ROW()+2,COLUMN('NVRAM map'!I:I))))</f>
        <v>TRIMMED</v>
      </c>
      <c r="D92" s="100">
        <f ca="1">IF(C92="FIXED","",INDIRECT("'NVRAM map'!"&amp;ADDRESS(ROW()+2,COLUMN('NVRAM map'!K:K))))</f>
        <v>-32768</v>
      </c>
      <c r="E92" s="100">
        <f ca="1">IF(C92="FIXED","",INDIRECT("'NVRAM map'!"&amp;ADDRESS(ROW()+2,COLUMN('NVRAM map'!L:L))))</f>
        <v>32767</v>
      </c>
      <c r="F92" s="100" t="str">
        <f ca="1">IF(C92="FIXED",INDIRECT("'NVRAM map'!"&amp;ADDRESS(ROW()+2,COLUMN('NVRAM map'!AM:AM))),"")</f>
        <v/>
      </c>
      <c r="G92" s="99"/>
    </row>
    <row r="93" spans="1:7">
      <c r="A93" s="99" t="str">
        <f ca="1">SUBSTITUTE(UPPER(IF(INDIRECT("'NVRAM map'!"&amp;ADDRESS(ROW()+2,COLUMN('NVRAM map'!AG:AG)))="-",INDIRECT("'NVRAM map'!"&amp;ADDRESS(ROW()+2,COLUMN('NVRAM map'!AS:AS))),INDIRECT("'NVRAM map'!"&amp;ADDRESS(ROW()+2,COLUMN('NVRAM map'!AS:AS)))&amp;"_"&amp;INDIRECT("'NVRAM map'!"&amp;ADDRESS(ROW()+2,COLUMN('NVRAM map'!AG:AG))))),"__","_")</f>
        <v>EE_B1</v>
      </c>
      <c r="B93" s="100" t="str">
        <f ca="1">IF(OR(INDIRECT("'NVRAM map'!"&amp;ADDRESS(ROW()+2,COLUMN('NVRAM map'!D:D)))="-",A93="_"),"x","")</f>
        <v>x</v>
      </c>
      <c r="C93" s="100" t="str">
        <f ca="1">IF(B93="x","FIXED",INDIRECT("'NVRAM map'!"&amp;ADDRESS(ROW()+2,COLUMN('NVRAM map'!I:I))))</f>
        <v>FIXED</v>
      </c>
      <c r="D93" s="100" t="str">
        <f ca="1">IF(C93="FIXED","",INDIRECT("'NVRAM map'!"&amp;ADDRESS(ROW()+2,COLUMN('NVRAM map'!K:K))))</f>
        <v/>
      </c>
      <c r="E93" s="100" t="str">
        <f ca="1">IF(C93="FIXED","",INDIRECT("'NVRAM map'!"&amp;ADDRESS(ROW()+2,COLUMN('NVRAM map'!L:L))))</f>
        <v/>
      </c>
      <c r="F93" s="100">
        <f ca="1">IF(C93="FIXED",INDIRECT("'NVRAM map'!"&amp;ADDRESS(ROW()+2,COLUMN('NVRAM map'!AM:AM))),"")</f>
        <v>0</v>
      </c>
      <c r="G93" s="99"/>
    </row>
    <row r="94" spans="1:7">
      <c r="A94" s="99" t="str">
        <f ca="1">SUBSTITUTE(UPPER(IF(INDIRECT("'NVRAM map'!"&amp;ADDRESS(ROW()+2,COLUMN('NVRAM map'!AG:AG)))="-",INDIRECT("'NVRAM map'!"&amp;ADDRESS(ROW()+2,COLUMN('NVRAM map'!AS:AS))),INDIRECT("'NVRAM map'!"&amp;ADDRESS(ROW()+2,COLUMN('NVRAM map'!AS:AS)))&amp;"_"&amp;INDIRECT("'NVRAM map'!"&amp;ADDRESS(ROW()+2,COLUMN('NVRAM map'!AG:AG))))),"__","_")</f>
        <v>EE_B1_B1</v>
      </c>
      <c r="B94" s="100" t="str">
        <f ca="1">IF(OR(INDIRECT("'NVRAM map'!"&amp;ADDRESS(ROW()+2,COLUMN('NVRAM map'!D:D)))="-",A94="_"),"x","")</f>
        <v/>
      </c>
      <c r="C94" s="100" t="str">
        <f ca="1">IF(B94="x","FIXED",INDIRECT("'NVRAM map'!"&amp;ADDRESS(ROW()+2,COLUMN('NVRAM map'!I:I))))</f>
        <v>TRIMMED</v>
      </c>
      <c r="D94" s="100">
        <f ca="1">IF(C94="FIXED","",INDIRECT("'NVRAM map'!"&amp;ADDRESS(ROW()+2,COLUMN('NVRAM map'!K:K))))</f>
        <v>-32768</v>
      </c>
      <c r="E94" s="100">
        <f ca="1">IF(C94="FIXED","",INDIRECT("'NVRAM map'!"&amp;ADDRESS(ROW()+2,COLUMN('NVRAM map'!L:L))))</f>
        <v>32767</v>
      </c>
      <c r="F94" s="100" t="str">
        <f ca="1">IF(C94="FIXED",INDIRECT("'NVRAM map'!"&amp;ADDRESS(ROW()+2,COLUMN('NVRAM map'!AM:AM))),"")</f>
        <v/>
      </c>
      <c r="G94" s="99"/>
    </row>
    <row r="95" spans="1:7">
      <c r="A95" s="99" t="str">
        <f ca="1">SUBSTITUTE(UPPER(IF(INDIRECT("'NVRAM map'!"&amp;ADDRESS(ROW()+2,COLUMN('NVRAM map'!AG:AG)))="-",INDIRECT("'NVRAM map'!"&amp;ADDRESS(ROW()+2,COLUMN('NVRAM map'!AS:AS))),INDIRECT("'NVRAM map'!"&amp;ADDRESS(ROW()+2,COLUMN('NVRAM map'!AS:AS)))&amp;"_"&amp;INDIRECT("'NVRAM map'!"&amp;ADDRESS(ROW()+2,COLUMN('NVRAM map'!AG:AG))))),"__","_")</f>
        <v>EE_B2</v>
      </c>
      <c r="B95" s="100" t="str">
        <f ca="1">IF(OR(INDIRECT("'NVRAM map'!"&amp;ADDRESS(ROW()+2,COLUMN('NVRAM map'!D:D)))="-",A95="_"),"x","")</f>
        <v>x</v>
      </c>
      <c r="C95" s="100" t="str">
        <f ca="1">IF(B95="x","FIXED",INDIRECT("'NVRAM map'!"&amp;ADDRESS(ROW()+2,COLUMN('NVRAM map'!I:I))))</f>
        <v>FIXED</v>
      </c>
      <c r="D95" s="100" t="str">
        <f ca="1">IF(C95="FIXED","",INDIRECT("'NVRAM map'!"&amp;ADDRESS(ROW()+2,COLUMN('NVRAM map'!K:K))))</f>
        <v/>
      </c>
      <c r="E95" s="100" t="str">
        <f ca="1">IF(C95="FIXED","",INDIRECT("'NVRAM map'!"&amp;ADDRESS(ROW()+2,COLUMN('NVRAM map'!L:L))))</f>
        <v/>
      </c>
      <c r="F95" s="100">
        <f ca="1">IF(C95="FIXED",INDIRECT("'NVRAM map'!"&amp;ADDRESS(ROW()+2,COLUMN('NVRAM map'!AM:AM))),"")</f>
        <v>0</v>
      </c>
      <c r="G95" s="99"/>
    </row>
    <row r="96" spans="1:7">
      <c r="A96" s="99" t="str">
        <f ca="1">SUBSTITUTE(UPPER(IF(INDIRECT("'NVRAM map'!"&amp;ADDRESS(ROW()+2,COLUMN('NVRAM map'!AG:AG)))="-",INDIRECT("'NVRAM map'!"&amp;ADDRESS(ROW()+2,COLUMN('NVRAM map'!AS:AS))),INDIRECT("'NVRAM map'!"&amp;ADDRESS(ROW()+2,COLUMN('NVRAM map'!AS:AS)))&amp;"_"&amp;INDIRECT("'NVRAM map'!"&amp;ADDRESS(ROW()+2,COLUMN('NVRAM map'!AG:AG))))),"__","_")</f>
        <v>EE_B2_B2</v>
      </c>
      <c r="B96" s="100" t="str">
        <f ca="1">IF(OR(INDIRECT("'NVRAM map'!"&amp;ADDRESS(ROW()+2,COLUMN('NVRAM map'!D:D)))="-",A96="_"),"x","")</f>
        <v/>
      </c>
      <c r="C96" s="100" t="str">
        <f ca="1">IF(B96="x","FIXED",INDIRECT("'NVRAM map'!"&amp;ADDRESS(ROW()+2,COLUMN('NVRAM map'!I:I))))</f>
        <v>TRIMMED</v>
      </c>
      <c r="D96" s="100">
        <f ca="1">IF(C96="FIXED","",INDIRECT("'NVRAM map'!"&amp;ADDRESS(ROW()+2,COLUMN('NVRAM map'!K:K))))</f>
        <v>-32768</v>
      </c>
      <c r="E96" s="100">
        <f ca="1">IF(C96="FIXED","",INDIRECT("'NVRAM map'!"&amp;ADDRESS(ROW()+2,COLUMN('NVRAM map'!L:L))))</f>
        <v>32767</v>
      </c>
      <c r="F96" s="100" t="str">
        <f ca="1">IF(C96="FIXED",INDIRECT("'NVRAM map'!"&amp;ADDRESS(ROW()+2,COLUMN('NVRAM map'!AM:AM))),"")</f>
        <v/>
      </c>
      <c r="G96" s="99"/>
    </row>
    <row r="97" spans="1:7">
      <c r="A97" s="99" t="str">
        <f ca="1">SUBSTITUTE(UPPER(IF(INDIRECT("'NVRAM map'!"&amp;ADDRESS(ROW()+2,COLUMN('NVRAM map'!AG:AG)))="-",INDIRECT("'NVRAM map'!"&amp;ADDRESS(ROW()+2,COLUMN('NVRAM map'!AS:AS))),INDIRECT("'NVRAM map'!"&amp;ADDRESS(ROW()+2,COLUMN('NVRAM map'!AS:AS)))&amp;"_"&amp;INDIRECT("'NVRAM map'!"&amp;ADDRESS(ROW()+2,COLUMN('NVRAM map'!AG:AG))))),"__","_")</f>
        <v>EE_B3</v>
      </c>
      <c r="B97" s="100" t="str">
        <f ca="1">IF(OR(INDIRECT("'NVRAM map'!"&amp;ADDRESS(ROW()+2,COLUMN('NVRAM map'!D:D)))="-",A97="_"),"x","")</f>
        <v>x</v>
      </c>
      <c r="C97" s="100" t="str">
        <f ca="1">IF(B97="x","FIXED",INDIRECT("'NVRAM map'!"&amp;ADDRESS(ROW()+2,COLUMN('NVRAM map'!I:I))))</f>
        <v>FIXED</v>
      </c>
      <c r="D97" s="100" t="str">
        <f ca="1">IF(C97="FIXED","",INDIRECT("'NVRAM map'!"&amp;ADDRESS(ROW()+2,COLUMN('NVRAM map'!K:K))))</f>
        <v/>
      </c>
      <c r="E97" s="100" t="str">
        <f ca="1">IF(C97="FIXED","",INDIRECT("'NVRAM map'!"&amp;ADDRESS(ROW()+2,COLUMN('NVRAM map'!L:L))))</f>
        <v/>
      </c>
      <c r="F97" s="100">
        <f ca="1">IF(C97="FIXED",INDIRECT("'NVRAM map'!"&amp;ADDRESS(ROW()+2,COLUMN('NVRAM map'!AM:AM))),"")</f>
        <v>0</v>
      </c>
      <c r="G97" s="99"/>
    </row>
    <row r="98" spans="1:7">
      <c r="A98" s="99" t="str">
        <f ca="1">SUBSTITUTE(UPPER(IF(INDIRECT("'NVRAM map'!"&amp;ADDRESS(ROW()+2,COLUMN('NVRAM map'!AG:AG)))="-",INDIRECT("'NVRAM map'!"&amp;ADDRESS(ROW()+2,COLUMN('NVRAM map'!AS:AS))),INDIRECT("'NVRAM map'!"&amp;ADDRESS(ROW()+2,COLUMN('NVRAM map'!AS:AS)))&amp;"_"&amp;INDIRECT("'NVRAM map'!"&amp;ADDRESS(ROW()+2,COLUMN('NVRAM map'!AG:AG))))),"__","_")</f>
        <v>EE_B3_B3</v>
      </c>
      <c r="B98" s="100" t="str">
        <f ca="1">IF(OR(INDIRECT("'NVRAM map'!"&amp;ADDRESS(ROW()+2,COLUMN('NVRAM map'!D:D)))="-",A98="_"),"x","")</f>
        <v/>
      </c>
      <c r="C98" s="100" t="str">
        <f ca="1">IF(B98="x","FIXED",INDIRECT("'NVRAM map'!"&amp;ADDRESS(ROW()+2,COLUMN('NVRAM map'!I:I))))</f>
        <v>TRIMMED</v>
      </c>
      <c r="D98" s="100">
        <f ca="1">IF(C98="FIXED","",INDIRECT("'NVRAM map'!"&amp;ADDRESS(ROW()+2,COLUMN('NVRAM map'!K:K))))</f>
        <v>-32768</v>
      </c>
      <c r="E98" s="100">
        <f ca="1">IF(C98="FIXED","",INDIRECT("'NVRAM map'!"&amp;ADDRESS(ROW()+2,COLUMN('NVRAM map'!L:L))))</f>
        <v>32767</v>
      </c>
      <c r="F98" s="100" t="str">
        <f ca="1">IF(C98="FIXED",INDIRECT("'NVRAM map'!"&amp;ADDRESS(ROW()+2,COLUMN('NVRAM map'!AM:AM))),"")</f>
        <v/>
      </c>
      <c r="G98" s="99"/>
    </row>
    <row r="99" spans="1:7">
      <c r="A99" s="99" t="str">
        <f ca="1">SUBSTITUTE(UPPER(IF(INDIRECT("'NVRAM map'!"&amp;ADDRESS(ROW()+2,COLUMN('NVRAM map'!AG:AG)))="-",INDIRECT("'NVRAM map'!"&amp;ADDRESS(ROW()+2,COLUMN('NVRAM map'!AS:AS))),INDIRECT("'NVRAM map'!"&amp;ADDRESS(ROW()+2,COLUMN('NVRAM map'!AS:AS)))&amp;"_"&amp;INDIRECT("'NVRAM map'!"&amp;ADDRESS(ROW()+2,COLUMN('NVRAM map'!AG:AG))))),"__","_")</f>
        <v>EE_C0</v>
      </c>
      <c r="B99" s="100" t="str">
        <f ca="1">IF(OR(INDIRECT("'NVRAM map'!"&amp;ADDRESS(ROW()+2,COLUMN('NVRAM map'!D:D)))="-",A99="_"),"x","")</f>
        <v>x</v>
      </c>
      <c r="C99" s="100" t="str">
        <f ca="1">IF(B99="x","FIXED",INDIRECT("'NVRAM map'!"&amp;ADDRESS(ROW()+2,COLUMN('NVRAM map'!I:I))))</f>
        <v>FIXED</v>
      </c>
      <c r="D99" s="100" t="str">
        <f ca="1">IF(C99="FIXED","",INDIRECT("'NVRAM map'!"&amp;ADDRESS(ROW()+2,COLUMN('NVRAM map'!K:K))))</f>
        <v/>
      </c>
      <c r="E99" s="100" t="str">
        <f ca="1">IF(C99="FIXED","",INDIRECT("'NVRAM map'!"&amp;ADDRESS(ROW()+2,COLUMN('NVRAM map'!L:L))))</f>
        <v/>
      </c>
      <c r="F99" s="100">
        <f ca="1">IF(C99="FIXED",INDIRECT("'NVRAM map'!"&amp;ADDRESS(ROW()+2,COLUMN('NVRAM map'!AM:AM))),"")</f>
        <v>0</v>
      </c>
      <c r="G99" s="99"/>
    </row>
    <row r="100" spans="1:7">
      <c r="A100" s="99" t="str">
        <f ca="1">SUBSTITUTE(UPPER(IF(INDIRECT("'NVRAM map'!"&amp;ADDRESS(ROW()+2,COLUMN('NVRAM map'!AG:AG)))="-",INDIRECT("'NVRAM map'!"&amp;ADDRESS(ROW()+2,COLUMN('NVRAM map'!AS:AS))),INDIRECT("'NVRAM map'!"&amp;ADDRESS(ROW()+2,COLUMN('NVRAM map'!AS:AS)))&amp;"_"&amp;INDIRECT("'NVRAM map'!"&amp;ADDRESS(ROW()+2,COLUMN('NVRAM map'!AG:AG))))),"__","_")</f>
        <v>EE_C0_C0</v>
      </c>
      <c r="B100" s="100" t="str">
        <f ca="1">IF(OR(INDIRECT("'NVRAM map'!"&amp;ADDRESS(ROW()+2,COLUMN('NVRAM map'!D:D)))="-",A100="_"),"x","")</f>
        <v/>
      </c>
      <c r="C100" s="100" t="str">
        <f ca="1">IF(B100="x","FIXED",INDIRECT("'NVRAM map'!"&amp;ADDRESS(ROW()+2,COLUMN('NVRAM map'!I:I))))</f>
        <v>TRIMMED</v>
      </c>
      <c r="D100" s="100">
        <f ca="1">IF(C100="FIXED","",INDIRECT("'NVRAM map'!"&amp;ADDRESS(ROW()+2,COLUMN('NVRAM map'!K:K))))</f>
        <v>-32768</v>
      </c>
      <c r="E100" s="100">
        <f ca="1">IF(C100="FIXED","",INDIRECT("'NVRAM map'!"&amp;ADDRESS(ROW()+2,COLUMN('NVRAM map'!L:L))))</f>
        <v>32767</v>
      </c>
      <c r="F100" s="100" t="str">
        <f ca="1">IF(C100="FIXED",INDIRECT("'NVRAM map'!"&amp;ADDRESS(ROW()+2,COLUMN('NVRAM map'!AM:AM))),"")</f>
        <v/>
      </c>
      <c r="G100" s="99"/>
    </row>
    <row r="101" spans="1:7">
      <c r="A101" s="99" t="str">
        <f ca="1">SUBSTITUTE(UPPER(IF(INDIRECT("'NVRAM map'!"&amp;ADDRESS(ROW()+2,COLUMN('NVRAM map'!AG:AG)))="-",INDIRECT("'NVRAM map'!"&amp;ADDRESS(ROW()+2,COLUMN('NVRAM map'!AS:AS))),INDIRECT("'NVRAM map'!"&amp;ADDRESS(ROW()+2,COLUMN('NVRAM map'!AS:AS)))&amp;"_"&amp;INDIRECT("'NVRAM map'!"&amp;ADDRESS(ROW()+2,COLUMN('NVRAM map'!AG:AG))))),"__","_")</f>
        <v>EE_C1</v>
      </c>
      <c r="B101" s="100" t="str">
        <f ca="1">IF(OR(INDIRECT("'NVRAM map'!"&amp;ADDRESS(ROW()+2,COLUMN('NVRAM map'!D:D)))="-",A101="_"),"x","")</f>
        <v>x</v>
      </c>
      <c r="C101" s="100" t="str">
        <f ca="1">IF(B101="x","FIXED",INDIRECT("'NVRAM map'!"&amp;ADDRESS(ROW()+2,COLUMN('NVRAM map'!I:I))))</f>
        <v>FIXED</v>
      </c>
      <c r="D101" s="100" t="str">
        <f ca="1">IF(C101="FIXED","",INDIRECT("'NVRAM map'!"&amp;ADDRESS(ROW()+2,COLUMN('NVRAM map'!K:K))))</f>
        <v/>
      </c>
      <c r="E101" s="100" t="str">
        <f ca="1">IF(C101="FIXED","",INDIRECT("'NVRAM map'!"&amp;ADDRESS(ROW()+2,COLUMN('NVRAM map'!L:L))))</f>
        <v/>
      </c>
      <c r="F101" s="100">
        <f ca="1">IF(C101="FIXED",INDIRECT("'NVRAM map'!"&amp;ADDRESS(ROW()+2,COLUMN('NVRAM map'!AM:AM))),"")</f>
        <v>0</v>
      </c>
      <c r="G101" s="99"/>
    </row>
    <row r="102" spans="1:7">
      <c r="A102" s="99" t="str">
        <f ca="1">SUBSTITUTE(UPPER(IF(INDIRECT("'NVRAM map'!"&amp;ADDRESS(ROW()+2,COLUMN('NVRAM map'!AG:AG)))="-",INDIRECT("'NVRAM map'!"&amp;ADDRESS(ROW()+2,COLUMN('NVRAM map'!AS:AS))),INDIRECT("'NVRAM map'!"&amp;ADDRESS(ROW()+2,COLUMN('NVRAM map'!AS:AS)))&amp;"_"&amp;INDIRECT("'NVRAM map'!"&amp;ADDRESS(ROW()+2,COLUMN('NVRAM map'!AG:AG))))),"__","_")</f>
        <v>EE_C1_C1</v>
      </c>
      <c r="B102" s="100" t="str">
        <f ca="1">IF(OR(INDIRECT("'NVRAM map'!"&amp;ADDRESS(ROW()+2,COLUMN('NVRAM map'!D:D)))="-",A102="_"),"x","")</f>
        <v/>
      </c>
      <c r="C102" s="100" t="str">
        <f ca="1">IF(B102="x","FIXED",INDIRECT("'NVRAM map'!"&amp;ADDRESS(ROW()+2,COLUMN('NVRAM map'!I:I))))</f>
        <v>TRIMMED</v>
      </c>
      <c r="D102" s="100">
        <f ca="1">IF(C102="FIXED","",INDIRECT("'NVRAM map'!"&amp;ADDRESS(ROW()+2,COLUMN('NVRAM map'!K:K))))</f>
        <v>-32768</v>
      </c>
      <c r="E102" s="100">
        <f ca="1">IF(C102="FIXED","",INDIRECT("'NVRAM map'!"&amp;ADDRESS(ROW()+2,COLUMN('NVRAM map'!L:L))))</f>
        <v>32767</v>
      </c>
      <c r="F102" s="100" t="str">
        <f ca="1">IF(C102="FIXED",INDIRECT("'NVRAM map'!"&amp;ADDRESS(ROW()+2,COLUMN('NVRAM map'!AM:AM))),"")</f>
        <v/>
      </c>
      <c r="G102" s="99"/>
    </row>
    <row r="103" spans="1:7">
      <c r="A103" s="99" t="str">
        <f ca="1">SUBSTITUTE(UPPER(IF(INDIRECT("'NVRAM map'!"&amp;ADDRESS(ROW()+2,COLUMN('NVRAM map'!AG:AG)))="-",INDIRECT("'NVRAM map'!"&amp;ADDRESS(ROW()+2,COLUMN('NVRAM map'!AS:AS))),INDIRECT("'NVRAM map'!"&amp;ADDRESS(ROW()+2,COLUMN('NVRAM map'!AS:AS)))&amp;"_"&amp;INDIRECT("'NVRAM map'!"&amp;ADDRESS(ROW()+2,COLUMN('NVRAM map'!AG:AG))))),"__","_")</f>
        <v>EE_TINT_T0</v>
      </c>
      <c r="B103" s="100" t="str">
        <f ca="1">IF(OR(INDIRECT("'NVRAM map'!"&amp;ADDRESS(ROW()+2,COLUMN('NVRAM map'!D:D)))="-",A103="_"),"x","")</f>
        <v>x</v>
      </c>
      <c r="C103" s="100" t="str">
        <f ca="1">IF(B103="x","FIXED",INDIRECT("'NVRAM map'!"&amp;ADDRESS(ROW()+2,COLUMN('NVRAM map'!I:I))))</f>
        <v>FIXED</v>
      </c>
      <c r="D103" s="100" t="str">
        <f ca="1">IF(C103="FIXED","",INDIRECT("'NVRAM map'!"&amp;ADDRESS(ROW()+2,COLUMN('NVRAM map'!K:K))))</f>
        <v/>
      </c>
      <c r="E103" s="100" t="str">
        <f ca="1">IF(C103="FIXED","",INDIRECT("'NVRAM map'!"&amp;ADDRESS(ROW()+2,COLUMN('NVRAM map'!L:L))))</f>
        <v/>
      </c>
      <c r="F103" s="100">
        <f ca="1">IF(C103="FIXED",INDIRECT("'NVRAM map'!"&amp;ADDRESS(ROW()+2,COLUMN('NVRAM map'!AM:AM))),"")</f>
        <v>0</v>
      </c>
      <c r="G103" s="99"/>
    </row>
    <row r="104" spans="1:7">
      <c r="A104" s="99" t="str">
        <f ca="1">SUBSTITUTE(UPPER(IF(INDIRECT("'NVRAM map'!"&amp;ADDRESS(ROW()+2,COLUMN('NVRAM map'!AG:AG)))="-",INDIRECT("'NVRAM map'!"&amp;ADDRESS(ROW()+2,COLUMN('NVRAM map'!AS:AS))),INDIRECT("'NVRAM map'!"&amp;ADDRESS(ROW()+2,COLUMN('NVRAM map'!AS:AS)))&amp;"_"&amp;INDIRECT("'NVRAM map'!"&amp;ADDRESS(ROW()+2,COLUMN('NVRAM map'!AG:AG))))),"__","_")</f>
        <v>EE_TINT_T0_TINT_T0</v>
      </c>
      <c r="B104" s="100" t="str">
        <f ca="1">IF(OR(INDIRECT("'NVRAM map'!"&amp;ADDRESS(ROW()+2,COLUMN('NVRAM map'!D:D)))="-",A104="_"),"x","")</f>
        <v/>
      </c>
      <c r="C104" s="100" t="str">
        <f ca="1">IF(B104="x","FIXED",INDIRECT("'NVRAM map'!"&amp;ADDRESS(ROW()+2,COLUMN('NVRAM map'!I:I))))</f>
        <v>TRIMMED</v>
      </c>
      <c r="D104" s="100">
        <f ca="1">IF(C104="FIXED","",INDIRECT("'NVRAM map'!"&amp;ADDRESS(ROW()+2,COLUMN('NVRAM map'!K:K))))</f>
        <v>0</v>
      </c>
      <c r="E104" s="100">
        <f ca="1">IF(C104="FIXED","",INDIRECT("'NVRAM map'!"&amp;ADDRESS(ROW()+2,COLUMN('NVRAM map'!L:L))))</f>
        <v>65535</v>
      </c>
      <c r="F104" s="100" t="str">
        <f ca="1">IF(C104="FIXED",INDIRECT("'NVRAM map'!"&amp;ADDRESS(ROW()+2,COLUMN('NVRAM map'!AM:AM))),"")</f>
        <v/>
      </c>
      <c r="G104" s="99"/>
    </row>
    <row r="105" spans="1:7">
      <c r="A105" s="99" t="str">
        <f ca="1">SUBSTITUTE(UPPER(IF(INDIRECT("'NVRAM map'!"&amp;ADDRESS(ROW()+2,COLUMN('NVRAM map'!AG:AG)))="-",INDIRECT("'NVRAM map'!"&amp;ADDRESS(ROW()+2,COLUMN('NVRAM map'!AS:AS))),INDIRECT("'NVRAM map'!"&amp;ADDRESS(ROW()+2,COLUMN('NVRAM map'!AS:AS)))&amp;"_"&amp;INDIRECT("'NVRAM map'!"&amp;ADDRESS(ROW()+2,COLUMN('NVRAM map'!AG:AG))))),"__","_")</f>
        <v>EE_TDEV_D0</v>
      </c>
      <c r="B105" s="100" t="str">
        <f ca="1">IF(OR(INDIRECT("'NVRAM map'!"&amp;ADDRESS(ROW()+2,COLUMN('NVRAM map'!D:D)))="-",A105="_"),"x","")</f>
        <v>x</v>
      </c>
      <c r="C105" s="100" t="str">
        <f ca="1">IF(B105="x","FIXED",INDIRECT("'NVRAM map'!"&amp;ADDRESS(ROW()+2,COLUMN('NVRAM map'!I:I))))</f>
        <v>FIXED</v>
      </c>
      <c r="D105" s="100" t="str">
        <f ca="1">IF(C105="FIXED","",INDIRECT("'NVRAM map'!"&amp;ADDRESS(ROW()+2,COLUMN('NVRAM map'!K:K))))</f>
        <v/>
      </c>
      <c r="E105" s="100" t="str">
        <f ca="1">IF(C105="FIXED","",INDIRECT("'NVRAM map'!"&amp;ADDRESS(ROW()+2,COLUMN('NVRAM map'!L:L))))</f>
        <v/>
      </c>
      <c r="F105" s="100">
        <f ca="1">IF(C105="FIXED",INDIRECT("'NVRAM map'!"&amp;ADDRESS(ROW()+2,COLUMN('NVRAM map'!AM:AM))),"")</f>
        <v>0</v>
      </c>
      <c r="G105" s="99"/>
    </row>
    <row r="106" spans="1:7">
      <c r="A106" s="99" t="str">
        <f ca="1">SUBSTITUTE(UPPER(IF(INDIRECT("'NVRAM map'!"&amp;ADDRESS(ROW()+2,COLUMN('NVRAM map'!AG:AG)))="-",INDIRECT("'NVRAM map'!"&amp;ADDRESS(ROW()+2,COLUMN('NVRAM map'!AS:AS))),INDIRECT("'NVRAM map'!"&amp;ADDRESS(ROW()+2,COLUMN('NVRAM map'!AS:AS)))&amp;"_"&amp;INDIRECT("'NVRAM map'!"&amp;ADDRESS(ROW()+2,COLUMN('NVRAM map'!AG:AG))))),"__","_")</f>
        <v>EE_TDEV_D0_TDEV_D0</v>
      </c>
      <c r="B106" s="100" t="str">
        <f ca="1">IF(OR(INDIRECT("'NVRAM map'!"&amp;ADDRESS(ROW()+2,COLUMN('NVRAM map'!D:D)))="-",A106="_"),"x","")</f>
        <v/>
      </c>
      <c r="C106" s="100" t="str">
        <f ca="1">IF(B106="x","FIXED",INDIRECT("'NVRAM map'!"&amp;ADDRESS(ROW()+2,COLUMN('NVRAM map'!I:I))))</f>
        <v>TRIMMED</v>
      </c>
      <c r="D106" s="100">
        <f ca="1">IF(C106="FIXED","",INDIRECT("'NVRAM map'!"&amp;ADDRESS(ROW()+2,COLUMN('NVRAM map'!K:K))))</f>
        <v>-32768</v>
      </c>
      <c r="E106" s="100">
        <f ca="1">IF(C106="FIXED","",INDIRECT("'NVRAM map'!"&amp;ADDRESS(ROW()+2,COLUMN('NVRAM map'!L:L))))</f>
        <v>32767</v>
      </c>
      <c r="F106" s="100" t="str">
        <f ca="1">IF(C106="FIXED",INDIRECT("'NVRAM map'!"&amp;ADDRESS(ROW()+2,COLUMN('NVRAM map'!AM:AM))),"")</f>
        <v/>
      </c>
      <c r="G106" s="99"/>
    </row>
    <row r="107" spans="1:7">
      <c r="A107" s="99" t="str">
        <f ca="1">SUBSTITUTE(UPPER(IF(INDIRECT("'NVRAM map'!"&amp;ADDRESS(ROW()+2,COLUMN('NVRAM map'!AG:AG)))="-",INDIRECT("'NVRAM map'!"&amp;ADDRESS(ROW()+2,COLUMN('NVRAM map'!AS:AS))),INDIRECT("'NVRAM map'!"&amp;ADDRESS(ROW()+2,COLUMN('NVRAM map'!AS:AS)))&amp;"_"&amp;INDIRECT("'NVRAM map'!"&amp;ADDRESS(ROW()+2,COLUMN('NVRAM map'!AG:AG))))),"__","_")</f>
        <v>EE_TDEV_D1</v>
      </c>
      <c r="B107" s="100" t="str">
        <f ca="1">IF(OR(INDIRECT("'NVRAM map'!"&amp;ADDRESS(ROW()+2,COLUMN('NVRAM map'!D:D)))="-",A107="_"),"x","")</f>
        <v>x</v>
      </c>
      <c r="C107" s="100" t="str">
        <f ca="1">IF(B107="x","FIXED",INDIRECT("'NVRAM map'!"&amp;ADDRESS(ROW()+2,COLUMN('NVRAM map'!I:I))))</f>
        <v>FIXED</v>
      </c>
      <c r="D107" s="100" t="str">
        <f ca="1">IF(C107="FIXED","",INDIRECT("'NVRAM map'!"&amp;ADDRESS(ROW()+2,COLUMN('NVRAM map'!K:K))))</f>
        <v/>
      </c>
      <c r="E107" s="100" t="str">
        <f ca="1">IF(C107="FIXED","",INDIRECT("'NVRAM map'!"&amp;ADDRESS(ROW()+2,COLUMN('NVRAM map'!L:L))))</f>
        <v/>
      </c>
      <c r="F107" s="100">
        <f ca="1">IF(C107="FIXED",INDIRECT("'NVRAM map'!"&amp;ADDRESS(ROW()+2,COLUMN('NVRAM map'!AM:AM))),"")</f>
        <v>0</v>
      </c>
      <c r="G107" s="99"/>
    </row>
    <row r="108" spans="1:7">
      <c r="A108" s="99" t="str">
        <f ca="1">SUBSTITUTE(UPPER(IF(INDIRECT("'NVRAM map'!"&amp;ADDRESS(ROW()+2,COLUMN('NVRAM map'!AG:AG)))="-",INDIRECT("'NVRAM map'!"&amp;ADDRESS(ROW()+2,COLUMN('NVRAM map'!AS:AS))),INDIRECT("'NVRAM map'!"&amp;ADDRESS(ROW()+2,COLUMN('NVRAM map'!AS:AS)))&amp;"_"&amp;INDIRECT("'NVRAM map'!"&amp;ADDRESS(ROW()+2,COLUMN('NVRAM map'!AG:AG))))),"__","_")</f>
        <v>EE_TDEV_D1_TDEV_D1</v>
      </c>
      <c r="B108" s="100" t="str">
        <f ca="1">IF(OR(INDIRECT("'NVRAM map'!"&amp;ADDRESS(ROW()+2,COLUMN('NVRAM map'!D:D)))="-",A108="_"),"x","")</f>
        <v/>
      </c>
      <c r="C108" s="100" t="str">
        <f ca="1">IF(B108="x","FIXED",INDIRECT("'NVRAM map'!"&amp;ADDRESS(ROW()+2,COLUMN('NVRAM map'!I:I))))</f>
        <v>TRIMMED</v>
      </c>
      <c r="D108" s="100">
        <f ca="1">IF(C108="FIXED","",INDIRECT("'NVRAM map'!"&amp;ADDRESS(ROW()+2,COLUMN('NVRAM map'!K:K))))</f>
        <v>-32768</v>
      </c>
      <c r="E108" s="100">
        <f ca="1">IF(C108="FIXED","",INDIRECT("'NVRAM map'!"&amp;ADDRESS(ROW()+2,COLUMN('NVRAM map'!L:L))))</f>
        <v>32767</v>
      </c>
      <c r="F108" s="100" t="str">
        <f ca="1">IF(C108="FIXED",INDIRECT("'NVRAM map'!"&amp;ADDRESS(ROW()+2,COLUMN('NVRAM map'!AM:AM))),"")</f>
        <v/>
      </c>
      <c r="G108" s="99"/>
    </row>
    <row r="109" spans="1:7">
      <c r="A109" s="99" t="str">
        <f ca="1">SUBSTITUTE(UPPER(IF(INDIRECT("'NVRAM map'!"&amp;ADDRESS(ROW()+2,COLUMN('NVRAM map'!AG:AG)))="-",INDIRECT("'NVRAM map'!"&amp;ADDRESS(ROW()+2,COLUMN('NVRAM map'!AS:AS))),INDIRECT("'NVRAM map'!"&amp;ADDRESS(ROW()+2,COLUMN('NVRAM map'!AS:AS)))&amp;"_"&amp;INDIRECT("'NVRAM map'!"&amp;ADDRESS(ROW()+2,COLUMN('NVRAM map'!AG:AG))))),"__","_")</f>
        <v>EE_TDEV_D2</v>
      </c>
      <c r="B109" s="100" t="str">
        <f ca="1">IF(OR(INDIRECT("'NVRAM map'!"&amp;ADDRESS(ROW()+2,COLUMN('NVRAM map'!D:D)))="-",A109="_"),"x","")</f>
        <v>x</v>
      </c>
      <c r="C109" s="100" t="str">
        <f ca="1">IF(B109="x","FIXED",INDIRECT("'NVRAM map'!"&amp;ADDRESS(ROW()+2,COLUMN('NVRAM map'!I:I))))</f>
        <v>FIXED</v>
      </c>
      <c r="D109" s="100" t="str">
        <f ca="1">IF(C109="FIXED","",INDIRECT("'NVRAM map'!"&amp;ADDRESS(ROW()+2,COLUMN('NVRAM map'!K:K))))</f>
        <v/>
      </c>
      <c r="E109" s="100" t="str">
        <f ca="1">IF(C109="FIXED","",INDIRECT("'NVRAM map'!"&amp;ADDRESS(ROW()+2,COLUMN('NVRAM map'!L:L))))</f>
        <v/>
      </c>
      <c r="F109" s="100">
        <f ca="1">IF(C109="FIXED",INDIRECT("'NVRAM map'!"&amp;ADDRESS(ROW()+2,COLUMN('NVRAM map'!AM:AM))),"")</f>
        <v>0</v>
      </c>
      <c r="G109" s="99"/>
    </row>
    <row r="110" spans="1:7">
      <c r="A110" s="99" t="str">
        <f ca="1">SUBSTITUTE(UPPER(IF(INDIRECT("'NVRAM map'!"&amp;ADDRESS(ROW()+2,COLUMN('NVRAM map'!AG:AG)))="-",INDIRECT("'NVRAM map'!"&amp;ADDRESS(ROW()+2,COLUMN('NVRAM map'!AS:AS))),INDIRECT("'NVRAM map'!"&amp;ADDRESS(ROW()+2,COLUMN('NVRAM map'!AS:AS)))&amp;"_"&amp;INDIRECT("'NVRAM map'!"&amp;ADDRESS(ROW()+2,COLUMN('NVRAM map'!AG:AG))))),"__","_")</f>
        <v>EE_TDEV_D2_TDEV_D2</v>
      </c>
      <c r="B110" s="100" t="str">
        <f ca="1">IF(OR(INDIRECT("'NVRAM map'!"&amp;ADDRESS(ROW()+2,COLUMN('NVRAM map'!D:D)))="-",A110="_"),"x","")</f>
        <v/>
      </c>
      <c r="C110" s="100" t="str">
        <f ca="1">IF(B110="x","FIXED",INDIRECT("'NVRAM map'!"&amp;ADDRESS(ROW()+2,COLUMN('NVRAM map'!I:I))))</f>
        <v>TRIMMED</v>
      </c>
      <c r="D110" s="100">
        <f ca="1">IF(C110="FIXED","",INDIRECT("'NVRAM map'!"&amp;ADDRESS(ROW()+2,COLUMN('NVRAM map'!K:K))))</f>
        <v>-32768</v>
      </c>
      <c r="E110" s="100">
        <f ca="1">IF(C110="FIXED","",INDIRECT("'NVRAM map'!"&amp;ADDRESS(ROW()+2,COLUMN('NVRAM map'!L:L))))</f>
        <v>32767</v>
      </c>
      <c r="F110" s="100" t="str">
        <f ca="1">IF(C110="FIXED",INDIRECT("'NVRAM map'!"&amp;ADDRESS(ROW()+2,COLUMN('NVRAM map'!AM:AM))),"")</f>
        <v/>
      </c>
      <c r="G110" s="99"/>
    </row>
    <row r="111" spans="1:7">
      <c r="A111" s="99" t="str">
        <f ca="1">SUBSTITUTE(UPPER(IF(INDIRECT("'NVRAM map'!"&amp;ADDRESS(ROW()+2,COLUMN('NVRAM map'!AG:AG)))="-",INDIRECT("'NVRAM map'!"&amp;ADDRESS(ROW()+2,COLUMN('NVRAM map'!AS:AS))),INDIRECT("'NVRAM map'!"&amp;ADDRESS(ROW()+2,COLUMN('NVRAM map'!AS:AS)))&amp;"_"&amp;INDIRECT("'NVRAM map'!"&amp;ADDRESS(ROW()+2,COLUMN('NVRAM map'!AG:AG))))),"__","_")</f>
        <v>EE_TMEMS_T0</v>
      </c>
      <c r="B111" s="100" t="str">
        <f ca="1">IF(OR(INDIRECT("'NVRAM map'!"&amp;ADDRESS(ROW()+2,COLUMN('NVRAM map'!D:D)))="-",A111="_"),"x","")</f>
        <v>x</v>
      </c>
      <c r="C111" s="100" t="str">
        <f ca="1">IF(B111="x","FIXED",INDIRECT("'NVRAM map'!"&amp;ADDRESS(ROW()+2,COLUMN('NVRAM map'!I:I))))</f>
        <v>FIXED</v>
      </c>
      <c r="D111" s="100" t="str">
        <f ca="1">IF(C111="FIXED","",INDIRECT("'NVRAM map'!"&amp;ADDRESS(ROW()+2,COLUMN('NVRAM map'!K:K))))</f>
        <v/>
      </c>
      <c r="E111" s="100" t="str">
        <f ca="1">IF(C111="FIXED","",INDIRECT("'NVRAM map'!"&amp;ADDRESS(ROW()+2,COLUMN('NVRAM map'!L:L))))</f>
        <v/>
      </c>
      <c r="F111" s="100">
        <f ca="1">IF(C111="FIXED",INDIRECT("'NVRAM map'!"&amp;ADDRESS(ROW()+2,COLUMN('NVRAM map'!AM:AM))),"")</f>
        <v>0</v>
      </c>
      <c r="G111" s="99"/>
    </row>
    <row r="112" spans="1:7">
      <c r="A112" s="99" t="str">
        <f ca="1">SUBSTITUTE(UPPER(IF(INDIRECT("'NVRAM map'!"&amp;ADDRESS(ROW()+2,COLUMN('NVRAM map'!AG:AG)))="-",INDIRECT("'NVRAM map'!"&amp;ADDRESS(ROW()+2,COLUMN('NVRAM map'!AS:AS))),INDIRECT("'NVRAM map'!"&amp;ADDRESS(ROW()+2,COLUMN('NVRAM map'!AS:AS)))&amp;"_"&amp;INDIRECT("'NVRAM map'!"&amp;ADDRESS(ROW()+2,COLUMN('NVRAM map'!AG:AG))))),"__","_")</f>
        <v>EE_TMEMS_T0_TMEMS_T0</v>
      </c>
      <c r="B112" s="100" t="str">
        <f ca="1">IF(OR(INDIRECT("'NVRAM map'!"&amp;ADDRESS(ROW()+2,COLUMN('NVRAM map'!D:D)))="-",A112="_"),"x","")</f>
        <v/>
      </c>
      <c r="C112" s="100" t="str">
        <f ca="1">IF(B112="x","FIXED",INDIRECT("'NVRAM map'!"&amp;ADDRESS(ROW()+2,COLUMN('NVRAM map'!I:I))))</f>
        <v>TRIMMED</v>
      </c>
      <c r="D112" s="100">
        <f ca="1">IF(C112="FIXED","",INDIRECT("'NVRAM map'!"&amp;ADDRESS(ROW()+2,COLUMN('NVRAM map'!K:K))))</f>
        <v>0</v>
      </c>
      <c r="E112" s="100">
        <f ca="1">IF(C112="FIXED","",INDIRECT("'NVRAM map'!"&amp;ADDRESS(ROW()+2,COLUMN('NVRAM map'!L:L))))</f>
        <v>65535</v>
      </c>
      <c r="F112" s="100" t="str">
        <f ca="1">IF(C112="FIXED",INDIRECT("'NVRAM map'!"&amp;ADDRESS(ROW()+2,COLUMN('NVRAM map'!AM:AM))),"")</f>
        <v/>
      </c>
      <c r="G112" s="99"/>
    </row>
    <row r="113" spans="1:7">
      <c r="A113" s="99" t="str">
        <f ca="1">SUBSTITUTE(UPPER(IF(INDIRECT("'NVRAM map'!"&amp;ADDRESS(ROW()+2,COLUMN('NVRAM map'!AG:AG)))="-",INDIRECT("'NVRAM map'!"&amp;ADDRESS(ROW()+2,COLUMN('NVRAM map'!AS:AS))),INDIRECT("'NVRAM map'!"&amp;ADDRESS(ROW()+2,COLUMN('NVRAM map'!AS:AS)))&amp;"_"&amp;INDIRECT("'NVRAM map'!"&amp;ADDRESS(ROW()+2,COLUMN('NVRAM map'!AG:AG))))),"__","_")</f>
        <v>EE_TMEMS_D0</v>
      </c>
      <c r="B113" s="100" t="str">
        <f ca="1">IF(OR(INDIRECT("'NVRAM map'!"&amp;ADDRESS(ROW()+2,COLUMN('NVRAM map'!D:D)))="-",A113="_"),"x","")</f>
        <v>x</v>
      </c>
      <c r="C113" s="100" t="str">
        <f ca="1">IF(B113="x","FIXED",INDIRECT("'NVRAM map'!"&amp;ADDRESS(ROW()+2,COLUMN('NVRAM map'!I:I))))</f>
        <v>FIXED</v>
      </c>
      <c r="D113" s="100" t="str">
        <f ca="1">IF(C113="FIXED","",INDIRECT("'NVRAM map'!"&amp;ADDRESS(ROW()+2,COLUMN('NVRAM map'!K:K))))</f>
        <v/>
      </c>
      <c r="E113" s="100" t="str">
        <f ca="1">IF(C113="FIXED","",INDIRECT("'NVRAM map'!"&amp;ADDRESS(ROW()+2,COLUMN('NVRAM map'!L:L))))</f>
        <v/>
      </c>
      <c r="F113" s="100">
        <f ca="1">IF(C113="FIXED",INDIRECT("'NVRAM map'!"&amp;ADDRESS(ROW()+2,COLUMN('NVRAM map'!AM:AM))),"")</f>
        <v>0</v>
      </c>
      <c r="G113" s="99"/>
    </row>
    <row r="114" spans="1:7">
      <c r="A114" s="99" t="str">
        <f ca="1">SUBSTITUTE(UPPER(IF(INDIRECT("'NVRAM map'!"&amp;ADDRESS(ROW()+2,COLUMN('NVRAM map'!AG:AG)))="-",INDIRECT("'NVRAM map'!"&amp;ADDRESS(ROW()+2,COLUMN('NVRAM map'!AS:AS))),INDIRECT("'NVRAM map'!"&amp;ADDRESS(ROW()+2,COLUMN('NVRAM map'!AS:AS)))&amp;"_"&amp;INDIRECT("'NVRAM map'!"&amp;ADDRESS(ROW()+2,COLUMN('NVRAM map'!AG:AG))))),"__","_")</f>
        <v>EE_TMEMS_D0_TMEMS_D0</v>
      </c>
      <c r="B114" s="100" t="str">
        <f ca="1">IF(OR(INDIRECT("'NVRAM map'!"&amp;ADDRESS(ROW()+2,COLUMN('NVRAM map'!D:D)))="-",A114="_"),"x","")</f>
        <v/>
      </c>
      <c r="C114" s="100" t="str">
        <f ca="1">IF(B114="x","FIXED",INDIRECT("'NVRAM map'!"&amp;ADDRESS(ROW()+2,COLUMN('NVRAM map'!I:I))))</f>
        <v>TRIMMED</v>
      </c>
      <c r="D114" s="100">
        <f ca="1">IF(C114="FIXED","",INDIRECT("'NVRAM map'!"&amp;ADDRESS(ROW()+2,COLUMN('NVRAM map'!K:K))))</f>
        <v>-32768</v>
      </c>
      <c r="E114" s="100">
        <f ca="1">IF(C114="FIXED","",INDIRECT("'NVRAM map'!"&amp;ADDRESS(ROW()+2,COLUMN('NVRAM map'!L:L))))</f>
        <v>32767</v>
      </c>
      <c r="F114" s="100" t="str">
        <f ca="1">IF(C114="FIXED",INDIRECT("'NVRAM map'!"&amp;ADDRESS(ROW()+2,COLUMN('NVRAM map'!AM:AM))),"")</f>
        <v/>
      </c>
      <c r="G114" s="99"/>
    </row>
    <row r="115" spans="1:7">
      <c r="A115" s="99" t="str">
        <f ca="1">SUBSTITUTE(UPPER(IF(INDIRECT("'NVRAM map'!"&amp;ADDRESS(ROW()+2,COLUMN('NVRAM map'!AG:AG)))="-",INDIRECT("'NVRAM map'!"&amp;ADDRESS(ROW()+2,COLUMN('NVRAM map'!AS:AS))),INDIRECT("'NVRAM map'!"&amp;ADDRESS(ROW()+2,COLUMN('NVRAM map'!AS:AS)))&amp;"_"&amp;INDIRECT("'NVRAM map'!"&amp;ADDRESS(ROW()+2,COLUMN('NVRAM map'!AG:AG))))),"__","_")</f>
        <v>EE_TMEMS_D1</v>
      </c>
      <c r="B115" s="100" t="str">
        <f ca="1">IF(OR(INDIRECT("'NVRAM map'!"&amp;ADDRESS(ROW()+2,COLUMN('NVRAM map'!D:D)))="-",A115="_"),"x","")</f>
        <v>x</v>
      </c>
      <c r="C115" s="100" t="str">
        <f ca="1">IF(B115="x","FIXED",INDIRECT("'NVRAM map'!"&amp;ADDRESS(ROW()+2,COLUMN('NVRAM map'!I:I))))</f>
        <v>FIXED</v>
      </c>
      <c r="D115" s="100" t="str">
        <f ca="1">IF(C115="FIXED","",INDIRECT("'NVRAM map'!"&amp;ADDRESS(ROW()+2,COLUMN('NVRAM map'!K:K))))</f>
        <v/>
      </c>
      <c r="E115" s="100" t="str">
        <f ca="1">IF(C115="FIXED","",INDIRECT("'NVRAM map'!"&amp;ADDRESS(ROW()+2,COLUMN('NVRAM map'!L:L))))</f>
        <v/>
      </c>
      <c r="F115" s="100">
        <f ca="1">IF(C115="FIXED",INDIRECT("'NVRAM map'!"&amp;ADDRESS(ROW()+2,COLUMN('NVRAM map'!AM:AM))),"")</f>
        <v>0</v>
      </c>
      <c r="G115" s="99"/>
    </row>
    <row r="116" spans="1:7">
      <c r="A116" s="99" t="str">
        <f ca="1">SUBSTITUTE(UPPER(IF(INDIRECT("'NVRAM map'!"&amp;ADDRESS(ROW()+2,COLUMN('NVRAM map'!AG:AG)))="-",INDIRECT("'NVRAM map'!"&amp;ADDRESS(ROW()+2,COLUMN('NVRAM map'!AS:AS))),INDIRECT("'NVRAM map'!"&amp;ADDRESS(ROW()+2,COLUMN('NVRAM map'!AS:AS)))&amp;"_"&amp;INDIRECT("'NVRAM map'!"&amp;ADDRESS(ROW()+2,COLUMN('NVRAM map'!AG:AG))))),"__","_")</f>
        <v>EE_TMEMS_D1_TMEMS_D1</v>
      </c>
      <c r="B116" s="100" t="str">
        <f ca="1">IF(OR(INDIRECT("'NVRAM map'!"&amp;ADDRESS(ROW()+2,COLUMN('NVRAM map'!D:D)))="-",A116="_"),"x","")</f>
        <v/>
      </c>
      <c r="C116" s="100" t="str">
        <f ca="1">IF(B116="x","FIXED",INDIRECT("'NVRAM map'!"&amp;ADDRESS(ROW()+2,COLUMN('NVRAM map'!I:I))))</f>
        <v>TRIMMED</v>
      </c>
      <c r="D116" s="100">
        <f ca="1">IF(C116="FIXED","",INDIRECT("'NVRAM map'!"&amp;ADDRESS(ROW()+2,COLUMN('NVRAM map'!K:K))))</f>
        <v>-32768</v>
      </c>
      <c r="E116" s="100">
        <f ca="1">IF(C116="FIXED","",INDIRECT("'NVRAM map'!"&amp;ADDRESS(ROW()+2,COLUMN('NVRAM map'!L:L))))</f>
        <v>32767</v>
      </c>
      <c r="F116" s="100" t="str">
        <f ca="1">IF(C116="FIXED",INDIRECT("'NVRAM map'!"&amp;ADDRESS(ROW()+2,COLUMN('NVRAM map'!AM:AM))),"")</f>
        <v/>
      </c>
      <c r="G116" s="99"/>
    </row>
    <row r="117" spans="1:7">
      <c r="A117" s="99" t="str">
        <f ca="1">SUBSTITUTE(UPPER(IF(INDIRECT("'NVRAM map'!"&amp;ADDRESS(ROW()+2,COLUMN('NVRAM map'!AG:AG)))="-",INDIRECT("'NVRAM map'!"&amp;ADDRESS(ROW()+2,COLUMN('NVRAM map'!AS:AS))),INDIRECT("'NVRAM map'!"&amp;ADDRESS(ROW()+2,COLUMN('NVRAM map'!AS:AS)))&amp;"_"&amp;INDIRECT("'NVRAM map'!"&amp;ADDRESS(ROW()+2,COLUMN('NVRAM map'!AG:AG))))),"__","_")</f>
        <v>EE_TMEMS_D2</v>
      </c>
      <c r="B117" s="100" t="str">
        <f ca="1">IF(OR(INDIRECT("'NVRAM map'!"&amp;ADDRESS(ROW()+2,COLUMN('NVRAM map'!D:D)))="-",A117="_"),"x","")</f>
        <v>x</v>
      </c>
      <c r="C117" s="100" t="str">
        <f ca="1">IF(B117="x","FIXED",INDIRECT("'NVRAM map'!"&amp;ADDRESS(ROW()+2,COLUMN('NVRAM map'!I:I))))</f>
        <v>FIXED</v>
      </c>
      <c r="D117" s="100" t="str">
        <f ca="1">IF(C117="FIXED","",INDIRECT("'NVRAM map'!"&amp;ADDRESS(ROW()+2,COLUMN('NVRAM map'!K:K))))</f>
        <v/>
      </c>
      <c r="E117" s="100" t="str">
        <f ca="1">IF(C117="FIXED","",INDIRECT("'NVRAM map'!"&amp;ADDRESS(ROW()+2,COLUMN('NVRAM map'!L:L))))</f>
        <v/>
      </c>
      <c r="F117" s="100">
        <f ca="1">IF(C117="FIXED",INDIRECT("'NVRAM map'!"&amp;ADDRESS(ROW()+2,COLUMN('NVRAM map'!AM:AM))),"")</f>
        <v>0</v>
      </c>
      <c r="G117" s="99"/>
    </row>
    <row r="118" spans="1:7">
      <c r="A118" s="99" t="str">
        <f ca="1">SUBSTITUTE(UPPER(IF(INDIRECT("'NVRAM map'!"&amp;ADDRESS(ROW()+2,COLUMN('NVRAM map'!AG:AG)))="-",INDIRECT("'NVRAM map'!"&amp;ADDRESS(ROW()+2,COLUMN('NVRAM map'!AS:AS))),INDIRECT("'NVRAM map'!"&amp;ADDRESS(ROW()+2,COLUMN('NVRAM map'!AS:AS)))&amp;"_"&amp;INDIRECT("'NVRAM map'!"&amp;ADDRESS(ROW()+2,COLUMN('NVRAM map'!AG:AG))))),"__","_")</f>
        <v>EE_TMEMS_D2_TMEMS_D2</v>
      </c>
      <c r="B118" s="100" t="str">
        <f ca="1">IF(OR(INDIRECT("'NVRAM map'!"&amp;ADDRESS(ROW()+2,COLUMN('NVRAM map'!D:D)))="-",A118="_"),"x","")</f>
        <v/>
      </c>
      <c r="C118" s="100" t="str">
        <f ca="1">IF(B118="x","FIXED",INDIRECT("'NVRAM map'!"&amp;ADDRESS(ROW()+2,COLUMN('NVRAM map'!I:I))))</f>
        <v>TRIMMED</v>
      </c>
      <c r="D118" s="100">
        <f ca="1">IF(C118="FIXED","",INDIRECT("'NVRAM map'!"&amp;ADDRESS(ROW()+2,COLUMN('NVRAM map'!K:K))))</f>
        <v>-32768</v>
      </c>
      <c r="E118" s="100">
        <f ca="1">IF(C118="FIXED","",INDIRECT("'NVRAM map'!"&amp;ADDRESS(ROW()+2,COLUMN('NVRAM map'!L:L))))</f>
        <v>32767</v>
      </c>
      <c r="F118" s="100" t="str">
        <f ca="1">IF(C118="FIXED",INDIRECT("'NVRAM map'!"&amp;ADDRESS(ROW()+2,COLUMN('NVRAM map'!AM:AM))),"")</f>
        <v/>
      </c>
      <c r="G118" s="99"/>
    </row>
    <row r="119" spans="1:7">
      <c r="A119" s="99" t="str">
        <f ca="1">SUBSTITUTE(UPPER(IF(INDIRECT("'NVRAM map'!"&amp;ADDRESS(ROW()+2,COLUMN('NVRAM map'!AG:AG)))="-",INDIRECT("'NVRAM map'!"&amp;ADDRESS(ROW()+2,COLUMN('NVRAM map'!AS:AS))),INDIRECT("'NVRAM map'!"&amp;ADDRESS(ROW()+2,COLUMN('NVRAM map'!AS:AS)))&amp;"_"&amp;INDIRECT("'NVRAM map'!"&amp;ADDRESS(ROW()+2,COLUMN('NVRAM map'!AG:AG))))),"__","_")</f>
        <v>EE_TMEMS_D3</v>
      </c>
      <c r="B119" s="100" t="str">
        <f ca="1">IF(OR(INDIRECT("'NVRAM map'!"&amp;ADDRESS(ROW()+2,COLUMN('NVRAM map'!D:D)))="-",A119="_"),"x","")</f>
        <v>x</v>
      </c>
      <c r="C119" s="100" t="str">
        <f ca="1">IF(B119="x","FIXED",INDIRECT("'NVRAM map'!"&amp;ADDRESS(ROW()+2,COLUMN('NVRAM map'!I:I))))</f>
        <v>FIXED</v>
      </c>
      <c r="D119" s="100" t="str">
        <f ca="1">IF(C119="FIXED","",INDIRECT("'NVRAM map'!"&amp;ADDRESS(ROW()+2,COLUMN('NVRAM map'!K:K))))</f>
        <v/>
      </c>
      <c r="E119" s="100" t="str">
        <f ca="1">IF(C119="FIXED","",INDIRECT("'NVRAM map'!"&amp;ADDRESS(ROW()+2,COLUMN('NVRAM map'!L:L))))</f>
        <v/>
      </c>
      <c r="F119" s="100">
        <f ca="1">IF(C119="FIXED",INDIRECT("'NVRAM map'!"&amp;ADDRESS(ROW()+2,COLUMN('NVRAM map'!AM:AM))),"")</f>
        <v>0</v>
      </c>
      <c r="G119" s="99"/>
    </row>
    <row r="120" spans="1:7">
      <c r="A120" s="99" t="str">
        <f ca="1">SUBSTITUTE(UPPER(IF(INDIRECT("'NVRAM map'!"&amp;ADDRESS(ROW()+2,COLUMN('NVRAM map'!AG:AG)))="-",INDIRECT("'NVRAM map'!"&amp;ADDRESS(ROW()+2,COLUMN('NVRAM map'!AS:AS))),INDIRECT("'NVRAM map'!"&amp;ADDRESS(ROW()+2,COLUMN('NVRAM map'!AS:AS)))&amp;"_"&amp;INDIRECT("'NVRAM map'!"&amp;ADDRESS(ROW()+2,COLUMN('NVRAM map'!AG:AG))))),"__","_")</f>
        <v>EE_TMEMS_D3_TMEMS_D3</v>
      </c>
      <c r="B120" s="100" t="str">
        <f ca="1">IF(OR(INDIRECT("'NVRAM map'!"&amp;ADDRESS(ROW()+2,COLUMN('NVRAM map'!D:D)))="-",A120="_"),"x","")</f>
        <v/>
      </c>
      <c r="C120" s="100" t="str">
        <f ca="1">IF(B120="x","FIXED",INDIRECT("'NVRAM map'!"&amp;ADDRESS(ROW()+2,COLUMN('NVRAM map'!I:I))))</f>
        <v>TRIMMED</v>
      </c>
      <c r="D120" s="100">
        <f ca="1">IF(C120="FIXED","",INDIRECT("'NVRAM map'!"&amp;ADDRESS(ROW()+2,COLUMN('NVRAM map'!K:K))))</f>
        <v>-32768</v>
      </c>
      <c r="E120" s="100">
        <f ca="1">IF(C120="FIXED","",INDIRECT("'NVRAM map'!"&amp;ADDRESS(ROW()+2,COLUMN('NVRAM map'!L:L))))</f>
        <v>32767</v>
      </c>
      <c r="F120" s="100" t="str">
        <f ca="1">IF(C120="FIXED",INDIRECT("'NVRAM map'!"&amp;ADDRESS(ROW()+2,COLUMN('NVRAM map'!AM:AM))),"")</f>
        <v/>
      </c>
      <c r="G120" s="99"/>
    </row>
    <row r="121" spans="1:7">
      <c r="A121" s="99" t="str">
        <f ca="1">SUBSTITUTE(UPPER(IF(INDIRECT("'NVRAM map'!"&amp;ADDRESS(ROW()+2,COLUMN('NVRAM map'!AG:AG)))="-",INDIRECT("'NVRAM map'!"&amp;ADDRESS(ROW()+2,COLUMN('NVRAM map'!AS:AS))),INDIRECT("'NVRAM map'!"&amp;ADDRESS(ROW()+2,COLUMN('NVRAM map'!AS:AS)))&amp;"_"&amp;INDIRECT("'NVRAM map'!"&amp;ADDRESS(ROW()+2,COLUMN('NVRAM map'!AG:AG))))),"__","_")</f>
        <v>EE_TMEMS_D4</v>
      </c>
      <c r="B121" s="100" t="str">
        <f ca="1">IF(OR(INDIRECT("'NVRAM map'!"&amp;ADDRESS(ROW()+2,COLUMN('NVRAM map'!D:D)))="-",A121="_"),"x","")</f>
        <v>x</v>
      </c>
      <c r="C121" s="100" t="str">
        <f ca="1">IF(B121="x","FIXED",INDIRECT("'NVRAM map'!"&amp;ADDRESS(ROW()+2,COLUMN('NVRAM map'!I:I))))</f>
        <v>FIXED</v>
      </c>
      <c r="D121" s="100" t="str">
        <f ca="1">IF(C121="FIXED","",INDIRECT("'NVRAM map'!"&amp;ADDRESS(ROW()+2,COLUMN('NVRAM map'!K:K))))</f>
        <v/>
      </c>
      <c r="E121" s="100" t="str">
        <f ca="1">IF(C121="FIXED","",INDIRECT("'NVRAM map'!"&amp;ADDRESS(ROW()+2,COLUMN('NVRAM map'!L:L))))</f>
        <v/>
      </c>
      <c r="F121" s="100">
        <f ca="1">IF(C121="FIXED",INDIRECT("'NVRAM map'!"&amp;ADDRESS(ROW()+2,COLUMN('NVRAM map'!AM:AM))),"")</f>
        <v>0</v>
      </c>
      <c r="G121" s="99"/>
    </row>
    <row r="122" spans="1:7">
      <c r="A122" s="99" t="str">
        <f ca="1">SUBSTITUTE(UPPER(IF(INDIRECT("'NVRAM map'!"&amp;ADDRESS(ROW()+2,COLUMN('NVRAM map'!AG:AG)))="-",INDIRECT("'NVRAM map'!"&amp;ADDRESS(ROW()+2,COLUMN('NVRAM map'!AS:AS))),INDIRECT("'NVRAM map'!"&amp;ADDRESS(ROW()+2,COLUMN('NVRAM map'!AS:AS)))&amp;"_"&amp;INDIRECT("'NVRAM map'!"&amp;ADDRESS(ROW()+2,COLUMN('NVRAM map'!AG:AG))))),"__","_")</f>
        <v>EE_TMEMS_D4_TMEMS_D4</v>
      </c>
      <c r="B122" s="100" t="str">
        <f ca="1">IF(OR(INDIRECT("'NVRAM map'!"&amp;ADDRESS(ROW()+2,COLUMN('NVRAM map'!D:D)))="-",A122="_"),"x","")</f>
        <v/>
      </c>
      <c r="C122" s="100" t="str">
        <f ca="1">IF(B122="x","FIXED",INDIRECT("'NVRAM map'!"&amp;ADDRESS(ROW()+2,COLUMN('NVRAM map'!I:I))))</f>
        <v>TRIMMED</v>
      </c>
      <c r="D122" s="100">
        <f ca="1">IF(C122="FIXED","",INDIRECT("'NVRAM map'!"&amp;ADDRESS(ROW()+2,COLUMN('NVRAM map'!K:K))))</f>
        <v>-32768</v>
      </c>
      <c r="E122" s="100">
        <f ca="1">IF(C122="FIXED","",INDIRECT("'NVRAM map'!"&amp;ADDRESS(ROW()+2,COLUMN('NVRAM map'!L:L))))</f>
        <v>32767</v>
      </c>
      <c r="F122" s="100" t="str">
        <f ca="1">IF(C122="FIXED",INDIRECT("'NVRAM map'!"&amp;ADDRESS(ROW()+2,COLUMN('NVRAM map'!AM:AM))),"")</f>
        <v/>
      </c>
      <c r="G122" s="99"/>
    </row>
    <row r="123" spans="1:7">
      <c r="A123" s="99" t="str">
        <f ca="1">SUBSTITUTE(UPPER(IF(INDIRECT("'NVRAM map'!"&amp;ADDRESS(ROW()+2,COLUMN('NVRAM map'!AG:AG)))="-",INDIRECT("'NVRAM map'!"&amp;ADDRESS(ROW()+2,COLUMN('NVRAM map'!AS:AS))),INDIRECT("'NVRAM map'!"&amp;ADDRESS(ROW()+2,COLUMN('NVRAM map'!AS:AS)))&amp;"_"&amp;INDIRECT("'NVRAM map'!"&amp;ADDRESS(ROW()+2,COLUMN('NVRAM map'!AG:AG))))),"__","_")</f>
        <v>EE_PSFT1_BASE</v>
      </c>
      <c r="B123" s="100" t="str">
        <f ca="1">IF(OR(INDIRECT("'NVRAM map'!"&amp;ADDRESS(ROW()+2,COLUMN('NVRAM map'!D:D)))="-",A123="_"),"x","")</f>
        <v>x</v>
      </c>
      <c r="C123" s="100" t="str">
        <f ca="1">IF(B123="x","FIXED",INDIRECT("'NVRAM map'!"&amp;ADDRESS(ROW()+2,COLUMN('NVRAM map'!I:I))))</f>
        <v>FIXED</v>
      </c>
      <c r="D123" s="100" t="str">
        <f ca="1">IF(C123="FIXED","",INDIRECT("'NVRAM map'!"&amp;ADDRESS(ROW()+2,COLUMN('NVRAM map'!K:K))))</f>
        <v/>
      </c>
      <c r="E123" s="100" t="str">
        <f ca="1">IF(C123="FIXED","",INDIRECT("'NVRAM map'!"&amp;ADDRESS(ROW()+2,COLUMN('NVRAM map'!L:L))))</f>
        <v/>
      </c>
      <c r="F123" s="100">
        <f ca="1">IF(C123="FIXED",INDIRECT("'NVRAM map'!"&amp;ADDRESS(ROW()+2,COLUMN('NVRAM map'!AM:AM))),"")</f>
        <v>0</v>
      </c>
      <c r="G123" s="99"/>
    </row>
    <row r="124" spans="1:7">
      <c r="A124" s="99" t="str">
        <f ca="1">SUBSTITUTE(UPPER(IF(INDIRECT("'NVRAM map'!"&amp;ADDRESS(ROW()+2,COLUMN('NVRAM map'!AG:AG)))="-",INDIRECT("'NVRAM map'!"&amp;ADDRESS(ROW()+2,COLUMN('NVRAM map'!AS:AS))),INDIRECT("'NVRAM map'!"&amp;ADDRESS(ROW()+2,COLUMN('NVRAM map'!AS:AS)))&amp;"_"&amp;INDIRECT("'NVRAM map'!"&amp;ADDRESS(ROW()+2,COLUMN('NVRAM map'!AG:AG))))),"__","_")</f>
        <v>EE_PSFT1_BASE_TEMP_MISMATCH_DIAG_THRD</v>
      </c>
      <c r="B124" s="100" t="str">
        <f ca="1">IF(OR(INDIRECT("'NVRAM map'!"&amp;ADDRESS(ROW()+2,COLUMN('NVRAM map'!D:D)))="-",A124="_"),"x","")</f>
        <v/>
      </c>
      <c r="C124" s="100" t="str">
        <f ca="1">IF(B124="x","FIXED",INDIRECT("'NVRAM map'!"&amp;ADDRESS(ROW()+2,COLUMN('NVRAM map'!I:I))))</f>
        <v>FIXED</v>
      </c>
      <c r="D124" s="100" t="str">
        <f ca="1">IF(C124="FIXED","",INDIRECT("'NVRAM map'!"&amp;ADDRESS(ROW()+2,COLUMN('NVRAM map'!K:K))))</f>
        <v/>
      </c>
      <c r="E124" s="100" t="str">
        <f ca="1">IF(C124="FIXED","",INDIRECT("'NVRAM map'!"&amp;ADDRESS(ROW()+2,COLUMN('NVRAM map'!L:L))))</f>
        <v/>
      </c>
      <c r="F124" s="100">
        <f ca="1">IF(C124="FIXED",INDIRECT("'NVRAM map'!"&amp;ADDRESS(ROW()+2,COLUMN('NVRAM map'!AM:AM))),"")</f>
        <v>18</v>
      </c>
      <c r="G124" s="99"/>
    </row>
    <row r="125" spans="1:7">
      <c r="A125" s="99" t="str">
        <f ca="1">SUBSTITUTE(UPPER(IF(INDIRECT("'NVRAM map'!"&amp;ADDRESS(ROW()+2,COLUMN('NVRAM map'!AG:AG)))="-",INDIRECT("'NVRAM map'!"&amp;ADDRESS(ROW()+2,COLUMN('NVRAM map'!AS:AS))),INDIRECT("'NVRAM map'!"&amp;ADDRESS(ROW()+2,COLUMN('NVRAM map'!AS:AS)))&amp;"_"&amp;INDIRECT("'NVRAM map'!"&amp;ADDRESS(ROW()+2,COLUMN('NVRAM map'!AG:AG))))),"__","_")</f>
        <v>EE_PSFT1_BASE_PSFT1_BASE</v>
      </c>
      <c r="B125" s="100" t="str">
        <f ca="1">IF(OR(INDIRECT("'NVRAM map'!"&amp;ADDRESS(ROW()+2,COLUMN('NVRAM map'!D:D)))="-",A125="_"),"x","")</f>
        <v/>
      </c>
      <c r="C125" s="100" t="str">
        <f ca="1">IF(B125="x","FIXED",INDIRECT("'NVRAM map'!"&amp;ADDRESS(ROW()+2,COLUMN('NVRAM map'!I:I))))</f>
        <v>TRIMMED</v>
      </c>
      <c r="D125" s="100">
        <f ca="1">IF(C125="FIXED","",INDIRECT("'NVRAM map'!"&amp;ADDRESS(ROW()+2,COLUMN('NVRAM map'!K:K))))</f>
        <v>0</v>
      </c>
      <c r="E125" s="100">
        <f ca="1">IF(C125="FIXED","",INDIRECT("'NVRAM map'!"&amp;ADDRESS(ROW()+2,COLUMN('NVRAM map'!L:L))))</f>
        <v>2047</v>
      </c>
      <c r="F125" s="100" t="str">
        <f ca="1">IF(C125="FIXED",INDIRECT("'NVRAM map'!"&amp;ADDRESS(ROW()+2,COLUMN('NVRAM map'!AM:AM))),"")</f>
        <v/>
      </c>
      <c r="G125" s="99"/>
    </row>
    <row r="126" spans="1:7">
      <c r="A126" s="99" t="str">
        <f ca="1">SUBSTITUTE(UPPER(IF(INDIRECT("'NVRAM map'!"&amp;ADDRESS(ROW()+2,COLUMN('NVRAM map'!AG:AG)))="-",INDIRECT("'NVRAM map'!"&amp;ADDRESS(ROW()+2,COLUMN('NVRAM map'!AS:AS))),INDIRECT("'NVRAM map'!"&amp;ADDRESS(ROW()+2,COLUMN('NVRAM map'!AS:AS)))&amp;"_"&amp;INDIRECT("'NVRAM map'!"&amp;ADDRESS(ROW()+2,COLUMN('NVRAM map'!AG:AG))))),"__","_")</f>
        <v>EE_PSFT1_LIMITS</v>
      </c>
      <c r="B126" s="100" t="str">
        <f ca="1">IF(OR(INDIRECT("'NVRAM map'!"&amp;ADDRESS(ROW()+2,COLUMN('NVRAM map'!D:D)))="-",A126="_"),"x","")</f>
        <v>x</v>
      </c>
      <c r="C126" s="100" t="str">
        <f ca="1">IF(B126="x","FIXED",INDIRECT("'NVRAM map'!"&amp;ADDRESS(ROW()+2,COLUMN('NVRAM map'!I:I))))</f>
        <v>FIXED</v>
      </c>
      <c r="D126" s="100" t="str">
        <f ca="1">IF(C126="FIXED","",INDIRECT("'NVRAM map'!"&amp;ADDRESS(ROW()+2,COLUMN('NVRAM map'!K:K))))</f>
        <v/>
      </c>
      <c r="E126" s="100" t="str">
        <f ca="1">IF(C126="FIXED","",INDIRECT("'NVRAM map'!"&amp;ADDRESS(ROW()+2,COLUMN('NVRAM map'!L:L))))</f>
        <v/>
      </c>
      <c r="F126" s="100">
        <f ca="1">IF(C126="FIXED",INDIRECT("'NVRAM map'!"&amp;ADDRESS(ROW()+2,COLUMN('NVRAM map'!AM:AM))),"")</f>
        <v>0</v>
      </c>
      <c r="G126" s="99"/>
    </row>
    <row r="127" spans="1:7">
      <c r="A127" s="99" t="str">
        <f ca="1">SUBSTITUTE(UPPER(IF(INDIRECT("'NVRAM map'!"&amp;ADDRESS(ROW()+2,COLUMN('NVRAM map'!AG:AG)))="-",INDIRECT("'NVRAM map'!"&amp;ADDRESS(ROW()+2,COLUMN('NVRAM map'!AS:AS))),INDIRECT("'NVRAM map'!"&amp;ADDRESS(ROW()+2,COLUMN('NVRAM map'!AS:AS)))&amp;"_"&amp;INDIRECT("'NVRAM map'!"&amp;ADDRESS(ROW()+2,COLUMN('NVRAM map'!AG:AG))))),"__","_")</f>
        <v>EE_PSFT1_LIMITS_PSFT1_SLOPE</v>
      </c>
      <c r="B127" s="100" t="str">
        <f ca="1">IF(OR(INDIRECT("'NVRAM map'!"&amp;ADDRESS(ROW()+2,COLUMN('NVRAM map'!D:D)))="-",A127="_"),"x","")</f>
        <v/>
      </c>
      <c r="C127" s="100" t="str">
        <f ca="1">IF(B127="x","FIXED",INDIRECT("'NVRAM map'!"&amp;ADDRESS(ROW()+2,COLUMN('NVRAM map'!I:I))))</f>
        <v>TRIMMED</v>
      </c>
      <c r="D127" s="100">
        <f ca="1">IF(C127="FIXED","",INDIRECT("'NVRAM map'!"&amp;ADDRESS(ROW()+2,COLUMN('NVRAM map'!K:K))))</f>
        <v>-128</v>
      </c>
      <c r="E127" s="100">
        <f ca="1">IF(C127="FIXED","",INDIRECT("'NVRAM map'!"&amp;ADDRESS(ROW()+2,COLUMN('NVRAM map'!L:L))))</f>
        <v>127</v>
      </c>
      <c r="F127" s="100" t="str">
        <f ca="1">IF(C127="FIXED",INDIRECT("'NVRAM map'!"&amp;ADDRESS(ROW()+2,COLUMN('NVRAM map'!AM:AM))),"")</f>
        <v/>
      </c>
      <c r="G127" s="99"/>
    </row>
    <row r="128" spans="1:7">
      <c r="A128" s="99" t="str">
        <f ca="1">SUBSTITUTE(UPPER(IF(INDIRECT("'NVRAM map'!"&amp;ADDRESS(ROW()+2,COLUMN('NVRAM map'!AG:AG)))="-",INDIRECT("'NVRAM map'!"&amp;ADDRESS(ROW()+2,COLUMN('NVRAM map'!AS:AS))),INDIRECT("'NVRAM map'!"&amp;ADDRESS(ROW()+2,COLUMN('NVRAM map'!AS:AS)))&amp;"_"&amp;INDIRECT("'NVRAM map'!"&amp;ADDRESS(ROW()+2,COLUMN('NVRAM map'!AG:AG))))),"__","_")</f>
        <v>EE_PSFT1_LIMITS_PSFT1_LIMITS_RESERVED</v>
      </c>
      <c r="B128" s="100" t="str">
        <f ca="1">IF(OR(INDIRECT("'NVRAM map'!"&amp;ADDRESS(ROW()+2,COLUMN('NVRAM map'!D:D)))="-",A128="_"),"x","")</f>
        <v/>
      </c>
      <c r="C128" s="100" t="str">
        <f ca="1">IF(B128="x","FIXED",INDIRECT("'NVRAM map'!"&amp;ADDRESS(ROW()+2,COLUMN('NVRAM map'!I:I))))</f>
        <v>FIXED</v>
      </c>
      <c r="D128" s="100" t="str">
        <f ca="1">IF(C128="FIXED","",INDIRECT("'NVRAM map'!"&amp;ADDRESS(ROW()+2,COLUMN('NVRAM map'!K:K))))</f>
        <v/>
      </c>
      <c r="E128" s="100" t="str">
        <f ca="1">IF(C128="FIXED","",INDIRECT("'NVRAM map'!"&amp;ADDRESS(ROW()+2,COLUMN('NVRAM map'!L:L))))</f>
        <v/>
      </c>
      <c r="F128" s="100">
        <f ca="1">IF(C128="FIXED",INDIRECT("'NVRAM map'!"&amp;ADDRESS(ROW()+2,COLUMN('NVRAM map'!AM:AM))),"")</f>
        <v>0</v>
      </c>
      <c r="G128" s="99"/>
    </row>
    <row r="129" spans="1:7">
      <c r="A129" s="99" t="str">
        <f ca="1">SUBSTITUTE(UPPER(IF(INDIRECT("'NVRAM map'!"&amp;ADDRESS(ROW()+2,COLUMN('NVRAM map'!AG:AG)))="-",INDIRECT("'NVRAM map'!"&amp;ADDRESS(ROW()+2,COLUMN('NVRAM map'!AS:AS))),INDIRECT("'NVRAM map'!"&amp;ADDRESS(ROW()+2,COLUMN('NVRAM map'!AS:AS)))&amp;"_"&amp;INDIRECT("'NVRAM map'!"&amp;ADDRESS(ROW()+2,COLUMN('NVRAM map'!AG:AG))))),"__","_")</f>
        <v>EE_PSFT1_LIMITS_PSFT1_THRESHOLD</v>
      </c>
      <c r="B129" s="100" t="str">
        <f ca="1">IF(OR(INDIRECT("'NVRAM map'!"&amp;ADDRESS(ROW()+2,COLUMN('NVRAM map'!D:D)))="-",A129="_"),"x","")</f>
        <v/>
      </c>
      <c r="C129" s="100" t="str">
        <f ca="1">IF(B129="x","FIXED",INDIRECT("'NVRAM map'!"&amp;ADDRESS(ROW()+2,COLUMN('NVRAM map'!I:I))))</f>
        <v>FIXED</v>
      </c>
      <c r="D129" s="100" t="str">
        <f ca="1">IF(C129="FIXED","",INDIRECT("'NVRAM map'!"&amp;ADDRESS(ROW()+2,COLUMN('NVRAM map'!K:K))))</f>
        <v/>
      </c>
      <c r="E129" s="100" t="str">
        <f ca="1">IF(C129="FIXED","",INDIRECT("'NVRAM map'!"&amp;ADDRESS(ROW()+2,COLUMN('NVRAM map'!L:L))))</f>
        <v/>
      </c>
      <c r="F129" s="100">
        <f ca="1">IF(C129="FIXED",INDIRECT("'NVRAM map'!"&amp;ADDRESS(ROW()+2,COLUMN('NVRAM map'!AM:AM))),"")</f>
        <v>2</v>
      </c>
      <c r="G129" s="99"/>
    </row>
    <row r="130" spans="1:7">
      <c r="A130" s="99" t="str">
        <f ca="1">SUBSTITUTE(UPPER(IF(INDIRECT("'NVRAM map'!"&amp;ADDRESS(ROW()+2,COLUMN('NVRAM map'!AG:AG)))="-",INDIRECT("'NVRAM map'!"&amp;ADDRESS(ROW()+2,COLUMN('NVRAM map'!AS:AS))),INDIRECT("'NVRAM map'!"&amp;ADDRESS(ROW()+2,COLUMN('NVRAM map'!AS:AS)))&amp;"_"&amp;INDIRECT("'NVRAM map'!"&amp;ADDRESS(ROW()+2,COLUMN('NVRAM map'!AG:AG))))),"__","_")</f>
        <v>EE_GLBL_ERR_MSK0_PSFT0</v>
      </c>
      <c r="B130" s="100" t="str">
        <f ca="1">IF(OR(INDIRECT("'NVRAM map'!"&amp;ADDRESS(ROW()+2,COLUMN('NVRAM map'!D:D)))="-",A130="_"),"x","")</f>
        <v>x</v>
      </c>
      <c r="C130" s="100" t="str">
        <f ca="1">IF(B130="x","FIXED",INDIRECT("'NVRAM map'!"&amp;ADDRESS(ROW()+2,COLUMN('NVRAM map'!I:I))))</f>
        <v>FIXED</v>
      </c>
      <c r="D130" s="100" t="str">
        <f ca="1">IF(C130="FIXED","",INDIRECT("'NVRAM map'!"&amp;ADDRESS(ROW()+2,COLUMN('NVRAM map'!K:K))))</f>
        <v/>
      </c>
      <c r="E130" s="100" t="str">
        <f ca="1">IF(C130="FIXED","",INDIRECT("'NVRAM map'!"&amp;ADDRESS(ROW()+2,COLUMN('NVRAM map'!L:L))))</f>
        <v/>
      </c>
      <c r="F130" s="100">
        <f ca="1">IF(C130="FIXED",INDIRECT("'NVRAM map'!"&amp;ADDRESS(ROW()+2,COLUMN('NVRAM map'!AM:AM))),"")</f>
        <v>0</v>
      </c>
      <c r="G130" s="99"/>
    </row>
    <row r="131" spans="1:7">
      <c r="A131" s="99" t="str">
        <f ca="1">SUBSTITUTE(UPPER(IF(INDIRECT("'NVRAM map'!"&amp;ADDRESS(ROW()+2,COLUMN('NVRAM map'!AG:AG)))="-",INDIRECT("'NVRAM map'!"&amp;ADDRESS(ROW()+2,COLUMN('NVRAM map'!AS:AS))),INDIRECT("'NVRAM map'!"&amp;ADDRESS(ROW()+2,COLUMN('NVRAM map'!AS:AS)))&amp;"_"&amp;INDIRECT("'NVRAM map'!"&amp;ADDRESS(ROW()+2,COLUMN('NVRAM map'!AG:AG))))),"__","_")</f>
        <v>EE_GLBL_ERR_MSK0_PSFT0_PSFT0_THRESHOLD_RESERVED</v>
      </c>
      <c r="B131" s="100" t="str">
        <f ca="1">IF(OR(INDIRECT("'NVRAM map'!"&amp;ADDRESS(ROW()+2,COLUMN('NVRAM map'!D:D)))="-",A131="_"),"x","")</f>
        <v/>
      </c>
      <c r="C131" s="100" t="str">
        <f ca="1">IF(B131="x","FIXED",INDIRECT("'NVRAM map'!"&amp;ADDRESS(ROW()+2,COLUMN('NVRAM map'!I:I))))</f>
        <v>FIXED</v>
      </c>
      <c r="D131" s="100" t="str">
        <f ca="1">IF(C131="FIXED","",INDIRECT("'NVRAM map'!"&amp;ADDRESS(ROW()+2,COLUMN('NVRAM map'!K:K))))</f>
        <v/>
      </c>
      <c r="E131" s="100" t="str">
        <f ca="1">IF(C131="FIXED","",INDIRECT("'NVRAM map'!"&amp;ADDRESS(ROW()+2,COLUMN('NVRAM map'!L:L))))</f>
        <v/>
      </c>
      <c r="F131" s="100">
        <f ca="1">IF(C131="FIXED",INDIRECT("'NVRAM map'!"&amp;ADDRESS(ROW()+2,COLUMN('NVRAM map'!AM:AM))),"")</f>
        <v>0</v>
      </c>
      <c r="G131" s="99"/>
    </row>
    <row r="132" spans="1:7">
      <c r="A132" s="99" t="str">
        <f ca="1">SUBSTITUTE(UPPER(IF(INDIRECT("'NVRAM map'!"&amp;ADDRESS(ROW()+2,COLUMN('NVRAM map'!AG:AG)))="-",INDIRECT("'NVRAM map'!"&amp;ADDRESS(ROW()+2,COLUMN('NVRAM map'!AS:AS))),INDIRECT("'NVRAM map'!"&amp;ADDRESS(ROW()+2,COLUMN('NVRAM map'!AS:AS)))&amp;"_"&amp;INDIRECT("'NVRAM map'!"&amp;ADDRESS(ROW()+2,COLUMN('NVRAM map'!AG:AG))))),"__","_")</f>
        <v>EE_GLBL_ERR_MSK0_PSFT0_PSFT0_THRESHOLD</v>
      </c>
      <c r="B132" s="100" t="str">
        <f ca="1">IF(OR(INDIRECT("'NVRAM map'!"&amp;ADDRESS(ROW()+2,COLUMN('NVRAM map'!D:D)))="-",A132="_"),"x","")</f>
        <v/>
      </c>
      <c r="C132" s="100" t="str">
        <f ca="1">IF(B132="x","FIXED",INDIRECT("'NVRAM map'!"&amp;ADDRESS(ROW()+2,COLUMN('NVRAM map'!I:I))))</f>
        <v>FIXED</v>
      </c>
      <c r="D132" s="100" t="str">
        <f ca="1">IF(C132="FIXED","",INDIRECT("'NVRAM map'!"&amp;ADDRESS(ROW()+2,COLUMN('NVRAM map'!K:K))))</f>
        <v/>
      </c>
      <c r="E132" s="100" t="str">
        <f ca="1">IF(C132="FIXED","",INDIRECT("'NVRAM map'!"&amp;ADDRESS(ROW()+2,COLUMN('NVRAM map'!L:L))))</f>
        <v/>
      </c>
      <c r="F132" s="100">
        <f ca="1">IF(C132="FIXED",INDIRECT("'NVRAM map'!"&amp;ADDRESS(ROW()+2,COLUMN('NVRAM map'!AM:AM))),"")</f>
        <v>20</v>
      </c>
      <c r="G132" s="99"/>
    </row>
    <row r="133" spans="1:7">
      <c r="A133" s="99" t="str">
        <f ca="1">SUBSTITUTE(UPPER(IF(INDIRECT("'NVRAM map'!"&amp;ADDRESS(ROW()+2,COLUMN('NVRAM map'!AG:AG)))="-",INDIRECT("'NVRAM map'!"&amp;ADDRESS(ROW()+2,COLUMN('NVRAM map'!AS:AS))),INDIRECT("'NVRAM map'!"&amp;ADDRESS(ROW()+2,COLUMN('NVRAM map'!AS:AS)))&amp;"_"&amp;INDIRECT("'NVRAM map'!"&amp;ADDRESS(ROW()+2,COLUMN('NVRAM map'!AG:AG))))),"__","_")</f>
        <v>EE_GLBL_ERR_MSK0_PSFT0_PRESS_HIGH_ERR_CODE_MASK</v>
      </c>
      <c r="B133" s="100" t="str">
        <f ca="1">IF(OR(INDIRECT("'NVRAM map'!"&amp;ADDRESS(ROW()+2,COLUMN('NVRAM map'!D:D)))="-",A133="_"),"x","")</f>
        <v/>
      </c>
      <c r="C133" s="100" t="str">
        <f ca="1">IF(B133="x","FIXED",INDIRECT("'NVRAM map'!"&amp;ADDRESS(ROW()+2,COLUMN('NVRAM map'!I:I))))</f>
        <v>FIXED</v>
      </c>
      <c r="D133" s="100" t="str">
        <f ca="1">IF(C133="FIXED","",INDIRECT("'NVRAM map'!"&amp;ADDRESS(ROW()+2,COLUMN('NVRAM map'!K:K))))</f>
        <v/>
      </c>
      <c r="E133" s="100" t="str">
        <f ca="1">IF(C133="FIXED","",INDIRECT("'NVRAM map'!"&amp;ADDRESS(ROW()+2,COLUMN('NVRAM map'!L:L))))</f>
        <v/>
      </c>
      <c r="F133" s="100">
        <f ca="1">IF(C133="FIXED",INDIRECT("'NVRAM map'!"&amp;ADDRESS(ROW()+2,COLUMN('NVRAM map'!AM:AM))),"")</f>
        <v>0</v>
      </c>
      <c r="G133" s="99"/>
    </row>
    <row r="134" spans="1:7">
      <c r="A134" s="99" t="str">
        <f ca="1">SUBSTITUTE(UPPER(IF(INDIRECT("'NVRAM map'!"&amp;ADDRESS(ROW()+2,COLUMN('NVRAM map'!AG:AG)))="-",INDIRECT("'NVRAM map'!"&amp;ADDRESS(ROW()+2,COLUMN('NVRAM map'!AS:AS))),INDIRECT("'NVRAM map'!"&amp;ADDRESS(ROW()+2,COLUMN('NVRAM map'!AS:AS)))&amp;"_"&amp;INDIRECT("'NVRAM map'!"&amp;ADDRESS(ROW()+2,COLUMN('NVRAM map'!AG:AG))))),"__","_")</f>
        <v>EE_GLBL_ERR_MSK0_PSFT0_PRESS_LOW_ERR_CODE_MASK</v>
      </c>
      <c r="B134" s="100" t="str">
        <f ca="1">IF(OR(INDIRECT("'NVRAM map'!"&amp;ADDRESS(ROW()+2,COLUMN('NVRAM map'!D:D)))="-",A134="_"),"x","")</f>
        <v/>
      </c>
      <c r="C134" s="100" t="str">
        <f ca="1">IF(B134="x","FIXED",INDIRECT("'NVRAM map'!"&amp;ADDRESS(ROW()+2,COLUMN('NVRAM map'!I:I))))</f>
        <v>FIXED</v>
      </c>
      <c r="D134" s="100" t="str">
        <f ca="1">IF(C134="FIXED","",INDIRECT("'NVRAM map'!"&amp;ADDRESS(ROW()+2,COLUMN('NVRAM map'!K:K))))</f>
        <v/>
      </c>
      <c r="E134" s="100" t="str">
        <f ca="1">IF(C134="FIXED","",INDIRECT("'NVRAM map'!"&amp;ADDRESS(ROW()+2,COLUMN('NVRAM map'!L:L))))</f>
        <v/>
      </c>
      <c r="F134" s="100">
        <f ca="1">IF(C134="FIXED",INDIRECT("'NVRAM map'!"&amp;ADDRESS(ROW()+2,COLUMN('NVRAM map'!AM:AM))),"")</f>
        <v>0</v>
      </c>
      <c r="G134" s="99"/>
    </row>
    <row r="135" spans="1:7">
      <c r="A135" s="99" t="str">
        <f ca="1">SUBSTITUTE(UPPER(IF(INDIRECT("'NVRAM map'!"&amp;ADDRESS(ROW()+2,COLUMN('NVRAM map'!AG:AG)))="-",INDIRECT("'NVRAM map'!"&amp;ADDRESS(ROW()+2,COLUMN('NVRAM map'!AS:AS))),INDIRECT("'NVRAM map'!"&amp;ADDRESS(ROW()+2,COLUMN('NVRAM map'!AS:AS)))&amp;"_"&amp;INDIRECT("'NVRAM map'!"&amp;ADDRESS(ROW()+2,COLUMN('NVRAM map'!AG:AG))))),"__","_")</f>
        <v>EE_GLBL_ERR_MASK1</v>
      </c>
      <c r="B135" s="100" t="str">
        <f ca="1">IF(OR(INDIRECT("'NVRAM map'!"&amp;ADDRESS(ROW()+2,COLUMN('NVRAM map'!D:D)))="-",A135="_"),"x","")</f>
        <v>x</v>
      </c>
      <c r="C135" s="100" t="str">
        <f ca="1">IF(B135="x","FIXED",INDIRECT("'NVRAM map'!"&amp;ADDRESS(ROW()+2,COLUMN('NVRAM map'!I:I))))</f>
        <v>FIXED</v>
      </c>
      <c r="D135" s="100" t="str">
        <f ca="1">IF(C135="FIXED","",INDIRECT("'NVRAM map'!"&amp;ADDRESS(ROW()+2,COLUMN('NVRAM map'!K:K))))</f>
        <v/>
      </c>
      <c r="E135" s="100" t="str">
        <f ca="1">IF(C135="FIXED","",INDIRECT("'NVRAM map'!"&amp;ADDRESS(ROW()+2,COLUMN('NVRAM map'!L:L))))</f>
        <v/>
      </c>
      <c r="F135" s="100">
        <f ca="1">IF(C135="FIXED",INDIRECT("'NVRAM map'!"&amp;ADDRESS(ROW()+2,COLUMN('NVRAM map'!AM:AM))),"")</f>
        <v>0</v>
      </c>
      <c r="G135" s="99"/>
    </row>
    <row r="136" spans="1:7">
      <c r="A136" s="99" t="str">
        <f ca="1">SUBSTITUTE(UPPER(IF(INDIRECT("'NVRAM map'!"&amp;ADDRESS(ROW()+2,COLUMN('NVRAM map'!AG:AG)))="-",INDIRECT("'NVRAM map'!"&amp;ADDRESS(ROW()+2,COLUMN('NVRAM map'!AS:AS))),INDIRECT("'NVRAM map'!"&amp;ADDRESS(ROW()+2,COLUMN('NVRAM map'!AS:AS)))&amp;"_"&amp;INDIRECT("'NVRAM map'!"&amp;ADDRESS(ROW()+2,COLUMN('NVRAM map'!AG:AG))))),"__","_")</f>
        <v>EE_GLBL_ERR_MASK1_TDEV_HIGH_ERR_CODE_MASK</v>
      </c>
      <c r="B136" s="100" t="str">
        <f ca="1">IF(OR(INDIRECT("'NVRAM map'!"&amp;ADDRESS(ROW()+2,COLUMN('NVRAM map'!D:D)))="-",A136="_"),"x","")</f>
        <v/>
      </c>
      <c r="C136" s="100" t="str">
        <f ca="1">IF(B136="x","FIXED",INDIRECT("'NVRAM map'!"&amp;ADDRESS(ROW()+2,COLUMN('NVRAM map'!I:I))))</f>
        <v>FIXED</v>
      </c>
      <c r="D136" s="100" t="str">
        <f ca="1">IF(C136="FIXED","",INDIRECT("'NVRAM map'!"&amp;ADDRESS(ROW()+2,COLUMN('NVRAM map'!K:K))))</f>
        <v/>
      </c>
      <c r="E136" s="100" t="str">
        <f ca="1">IF(C136="FIXED","",INDIRECT("'NVRAM map'!"&amp;ADDRESS(ROW()+2,COLUMN('NVRAM map'!L:L))))</f>
        <v/>
      </c>
      <c r="F136" s="100">
        <f ca="1">IF(C136="FIXED",INDIRECT("'NVRAM map'!"&amp;ADDRESS(ROW()+2,COLUMN('NVRAM map'!AM:AM))),"")</f>
        <v>0</v>
      </c>
      <c r="G136" s="99"/>
    </row>
    <row r="137" spans="1:7">
      <c r="A137" s="99" t="str">
        <f ca="1">SUBSTITUTE(UPPER(IF(INDIRECT("'NVRAM map'!"&amp;ADDRESS(ROW()+2,COLUMN('NVRAM map'!AG:AG)))="-",INDIRECT("'NVRAM map'!"&amp;ADDRESS(ROW()+2,COLUMN('NVRAM map'!AS:AS))),INDIRECT("'NVRAM map'!"&amp;ADDRESS(ROW()+2,COLUMN('NVRAM map'!AS:AS)))&amp;"_"&amp;INDIRECT("'NVRAM map'!"&amp;ADDRESS(ROW()+2,COLUMN('NVRAM map'!AG:AG))))),"__","_")</f>
        <v>EE_GLBL_ERR_MASK1_TDEV_LOW_ERR_CODE_MASK</v>
      </c>
      <c r="B137" s="100" t="str">
        <f ca="1">IF(OR(INDIRECT("'NVRAM map'!"&amp;ADDRESS(ROW()+2,COLUMN('NVRAM map'!D:D)))="-",A137="_"),"x","")</f>
        <v/>
      </c>
      <c r="C137" s="100" t="str">
        <f ca="1">IF(B137="x","FIXED",INDIRECT("'NVRAM map'!"&amp;ADDRESS(ROW()+2,COLUMN('NVRAM map'!I:I))))</f>
        <v>FIXED</v>
      </c>
      <c r="D137" s="100" t="str">
        <f ca="1">IF(C137="FIXED","",INDIRECT("'NVRAM map'!"&amp;ADDRESS(ROW()+2,COLUMN('NVRAM map'!K:K))))</f>
        <v/>
      </c>
      <c r="E137" s="100" t="str">
        <f ca="1">IF(C137="FIXED","",INDIRECT("'NVRAM map'!"&amp;ADDRESS(ROW()+2,COLUMN('NVRAM map'!L:L))))</f>
        <v/>
      </c>
      <c r="F137" s="100">
        <f ca="1">IF(C137="FIXED",INDIRECT("'NVRAM map'!"&amp;ADDRESS(ROW()+2,COLUMN('NVRAM map'!AM:AM))),"")</f>
        <v>0</v>
      </c>
      <c r="G137" s="99"/>
    </row>
    <row r="138" spans="1:7">
      <c r="A138" s="99" t="str">
        <f ca="1">SUBSTITUTE(UPPER(IF(INDIRECT("'NVRAM map'!"&amp;ADDRESS(ROW()+2,COLUMN('NVRAM map'!AG:AG)))="-",INDIRECT("'NVRAM map'!"&amp;ADDRESS(ROW()+2,COLUMN('NVRAM map'!AS:AS))),INDIRECT("'NVRAM map'!"&amp;ADDRESS(ROW()+2,COLUMN('NVRAM map'!AS:AS)))&amp;"_"&amp;INDIRECT("'NVRAM map'!"&amp;ADDRESS(ROW()+2,COLUMN('NVRAM map'!AG:AG))))),"__","_")</f>
        <v>EE_GLBL_ERR_MASK1_TNTC_HIGH_ERR_CODE_MASK</v>
      </c>
      <c r="B138" s="100" t="str">
        <f ca="1">IF(OR(INDIRECT("'NVRAM map'!"&amp;ADDRESS(ROW()+2,COLUMN('NVRAM map'!D:D)))="-",A138="_"),"x","")</f>
        <v/>
      </c>
      <c r="C138" s="100" t="str">
        <f ca="1">IF(B138="x","FIXED",INDIRECT("'NVRAM map'!"&amp;ADDRESS(ROW()+2,COLUMN('NVRAM map'!I:I))))</f>
        <v>FIXED</v>
      </c>
      <c r="D138" s="100" t="str">
        <f ca="1">IF(C138="FIXED","",INDIRECT("'NVRAM map'!"&amp;ADDRESS(ROW()+2,COLUMN('NVRAM map'!K:K))))</f>
        <v/>
      </c>
      <c r="E138" s="100" t="str">
        <f ca="1">IF(C138="FIXED","",INDIRECT("'NVRAM map'!"&amp;ADDRESS(ROW()+2,COLUMN('NVRAM map'!L:L))))</f>
        <v/>
      </c>
      <c r="F138" s="100">
        <f ca="1">IF(C138="FIXED",INDIRECT("'NVRAM map'!"&amp;ADDRESS(ROW()+2,COLUMN('NVRAM map'!AM:AM))),"")</f>
        <v>0</v>
      </c>
      <c r="G138" s="99"/>
    </row>
    <row r="139" spans="1:7">
      <c r="A139" s="99" t="str">
        <f ca="1">SUBSTITUTE(UPPER(IF(INDIRECT("'NVRAM map'!"&amp;ADDRESS(ROW()+2,COLUMN('NVRAM map'!AG:AG)))="-",INDIRECT("'NVRAM map'!"&amp;ADDRESS(ROW()+2,COLUMN('NVRAM map'!AS:AS))),INDIRECT("'NVRAM map'!"&amp;ADDRESS(ROW()+2,COLUMN('NVRAM map'!AS:AS)))&amp;"_"&amp;INDIRECT("'NVRAM map'!"&amp;ADDRESS(ROW()+2,COLUMN('NVRAM map'!AG:AG))))),"__","_")</f>
        <v>EE_GLBL_ERR_MASK1_TNTC_LOW_ERR_CODE_MASK</v>
      </c>
      <c r="B139" s="100" t="str">
        <f ca="1">IF(OR(INDIRECT("'NVRAM map'!"&amp;ADDRESS(ROW()+2,COLUMN('NVRAM map'!D:D)))="-",A139="_"),"x","")</f>
        <v/>
      </c>
      <c r="C139" s="100" t="str">
        <f ca="1">IF(B139="x","FIXED",INDIRECT("'NVRAM map'!"&amp;ADDRESS(ROW()+2,COLUMN('NVRAM map'!I:I))))</f>
        <v>FIXED</v>
      </c>
      <c r="D139" s="100" t="str">
        <f ca="1">IF(C139="FIXED","",INDIRECT("'NVRAM map'!"&amp;ADDRESS(ROW()+2,COLUMN('NVRAM map'!K:K))))</f>
        <v/>
      </c>
      <c r="E139" s="100" t="str">
        <f ca="1">IF(C139="FIXED","",INDIRECT("'NVRAM map'!"&amp;ADDRESS(ROW()+2,COLUMN('NVRAM map'!L:L))))</f>
        <v/>
      </c>
      <c r="F139" s="100">
        <f ca="1">IF(C139="FIXED",INDIRECT("'NVRAM map'!"&amp;ADDRESS(ROW()+2,COLUMN('NVRAM map'!AM:AM))),"")</f>
        <v>0</v>
      </c>
      <c r="G139" s="99"/>
    </row>
    <row r="140" spans="1:7">
      <c r="A140" s="99" t="str">
        <f ca="1">SUBSTITUTE(UPPER(IF(INDIRECT("'NVRAM map'!"&amp;ADDRESS(ROW()+2,COLUMN('NVRAM map'!AG:AG)))="-",INDIRECT("'NVRAM map'!"&amp;ADDRESS(ROW()+2,COLUMN('NVRAM map'!AS:AS))),INDIRECT("'NVRAM map'!"&amp;ADDRESS(ROW()+2,COLUMN('NVRAM map'!AS:AS)))&amp;"_"&amp;INDIRECT("'NVRAM map'!"&amp;ADDRESS(ROW()+2,COLUMN('NVRAM map'!AG:AG))))),"__","_")</f>
        <v>EE_FILT_MASK0</v>
      </c>
      <c r="B140" s="100" t="str">
        <f ca="1">IF(OR(INDIRECT("'NVRAM map'!"&amp;ADDRESS(ROW()+2,COLUMN('NVRAM map'!D:D)))="-",A140="_"),"x","")</f>
        <v>x</v>
      </c>
      <c r="C140" s="100" t="str">
        <f ca="1">IF(B140="x","FIXED",INDIRECT("'NVRAM map'!"&amp;ADDRESS(ROW()+2,COLUMN('NVRAM map'!I:I))))</f>
        <v>FIXED</v>
      </c>
      <c r="D140" s="100" t="str">
        <f ca="1">IF(C140="FIXED","",INDIRECT("'NVRAM map'!"&amp;ADDRESS(ROW()+2,COLUMN('NVRAM map'!K:K))))</f>
        <v/>
      </c>
      <c r="E140" s="100" t="str">
        <f ca="1">IF(C140="FIXED","",INDIRECT("'NVRAM map'!"&amp;ADDRESS(ROW()+2,COLUMN('NVRAM map'!L:L))))</f>
        <v/>
      </c>
      <c r="F140" s="100">
        <f ca="1">IF(C140="FIXED",INDIRECT("'NVRAM map'!"&amp;ADDRESS(ROW()+2,COLUMN('NVRAM map'!AM:AM))),"")</f>
        <v>0</v>
      </c>
      <c r="G140" s="99"/>
    </row>
    <row r="141" spans="1:7">
      <c r="A141" s="99" t="str">
        <f ca="1">SUBSTITUTE(UPPER(IF(INDIRECT("'NVRAM map'!"&amp;ADDRESS(ROW()+2,COLUMN('NVRAM map'!AG:AG)))="-",INDIRECT("'NVRAM map'!"&amp;ADDRESS(ROW()+2,COLUMN('NVRAM map'!AS:AS))),INDIRECT("'NVRAM map'!"&amp;ADDRESS(ROW()+2,COLUMN('NVRAM map'!AS:AS)))&amp;"_"&amp;INDIRECT("'NVRAM map'!"&amp;ADDRESS(ROW()+2,COLUMN('NVRAM map'!AG:AG))))),"__","_")</f>
        <v>EE_FILT_MASK0_PRES_FILT_ERR_MASK</v>
      </c>
      <c r="B141" s="100" t="str">
        <f ca="1">IF(OR(INDIRECT("'NVRAM map'!"&amp;ADDRESS(ROW()+2,COLUMN('NVRAM map'!D:D)))="-",A141="_"),"x","")</f>
        <v/>
      </c>
      <c r="C141" s="100" t="str">
        <f ca="1">IF(B141="x","FIXED",INDIRECT("'NVRAM map'!"&amp;ADDRESS(ROW()+2,COLUMN('NVRAM map'!I:I))))</f>
        <v>FIXED</v>
      </c>
      <c r="D141" s="100" t="str">
        <f ca="1">IF(C141="FIXED","",INDIRECT("'NVRAM map'!"&amp;ADDRESS(ROW()+2,COLUMN('NVRAM map'!K:K))))</f>
        <v/>
      </c>
      <c r="E141" s="100" t="str">
        <f ca="1">IF(C141="FIXED","",INDIRECT("'NVRAM map'!"&amp;ADDRESS(ROW()+2,COLUMN('NVRAM map'!L:L))))</f>
        <v/>
      </c>
      <c r="F141" s="100">
        <f ca="1">IF(C141="FIXED",INDIRECT("'NVRAM map'!"&amp;ADDRESS(ROW()+2,COLUMN('NVRAM map'!AM:AM))),"")</f>
        <v>0</v>
      </c>
      <c r="G141" s="99"/>
    </row>
    <row r="142" spans="1:7">
      <c r="A142" s="99" t="str">
        <f ca="1">SUBSTITUTE(UPPER(IF(INDIRECT("'NVRAM map'!"&amp;ADDRESS(ROW()+2,COLUMN('NVRAM map'!AG:AG)))="-",INDIRECT("'NVRAM map'!"&amp;ADDRESS(ROW()+2,COLUMN('NVRAM map'!AS:AS))),INDIRECT("'NVRAM map'!"&amp;ADDRESS(ROW()+2,COLUMN('NVRAM map'!AS:AS)))&amp;"_"&amp;INDIRECT("'NVRAM map'!"&amp;ADDRESS(ROW()+2,COLUMN('NVRAM map'!AG:AG))))),"__","_")</f>
        <v>EE_FILT_MASK0_NTC_FILT_ERR_MASK</v>
      </c>
      <c r="B142" s="100" t="str">
        <f ca="1">IF(OR(INDIRECT("'NVRAM map'!"&amp;ADDRESS(ROW()+2,COLUMN('NVRAM map'!D:D)))="-",A142="_"),"x","")</f>
        <v/>
      </c>
      <c r="C142" s="100" t="str">
        <f ca="1">IF(B142="x","FIXED",INDIRECT("'NVRAM map'!"&amp;ADDRESS(ROW()+2,COLUMN('NVRAM map'!I:I))))</f>
        <v>FIXED</v>
      </c>
      <c r="D142" s="100" t="str">
        <f ca="1">IF(C142="FIXED","",INDIRECT("'NVRAM map'!"&amp;ADDRESS(ROW()+2,COLUMN('NVRAM map'!K:K))))</f>
        <v/>
      </c>
      <c r="E142" s="100" t="str">
        <f ca="1">IF(C142="FIXED","",INDIRECT("'NVRAM map'!"&amp;ADDRESS(ROW()+2,COLUMN('NVRAM map'!L:L))))</f>
        <v/>
      </c>
      <c r="F142" s="100">
        <f ca="1">IF(C142="FIXED",INDIRECT("'NVRAM map'!"&amp;ADDRESS(ROW()+2,COLUMN('NVRAM map'!AM:AM))),"")</f>
        <v>0</v>
      </c>
      <c r="G142" s="99"/>
    </row>
    <row r="143" spans="1:7">
      <c r="A143" s="99" t="str">
        <f ca="1">SUBSTITUTE(UPPER(IF(INDIRECT("'NVRAM map'!"&amp;ADDRESS(ROW()+2,COLUMN('NVRAM map'!AG:AG)))="-",INDIRECT("'NVRAM map'!"&amp;ADDRESS(ROW()+2,COLUMN('NVRAM map'!AS:AS))),INDIRECT("'NVRAM map'!"&amp;ADDRESS(ROW()+2,COLUMN('NVRAM map'!AS:AS)))&amp;"_"&amp;INDIRECT("'NVRAM map'!"&amp;ADDRESS(ROW()+2,COLUMN('NVRAM map'!AG:AG))))),"__","_")</f>
        <v>EE_FILT_MASK1</v>
      </c>
      <c r="B143" s="100" t="str">
        <f ca="1">IF(OR(INDIRECT("'NVRAM map'!"&amp;ADDRESS(ROW()+2,COLUMN('NVRAM map'!D:D)))="-",A143="_"),"x","")</f>
        <v>x</v>
      </c>
      <c r="C143" s="100" t="str">
        <f ca="1">IF(B143="x","FIXED",INDIRECT("'NVRAM map'!"&amp;ADDRESS(ROW()+2,COLUMN('NVRAM map'!I:I))))</f>
        <v>FIXED</v>
      </c>
      <c r="D143" s="100" t="str">
        <f ca="1">IF(C143="FIXED","",INDIRECT("'NVRAM map'!"&amp;ADDRESS(ROW()+2,COLUMN('NVRAM map'!K:K))))</f>
        <v/>
      </c>
      <c r="E143" s="100" t="str">
        <f ca="1">IF(C143="FIXED","",INDIRECT("'NVRAM map'!"&amp;ADDRESS(ROW()+2,COLUMN('NVRAM map'!L:L))))</f>
        <v/>
      </c>
      <c r="F143" s="100">
        <f ca="1">IF(C143="FIXED",INDIRECT("'NVRAM map'!"&amp;ADDRESS(ROW()+2,COLUMN('NVRAM map'!AM:AM))),"")</f>
        <v>0</v>
      </c>
      <c r="G143" s="99"/>
    </row>
    <row r="144" spans="1:7">
      <c r="A144" s="99" t="str">
        <f ca="1">SUBSTITUTE(UPPER(IF(INDIRECT("'NVRAM map'!"&amp;ADDRESS(ROW()+2,COLUMN('NVRAM map'!AG:AG)))="-",INDIRECT("'NVRAM map'!"&amp;ADDRESS(ROW()+2,COLUMN('NVRAM map'!AS:AS))),INDIRECT("'NVRAM map'!"&amp;ADDRESS(ROW()+2,COLUMN('NVRAM map'!AS:AS)))&amp;"_"&amp;INDIRECT("'NVRAM map'!"&amp;ADDRESS(ROW()+2,COLUMN('NVRAM map'!AG:AG))))),"__","_")</f>
        <v>EE_FILT_MASK1_TMEMS_FILT_ERR_MASK</v>
      </c>
      <c r="B144" s="100" t="str">
        <f ca="1">IF(OR(INDIRECT("'NVRAM map'!"&amp;ADDRESS(ROW()+2,COLUMN('NVRAM map'!D:D)))="-",A144="_"),"x","")</f>
        <v/>
      </c>
      <c r="C144" s="100" t="str">
        <f ca="1">IF(B144="x","FIXED",INDIRECT("'NVRAM map'!"&amp;ADDRESS(ROW()+2,COLUMN('NVRAM map'!I:I))))</f>
        <v>FIXED</v>
      </c>
      <c r="D144" s="100" t="str">
        <f ca="1">IF(C144="FIXED","",INDIRECT("'NVRAM map'!"&amp;ADDRESS(ROW()+2,COLUMN('NVRAM map'!K:K))))</f>
        <v/>
      </c>
      <c r="E144" s="100" t="str">
        <f ca="1">IF(C144="FIXED","",INDIRECT("'NVRAM map'!"&amp;ADDRESS(ROW()+2,COLUMN('NVRAM map'!L:L))))</f>
        <v/>
      </c>
      <c r="F144" s="100">
        <f ca="1">IF(C144="FIXED",INDIRECT("'NVRAM map'!"&amp;ADDRESS(ROW()+2,COLUMN('NVRAM map'!AM:AM))),"")</f>
        <v>0</v>
      </c>
      <c r="G144" s="99"/>
    </row>
    <row r="145" spans="1:7">
      <c r="A145" s="99" t="str">
        <f ca="1">SUBSTITUTE(UPPER(IF(INDIRECT("'NVRAM map'!"&amp;ADDRESS(ROW()+2,COLUMN('NVRAM map'!AG:AG)))="-",INDIRECT("'NVRAM map'!"&amp;ADDRESS(ROW()+2,COLUMN('NVRAM map'!AS:AS))),INDIRECT("'NVRAM map'!"&amp;ADDRESS(ROW()+2,COLUMN('NVRAM map'!AS:AS)))&amp;"_"&amp;INDIRECT("'NVRAM map'!"&amp;ADDRESS(ROW()+2,COLUMN('NVRAM map'!AG:AG))))),"__","_")</f>
        <v>EE_FILT_MASK1_TDIE_FILT_ERR_MASK</v>
      </c>
      <c r="B145" s="100" t="str">
        <f ca="1">IF(OR(INDIRECT("'NVRAM map'!"&amp;ADDRESS(ROW()+2,COLUMN('NVRAM map'!D:D)))="-",A145="_"),"x","")</f>
        <v/>
      </c>
      <c r="C145" s="100" t="str">
        <f ca="1">IF(B145="x","FIXED",INDIRECT("'NVRAM map'!"&amp;ADDRESS(ROW()+2,COLUMN('NVRAM map'!I:I))))</f>
        <v>FIXED</v>
      </c>
      <c r="D145" s="100" t="str">
        <f ca="1">IF(C145="FIXED","",INDIRECT("'NVRAM map'!"&amp;ADDRESS(ROW()+2,COLUMN('NVRAM map'!K:K))))</f>
        <v/>
      </c>
      <c r="E145" s="100" t="str">
        <f ca="1">IF(C145="FIXED","",INDIRECT("'NVRAM map'!"&amp;ADDRESS(ROW()+2,COLUMN('NVRAM map'!L:L))))</f>
        <v/>
      </c>
      <c r="F145" s="100">
        <f ca="1">IF(C145="FIXED",INDIRECT("'NVRAM map'!"&amp;ADDRESS(ROW()+2,COLUMN('NVRAM map'!AM:AM))),"")</f>
        <v>0</v>
      </c>
      <c r="G145" s="99"/>
    </row>
    <row r="146" spans="1:7">
      <c r="A146" s="99" t="str">
        <f ca="1">SUBSTITUTE(UPPER(IF(INDIRECT("'NVRAM map'!"&amp;ADDRESS(ROW()+2,COLUMN('NVRAM map'!AG:AG)))="-",INDIRECT("'NVRAM map'!"&amp;ADDRESS(ROW()+2,COLUMN('NVRAM map'!AS:AS))),INDIRECT("'NVRAM map'!"&amp;ADDRESS(ROW()+2,COLUMN('NVRAM map'!AS:AS)))&amp;"_"&amp;INDIRECT("'NVRAM map'!"&amp;ADDRESS(ROW()+2,COLUMN('NVRAM map'!AG:AG))))),"__","_")</f>
        <v>EE_PATCH0_I</v>
      </c>
      <c r="B146" s="100" t="str">
        <f ca="1">IF(OR(INDIRECT("'NVRAM map'!"&amp;ADDRESS(ROW()+2,COLUMN('NVRAM map'!D:D)))="-",A146="_"),"x","")</f>
        <v>x</v>
      </c>
      <c r="C146" s="100" t="str">
        <f ca="1">IF(B146="x","FIXED",INDIRECT("'NVRAM map'!"&amp;ADDRESS(ROW()+2,COLUMN('NVRAM map'!I:I))))</f>
        <v>FIXED</v>
      </c>
      <c r="D146" s="100" t="str">
        <f ca="1">IF(C146="FIXED","",INDIRECT("'NVRAM map'!"&amp;ADDRESS(ROW()+2,COLUMN('NVRAM map'!K:K))))</f>
        <v/>
      </c>
      <c r="E146" s="100" t="str">
        <f ca="1">IF(C146="FIXED","",INDIRECT("'NVRAM map'!"&amp;ADDRESS(ROW()+2,COLUMN('NVRAM map'!L:L))))</f>
        <v/>
      </c>
      <c r="F146" s="100">
        <f ca="1">IF(C146="FIXED",INDIRECT("'NVRAM map'!"&amp;ADDRESS(ROW()+2,COLUMN('NVRAM map'!AM:AM))),"")</f>
        <v>0</v>
      </c>
      <c r="G146" s="99"/>
    </row>
    <row r="147" spans="1:7">
      <c r="A147" s="99" t="str">
        <f ca="1">SUBSTITUTE(UPPER(IF(INDIRECT("'NVRAM map'!"&amp;ADDRESS(ROW()+2,COLUMN('NVRAM map'!AG:AG)))="-",INDIRECT("'NVRAM map'!"&amp;ADDRESS(ROW()+2,COLUMN('NVRAM map'!AS:AS))),INDIRECT("'NVRAM map'!"&amp;ADDRESS(ROW()+2,COLUMN('NVRAM map'!AS:AS)))&amp;"_"&amp;INDIRECT("'NVRAM map'!"&amp;ADDRESS(ROW()+2,COLUMN('NVRAM map'!AG:AG))))),"__","_")</f>
        <v>EE_PATCH0_I_PATCH0_I</v>
      </c>
      <c r="B147" s="100" t="str">
        <f ca="1">IF(OR(INDIRECT("'NVRAM map'!"&amp;ADDRESS(ROW()+2,COLUMN('NVRAM map'!D:D)))="-",A147="_"),"x","")</f>
        <v/>
      </c>
      <c r="C147" s="100" t="str">
        <f ca="1">IF(B147="x","FIXED",INDIRECT("'NVRAM map'!"&amp;ADDRESS(ROW()+2,COLUMN('NVRAM map'!I:I))))</f>
        <v>FIXED</v>
      </c>
      <c r="D147" s="100" t="str">
        <f ca="1">IF(C147="FIXED","",INDIRECT("'NVRAM map'!"&amp;ADDRESS(ROW()+2,COLUMN('NVRAM map'!K:K))))</f>
        <v/>
      </c>
      <c r="E147" s="100" t="str">
        <f ca="1">IF(C147="FIXED","",INDIRECT("'NVRAM map'!"&amp;ADDRESS(ROW()+2,COLUMN('NVRAM map'!L:L))))</f>
        <v/>
      </c>
      <c r="F147" s="100">
        <f ca="1">IF(C147="FIXED",INDIRECT("'NVRAM map'!"&amp;ADDRESS(ROW()+2,COLUMN('NVRAM map'!AM:AM))),"")</f>
        <v>0</v>
      </c>
      <c r="G147" s="99"/>
    </row>
    <row r="148" spans="1:7">
      <c r="A148" s="99" t="str">
        <f ca="1">SUBSTITUTE(UPPER(IF(INDIRECT("'NVRAM map'!"&amp;ADDRESS(ROW()+2,COLUMN('NVRAM map'!AG:AG)))="-",INDIRECT("'NVRAM map'!"&amp;ADDRESS(ROW()+2,COLUMN('NVRAM map'!AS:AS))),INDIRECT("'NVRAM map'!"&amp;ADDRESS(ROW()+2,COLUMN('NVRAM map'!AS:AS)))&amp;"_"&amp;INDIRECT("'NVRAM map'!"&amp;ADDRESS(ROW()+2,COLUMN('NVRAM map'!AG:AG))))),"__","_")</f>
        <v>EE_PATCH0_A</v>
      </c>
      <c r="B148" s="100" t="str">
        <f ca="1">IF(OR(INDIRECT("'NVRAM map'!"&amp;ADDRESS(ROW()+2,COLUMN('NVRAM map'!D:D)))="-",A148="_"),"x","")</f>
        <v>x</v>
      </c>
      <c r="C148" s="100" t="str">
        <f ca="1">IF(B148="x","FIXED",INDIRECT("'NVRAM map'!"&amp;ADDRESS(ROW()+2,COLUMN('NVRAM map'!I:I))))</f>
        <v>FIXED</v>
      </c>
      <c r="D148" s="100" t="str">
        <f ca="1">IF(C148="FIXED","",INDIRECT("'NVRAM map'!"&amp;ADDRESS(ROW()+2,COLUMN('NVRAM map'!K:K))))</f>
        <v/>
      </c>
      <c r="E148" s="100" t="str">
        <f ca="1">IF(C148="FIXED","",INDIRECT("'NVRAM map'!"&amp;ADDRESS(ROW()+2,COLUMN('NVRAM map'!L:L))))</f>
        <v/>
      </c>
      <c r="F148" s="100">
        <f ca="1">IF(C148="FIXED",INDIRECT("'NVRAM map'!"&amp;ADDRESS(ROW()+2,COLUMN('NVRAM map'!AM:AM))),"")</f>
        <v>0</v>
      </c>
      <c r="G148" s="99"/>
    </row>
    <row r="149" spans="1:7">
      <c r="A149" s="99" t="str">
        <f ca="1">SUBSTITUTE(UPPER(IF(INDIRECT("'NVRAM map'!"&amp;ADDRESS(ROW()+2,COLUMN('NVRAM map'!AG:AG)))="-",INDIRECT("'NVRAM map'!"&amp;ADDRESS(ROW()+2,COLUMN('NVRAM map'!AS:AS))),INDIRECT("'NVRAM map'!"&amp;ADDRESS(ROW()+2,COLUMN('NVRAM map'!AS:AS)))&amp;"_"&amp;INDIRECT("'NVRAM map'!"&amp;ADDRESS(ROW()+2,COLUMN('NVRAM map'!AG:AG))))),"__","_")</f>
        <v>EE_PATCH0_A_PATCH0_A</v>
      </c>
      <c r="B149" s="100" t="str">
        <f ca="1">IF(OR(INDIRECT("'NVRAM map'!"&amp;ADDRESS(ROW()+2,COLUMN('NVRAM map'!D:D)))="-",A149="_"),"x","")</f>
        <v/>
      </c>
      <c r="C149" s="100" t="str">
        <f ca="1">IF(B149="x","FIXED",INDIRECT("'NVRAM map'!"&amp;ADDRESS(ROW()+2,COLUMN('NVRAM map'!I:I))))</f>
        <v>FIXED</v>
      </c>
      <c r="D149" s="100" t="str">
        <f ca="1">IF(C149="FIXED","",INDIRECT("'NVRAM map'!"&amp;ADDRESS(ROW()+2,COLUMN('NVRAM map'!K:K))))</f>
        <v/>
      </c>
      <c r="E149" s="100" t="str">
        <f ca="1">IF(C149="FIXED","",INDIRECT("'NVRAM map'!"&amp;ADDRESS(ROW()+2,COLUMN('NVRAM map'!L:L))))</f>
        <v/>
      </c>
      <c r="F149" s="100">
        <f ca="1">IF(C149="FIXED",INDIRECT("'NVRAM map'!"&amp;ADDRESS(ROW()+2,COLUMN('NVRAM map'!AM:AM))),"")</f>
        <v>0</v>
      </c>
      <c r="G149" s="99"/>
    </row>
    <row r="150" spans="1:7">
      <c r="A150" s="99" t="str">
        <f ca="1">SUBSTITUTE(UPPER(IF(INDIRECT("'NVRAM map'!"&amp;ADDRESS(ROW()+2,COLUMN('NVRAM map'!AG:AG)))="-",INDIRECT("'NVRAM map'!"&amp;ADDRESS(ROW()+2,COLUMN('NVRAM map'!AS:AS))),INDIRECT("'NVRAM map'!"&amp;ADDRESS(ROW()+2,COLUMN('NVRAM map'!AS:AS)))&amp;"_"&amp;INDIRECT("'NVRAM map'!"&amp;ADDRESS(ROW()+2,COLUMN('NVRAM map'!AG:AG))))),"__","_")</f>
        <v>EE_PATCH1_I</v>
      </c>
      <c r="B150" s="100" t="str">
        <f ca="1">IF(OR(INDIRECT("'NVRAM map'!"&amp;ADDRESS(ROW()+2,COLUMN('NVRAM map'!D:D)))="-",A150="_"),"x","")</f>
        <v>x</v>
      </c>
      <c r="C150" s="100" t="str">
        <f ca="1">IF(B150="x","FIXED",INDIRECT("'NVRAM map'!"&amp;ADDRESS(ROW()+2,COLUMN('NVRAM map'!I:I))))</f>
        <v>FIXED</v>
      </c>
      <c r="D150" s="100" t="str">
        <f ca="1">IF(C150="FIXED","",INDIRECT("'NVRAM map'!"&amp;ADDRESS(ROW()+2,COLUMN('NVRAM map'!K:K))))</f>
        <v/>
      </c>
      <c r="E150" s="100" t="str">
        <f ca="1">IF(C150="FIXED","",INDIRECT("'NVRAM map'!"&amp;ADDRESS(ROW()+2,COLUMN('NVRAM map'!L:L))))</f>
        <v/>
      </c>
      <c r="F150" s="100">
        <f ca="1">IF(C150="FIXED",INDIRECT("'NVRAM map'!"&amp;ADDRESS(ROW()+2,COLUMN('NVRAM map'!AM:AM))),"")</f>
        <v>0</v>
      </c>
      <c r="G150" s="99"/>
    </row>
    <row r="151" spans="1:7">
      <c r="A151" s="99" t="str">
        <f ca="1">SUBSTITUTE(UPPER(IF(INDIRECT("'NVRAM map'!"&amp;ADDRESS(ROW()+2,COLUMN('NVRAM map'!AG:AG)))="-",INDIRECT("'NVRAM map'!"&amp;ADDRESS(ROW()+2,COLUMN('NVRAM map'!AS:AS))),INDIRECT("'NVRAM map'!"&amp;ADDRESS(ROW()+2,COLUMN('NVRAM map'!AS:AS)))&amp;"_"&amp;INDIRECT("'NVRAM map'!"&amp;ADDRESS(ROW()+2,COLUMN('NVRAM map'!AG:AG))))),"__","_")</f>
        <v>EE_PATCH1_I_PATCH1_I</v>
      </c>
      <c r="B151" s="100" t="str">
        <f ca="1">IF(OR(INDIRECT("'NVRAM map'!"&amp;ADDRESS(ROW()+2,COLUMN('NVRAM map'!D:D)))="-",A151="_"),"x","")</f>
        <v/>
      </c>
      <c r="C151" s="100" t="str">
        <f ca="1">IF(B151="x","FIXED",INDIRECT("'NVRAM map'!"&amp;ADDRESS(ROW()+2,COLUMN('NVRAM map'!I:I))))</f>
        <v>FIXED</v>
      </c>
      <c r="D151" s="100" t="str">
        <f ca="1">IF(C151="FIXED","",INDIRECT("'NVRAM map'!"&amp;ADDRESS(ROW()+2,COLUMN('NVRAM map'!K:K))))</f>
        <v/>
      </c>
      <c r="E151" s="100" t="str">
        <f ca="1">IF(C151="FIXED","",INDIRECT("'NVRAM map'!"&amp;ADDRESS(ROW()+2,COLUMN('NVRAM map'!L:L))))</f>
        <v/>
      </c>
      <c r="F151" s="100">
        <f ca="1">IF(C151="FIXED",INDIRECT("'NVRAM map'!"&amp;ADDRESS(ROW()+2,COLUMN('NVRAM map'!AM:AM))),"")</f>
        <v>0</v>
      </c>
      <c r="G151" s="99"/>
    </row>
    <row r="152" spans="1:7">
      <c r="A152" s="99" t="str">
        <f ca="1">SUBSTITUTE(UPPER(IF(INDIRECT("'NVRAM map'!"&amp;ADDRESS(ROW()+2,COLUMN('NVRAM map'!AG:AG)))="-",INDIRECT("'NVRAM map'!"&amp;ADDRESS(ROW()+2,COLUMN('NVRAM map'!AS:AS))),INDIRECT("'NVRAM map'!"&amp;ADDRESS(ROW()+2,COLUMN('NVRAM map'!AS:AS)))&amp;"_"&amp;INDIRECT("'NVRAM map'!"&amp;ADDRESS(ROW()+2,COLUMN('NVRAM map'!AG:AG))))),"__","_")</f>
        <v>EE_PATCH1_A</v>
      </c>
      <c r="B152" s="100" t="str">
        <f ca="1">IF(OR(INDIRECT("'NVRAM map'!"&amp;ADDRESS(ROW()+2,COLUMN('NVRAM map'!D:D)))="-",A152="_"),"x","")</f>
        <v>x</v>
      </c>
      <c r="C152" s="100" t="str">
        <f ca="1">IF(B152="x","FIXED",INDIRECT("'NVRAM map'!"&amp;ADDRESS(ROW()+2,COLUMN('NVRAM map'!I:I))))</f>
        <v>FIXED</v>
      </c>
      <c r="D152" s="100" t="str">
        <f ca="1">IF(C152="FIXED","",INDIRECT("'NVRAM map'!"&amp;ADDRESS(ROW()+2,COLUMN('NVRAM map'!K:K))))</f>
        <v/>
      </c>
      <c r="E152" s="100" t="str">
        <f ca="1">IF(C152="FIXED","",INDIRECT("'NVRAM map'!"&amp;ADDRESS(ROW()+2,COLUMN('NVRAM map'!L:L))))</f>
        <v/>
      </c>
      <c r="F152" s="100">
        <f ca="1">IF(C152="FIXED",INDIRECT("'NVRAM map'!"&amp;ADDRESS(ROW()+2,COLUMN('NVRAM map'!AM:AM))),"")</f>
        <v>0</v>
      </c>
      <c r="G152" s="99"/>
    </row>
    <row r="153" spans="1:7">
      <c r="A153" s="99" t="str">
        <f ca="1">SUBSTITUTE(UPPER(IF(INDIRECT("'NVRAM map'!"&amp;ADDRESS(ROW()+2,COLUMN('NVRAM map'!AG:AG)))="-",INDIRECT("'NVRAM map'!"&amp;ADDRESS(ROW()+2,COLUMN('NVRAM map'!AS:AS))),INDIRECT("'NVRAM map'!"&amp;ADDRESS(ROW()+2,COLUMN('NVRAM map'!AS:AS)))&amp;"_"&amp;INDIRECT("'NVRAM map'!"&amp;ADDRESS(ROW()+2,COLUMN('NVRAM map'!AG:AG))))),"__","_")</f>
        <v>EE_PATCH1_A_PATCH1_A</v>
      </c>
      <c r="B153" s="100" t="str">
        <f ca="1">IF(OR(INDIRECT("'NVRAM map'!"&amp;ADDRESS(ROW()+2,COLUMN('NVRAM map'!D:D)))="-",A153="_"),"x","")</f>
        <v/>
      </c>
      <c r="C153" s="100" t="str">
        <f ca="1">IF(B153="x","FIXED",INDIRECT("'NVRAM map'!"&amp;ADDRESS(ROW()+2,COLUMN('NVRAM map'!I:I))))</f>
        <v>FIXED</v>
      </c>
      <c r="D153" s="100" t="str">
        <f ca="1">IF(C153="FIXED","",INDIRECT("'NVRAM map'!"&amp;ADDRESS(ROW()+2,COLUMN('NVRAM map'!K:K))))</f>
        <v/>
      </c>
      <c r="E153" s="100" t="str">
        <f ca="1">IF(C153="FIXED","",INDIRECT("'NVRAM map'!"&amp;ADDRESS(ROW()+2,COLUMN('NVRAM map'!L:L))))</f>
        <v/>
      </c>
      <c r="F153" s="100">
        <f ca="1">IF(C153="FIXED",INDIRECT("'NVRAM map'!"&amp;ADDRESS(ROW()+2,COLUMN('NVRAM map'!AM:AM))),"")</f>
        <v>0</v>
      </c>
      <c r="G153" s="99"/>
    </row>
    <row r="154" spans="1:7">
      <c r="A154" s="99" t="str">
        <f ca="1">SUBSTITUTE(UPPER(IF(INDIRECT("'NVRAM map'!"&amp;ADDRESS(ROW()+2,COLUMN('NVRAM map'!AG:AG)))="-",INDIRECT("'NVRAM map'!"&amp;ADDRESS(ROW()+2,COLUMN('NVRAM map'!AS:AS))),INDIRECT("'NVRAM map'!"&amp;ADDRESS(ROW()+2,COLUMN('NVRAM map'!AS:AS)))&amp;"_"&amp;INDIRECT("'NVRAM map'!"&amp;ADDRESS(ROW()+2,COLUMN('NVRAM map'!AG:AG))))),"__","_")</f>
        <v>EE_PATCH_AREA0</v>
      </c>
      <c r="B154" s="100" t="str">
        <f ca="1">IF(OR(INDIRECT("'NVRAM map'!"&amp;ADDRESS(ROW()+2,COLUMN('NVRAM map'!D:D)))="-",A154="_"),"x","")</f>
        <v>x</v>
      </c>
      <c r="C154" s="100" t="str">
        <f ca="1">IF(B154="x","FIXED",INDIRECT("'NVRAM map'!"&amp;ADDRESS(ROW()+2,COLUMN('NVRAM map'!I:I))))</f>
        <v>FIXED</v>
      </c>
      <c r="D154" s="100" t="str">
        <f ca="1">IF(C154="FIXED","",INDIRECT("'NVRAM map'!"&amp;ADDRESS(ROW()+2,COLUMN('NVRAM map'!K:K))))</f>
        <v/>
      </c>
      <c r="E154" s="100" t="str">
        <f ca="1">IF(C154="FIXED","",INDIRECT("'NVRAM map'!"&amp;ADDRESS(ROW()+2,COLUMN('NVRAM map'!L:L))))</f>
        <v/>
      </c>
      <c r="F154" s="100">
        <f ca="1">IF(C154="FIXED",INDIRECT("'NVRAM map'!"&amp;ADDRESS(ROW()+2,COLUMN('NVRAM map'!AM:AM))),"")</f>
        <v>0</v>
      </c>
      <c r="G154" s="99"/>
    </row>
    <row r="155" spans="1:7">
      <c r="A155" s="99" t="str">
        <f ca="1">SUBSTITUTE(UPPER(IF(INDIRECT("'NVRAM map'!"&amp;ADDRESS(ROW()+2,COLUMN('NVRAM map'!AG:AG)))="-",INDIRECT("'NVRAM map'!"&amp;ADDRESS(ROW()+2,COLUMN('NVRAM map'!AS:AS))),INDIRECT("'NVRAM map'!"&amp;ADDRESS(ROW()+2,COLUMN('NVRAM map'!AS:AS)))&amp;"_"&amp;INDIRECT("'NVRAM map'!"&amp;ADDRESS(ROW()+2,COLUMN('NVRAM map'!AG:AG))))),"__","_")</f>
        <v>EE_PATCH_AREA0_PATCH_AREA0</v>
      </c>
      <c r="B155" s="100" t="str">
        <f ca="1">IF(OR(INDIRECT("'NVRAM map'!"&amp;ADDRESS(ROW()+2,COLUMN('NVRAM map'!D:D)))="-",A155="_"),"x","")</f>
        <v/>
      </c>
      <c r="C155" s="100" t="str">
        <f ca="1">IF(B155="x","FIXED",INDIRECT("'NVRAM map'!"&amp;ADDRESS(ROW()+2,COLUMN('NVRAM map'!I:I))))</f>
        <v>FIXED</v>
      </c>
      <c r="D155" s="100" t="str">
        <f ca="1">IF(C155="FIXED","",INDIRECT("'NVRAM map'!"&amp;ADDRESS(ROW()+2,COLUMN('NVRAM map'!K:K))))</f>
        <v/>
      </c>
      <c r="E155" s="100" t="str">
        <f ca="1">IF(C155="FIXED","",INDIRECT("'NVRAM map'!"&amp;ADDRESS(ROW()+2,COLUMN('NVRAM map'!L:L))))</f>
        <v/>
      </c>
      <c r="F155" s="100">
        <f ca="1">IF(C155="FIXED",INDIRECT("'NVRAM map'!"&amp;ADDRESS(ROW()+2,COLUMN('NVRAM map'!AM:AM))),"")</f>
        <v>0</v>
      </c>
      <c r="G155" s="99"/>
    </row>
    <row r="156" spans="1:7">
      <c r="A156" s="99" t="str">
        <f ca="1">SUBSTITUTE(UPPER(IF(INDIRECT("'NVRAM map'!"&amp;ADDRESS(ROW()+2,COLUMN('NVRAM map'!AG:AG)))="-",INDIRECT("'NVRAM map'!"&amp;ADDRESS(ROW()+2,COLUMN('NVRAM map'!AS:AS))),INDIRECT("'NVRAM map'!"&amp;ADDRESS(ROW()+2,COLUMN('NVRAM map'!AS:AS)))&amp;"_"&amp;INDIRECT("'NVRAM map'!"&amp;ADDRESS(ROW()+2,COLUMN('NVRAM map'!AG:AG))))),"__","_")</f>
        <v>EE_PATCH_AREA1</v>
      </c>
      <c r="B156" s="100" t="str">
        <f ca="1">IF(OR(INDIRECT("'NVRAM map'!"&amp;ADDRESS(ROW()+2,COLUMN('NVRAM map'!D:D)))="-",A156="_"),"x","")</f>
        <v>x</v>
      </c>
      <c r="C156" s="100" t="str">
        <f ca="1">IF(B156="x","FIXED",INDIRECT("'NVRAM map'!"&amp;ADDRESS(ROW()+2,COLUMN('NVRAM map'!I:I))))</f>
        <v>FIXED</v>
      </c>
      <c r="D156" s="100" t="str">
        <f ca="1">IF(C156="FIXED","",INDIRECT("'NVRAM map'!"&amp;ADDRESS(ROW()+2,COLUMN('NVRAM map'!K:K))))</f>
        <v/>
      </c>
      <c r="E156" s="100" t="str">
        <f ca="1">IF(C156="FIXED","",INDIRECT("'NVRAM map'!"&amp;ADDRESS(ROW()+2,COLUMN('NVRAM map'!L:L))))</f>
        <v/>
      </c>
      <c r="F156" s="100">
        <f ca="1">IF(C156="FIXED",INDIRECT("'NVRAM map'!"&amp;ADDRESS(ROW()+2,COLUMN('NVRAM map'!AM:AM))),"")</f>
        <v>0</v>
      </c>
      <c r="G156" s="99"/>
    </row>
    <row r="157" spans="1:7">
      <c r="A157" s="99" t="str">
        <f ca="1">SUBSTITUTE(UPPER(IF(INDIRECT("'NVRAM map'!"&amp;ADDRESS(ROW()+2,COLUMN('NVRAM map'!AG:AG)))="-",INDIRECT("'NVRAM map'!"&amp;ADDRESS(ROW()+2,COLUMN('NVRAM map'!AS:AS))),INDIRECT("'NVRAM map'!"&amp;ADDRESS(ROW()+2,COLUMN('NVRAM map'!AS:AS)))&amp;"_"&amp;INDIRECT("'NVRAM map'!"&amp;ADDRESS(ROW()+2,COLUMN('NVRAM map'!AG:AG))))),"__","_")</f>
        <v>EE_PATCH_AREA1_PATCH_AREA1</v>
      </c>
      <c r="B157" s="100" t="str">
        <f ca="1">IF(OR(INDIRECT("'NVRAM map'!"&amp;ADDRESS(ROW()+2,COLUMN('NVRAM map'!D:D)))="-",A157="_"),"x","")</f>
        <v/>
      </c>
      <c r="C157" s="100" t="str">
        <f ca="1">IF(B157="x","FIXED",INDIRECT("'NVRAM map'!"&amp;ADDRESS(ROW()+2,COLUMN('NVRAM map'!I:I))))</f>
        <v>FIXED</v>
      </c>
      <c r="D157" s="100" t="str">
        <f ca="1">IF(C157="FIXED","",INDIRECT("'NVRAM map'!"&amp;ADDRESS(ROW()+2,COLUMN('NVRAM map'!K:K))))</f>
        <v/>
      </c>
      <c r="E157" s="100" t="str">
        <f ca="1">IF(C157="FIXED","",INDIRECT("'NVRAM map'!"&amp;ADDRESS(ROW()+2,COLUMN('NVRAM map'!L:L))))</f>
        <v/>
      </c>
      <c r="F157" s="100">
        <f ca="1">IF(C157="FIXED",INDIRECT("'NVRAM map'!"&amp;ADDRESS(ROW()+2,COLUMN('NVRAM map'!AM:AM))),"")</f>
        <v>0</v>
      </c>
      <c r="G157" s="99"/>
    </row>
    <row r="158" spans="1:7">
      <c r="A158" s="99" t="str">
        <f ca="1">SUBSTITUTE(UPPER(IF(INDIRECT("'NVRAM map'!"&amp;ADDRESS(ROW()+2,COLUMN('NVRAM map'!AG:AG)))="-",INDIRECT("'NVRAM map'!"&amp;ADDRESS(ROW()+2,COLUMN('NVRAM map'!AS:AS))),INDIRECT("'NVRAM map'!"&amp;ADDRESS(ROW()+2,COLUMN('NVRAM map'!AS:AS)))&amp;"_"&amp;INDIRECT("'NVRAM map'!"&amp;ADDRESS(ROW()+2,COLUMN('NVRAM map'!AG:AG))))),"__","_")</f>
        <v>EE_PATCH_AREA2</v>
      </c>
      <c r="B158" s="100" t="str">
        <f ca="1">IF(OR(INDIRECT("'NVRAM map'!"&amp;ADDRESS(ROW()+2,COLUMN('NVRAM map'!D:D)))="-",A158="_"),"x","")</f>
        <v>x</v>
      </c>
      <c r="C158" s="100" t="str">
        <f ca="1">IF(B158="x","FIXED",INDIRECT("'NVRAM map'!"&amp;ADDRESS(ROW()+2,COLUMN('NVRAM map'!I:I))))</f>
        <v>FIXED</v>
      </c>
      <c r="D158" s="100" t="str">
        <f ca="1">IF(C158="FIXED","",INDIRECT("'NVRAM map'!"&amp;ADDRESS(ROW()+2,COLUMN('NVRAM map'!K:K))))</f>
        <v/>
      </c>
      <c r="E158" s="100" t="str">
        <f ca="1">IF(C158="FIXED","",INDIRECT("'NVRAM map'!"&amp;ADDRESS(ROW()+2,COLUMN('NVRAM map'!L:L))))</f>
        <v/>
      </c>
      <c r="F158" s="100">
        <f ca="1">IF(C158="FIXED",INDIRECT("'NVRAM map'!"&amp;ADDRESS(ROW()+2,COLUMN('NVRAM map'!AM:AM))),"")</f>
        <v>0</v>
      </c>
      <c r="G158" s="99"/>
    </row>
    <row r="159" spans="1:7">
      <c r="A159" s="99" t="str">
        <f ca="1">SUBSTITUTE(UPPER(IF(INDIRECT("'NVRAM map'!"&amp;ADDRESS(ROW()+2,COLUMN('NVRAM map'!AG:AG)))="-",INDIRECT("'NVRAM map'!"&amp;ADDRESS(ROW()+2,COLUMN('NVRAM map'!AS:AS))),INDIRECT("'NVRAM map'!"&amp;ADDRESS(ROW()+2,COLUMN('NVRAM map'!AS:AS)))&amp;"_"&amp;INDIRECT("'NVRAM map'!"&amp;ADDRESS(ROW()+2,COLUMN('NVRAM map'!AG:AG))))),"__","_")</f>
        <v>EE_PATCH_AREA2_PATCH_AREA2</v>
      </c>
      <c r="B159" s="100" t="str">
        <f ca="1">IF(OR(INDIRECT("'NVRAM map'!"&amp;ADDRESS(ROW()+2,COLUMN('NVRAM map'!D:D)))="-",A159="_"),"x","")</f>
        <v/>
      </c>
      <c r="C159" s="100" t="str">
        <f ca="1">IF(B159="x","FIXED",INDIRECT("'NVRAM map'!"&amp;ADDRESS(ROW()+2,COLUMN('NVRAM map'!I:I))))</f>
        <v>FIXED</v>
      </c>
      <c r="D159" s="100" t="str">
        <f ca="1">IF(C159="FIXED","",INDIRECT("'NVRAM map'!"&amp;ADDRESS(ROW()+2,COLUMN('NVRAM map'!K:K))))</f>
        <v/>
      </c>
      <c r="E159" s="100" t="str">
        <f ca="1">IF(C159="FIXED","",INDIRECT("'NVRAM map'!"&amp;ADDRESS(ROW()+2,COLUMN('NVRAM map'!L:L))))</f>
        <v/>
      </c>
      <c r="F159" s="100">
        <f ca="1">IF(C159="FIXED",INDIRECT("'NVRAM map'!"&amp;ADDRESS(ROW()+2,COLUMN('NVRAM map'!AM:AM))),"")</f>
        <v>0</v>
      </c>
      <c r="G159" s="99"/>
    </row>
    <row r="160" spans="1:7">
      <c r="A160" s="99" t="str">
        <f ca="1">SUBSTITUTE(UPPER(IF(INDIRECT("'NVRAM map'!"&amp;ADDRESS(ROW()+2,COLUMN('NVRAM map'!AG:AG)))="-",INDIRECT("'NVRAM map'!"&amp;ADDRESS(ROW()+2,COLUMN('NVRAM map'!AS:AS))),INDIRECT("'NVRAM map'!"&amp;ADDRESS(ROW()+2,COLUMN('NVRAM map'!AS:AS)))&amp;"_"&amp;INDIRECT("'NVRAM map'!"&amp;ADDRESS(ROW()+2,COLUMN('NVRAM map'!AG:AG))))),"__","_")</f>
        <v>EE_PATCH_AREA3</v>
      </c>
      <c r="B160" s="100" t="str">
        <f ca="1">IF(OR(INDIRECT("'NVRAM map'!"&amp;ADDRESS(ROW()+2,COLUMN('NVRAM map'!D:D)))="-",A160="_"),"x","")</f>
        <v>x</v>
      </c>
      <c r="C160" s="100" t="str">
        <f ca="1">IF(B160="x","FIXED",INDIRECT("'NVRAM map'!"&amp;ADDRESS(ROW()+2,COLUMN('NVRAM map'!I:I))))</f>
        <v>FIXED</v>
      </c>
      <c r="D160" s="100" t="str">
        <f ca="1">IF(C160="FIXED","",INDIRECT("'NVRAM map'!"&amp;ADDRESS(ROW()+2,COLUMN('NVRAM map'!K:K))))</f>
        <v/>
      </c>
      <c r="E160" s="100" t="str">
        <f ca="1">IF(C160="FIXED","",INDIRECT("'NVRAM map'!"&amp;ADDRESS(ROW()+2,COLUMN('NVRAM map'!L:L))))</f>
        <v/>
      </c>
      <c r="F160" s="100">
        <f ca="1">IF(C160="FIXED",INDIRECT("'NVRAM map'!"&amp;ADDRESS(ROW()+2,COLUMN('NVRAM map'!AM:AM))),"")</f>
        <v>0</v>
      </c>
      <c r="G160" s="99"/>
    </row>
    <row r="161" spans="1:7">
      <c r="A161" s="99" t="str">
        <f ca="1">SUBSTITUTE(UPPER(IF(INDIRECT("'NVRAM map'!"&amp;ADDRESS(ROW()+2,COLUMN('NVRAM map'!AG:AG)))="-",INDIRECT("'NVRAM map'!"&amp;ADDRESS(ROW()+2,COLUMN('NVRAM map'!AS:AS))),INDIRECT("'NVRAM map'!"&amp;ADDRESS(ROW()+2,COLUMN('NVRAM map'!AS:AS)))&amp;"_"&amp;INDIRECT("'NVRAM map'!"&amp;ADDRESS(ROW()+2,COLUMN('NVRAM map'!AG:AG))))),"__","_")</f>
        <v>EE_PATCH_AREA3_PATCH_AREA3</v>
      </c>
      <c r="B161" s="100" t="str">
        <f ca="1">IF(OR(INDIRECT("'NVRAM map'!"&amp;ADDRESS(ROW()+2,COLUMN('NVRAM map'!D:D)))="-",A161="_"),"x","")</f>
        <v/>
      </c>
      <c r="C161" s="100" t="str">
        <f ca="1">IF(B161="x","FIXED",INDIRECT("'NVRAM map'!"&amp;ADDRESS(ROW()+2,COLUMN('NVRAM map'!I:I))))</f>
        <v>FIXED</v>
      </c>
      <c r="D161" s="100" t="str">
        <f ca="1">IF(C161="FIXED","",INDIRECT("'NVRAM map'!"&amp;ADDRESS(ROW()+2,COLUMN('NVRAM map'!K:K))))</f>
        <v/>
      </c>
      <c r="E161" s="100" t="str">
        <f ca="1">IF(C161="FIXED","",INDIRECT("'NVRAM map'!"&amp;ADDRESS(ROW()+2,COLUMN('NVRAM map'!L:L))))</f>
        <v/>
      </c>
      <c r="F161" s="100">
        <f ca="1">IF(C161="FIXED",INDIRECT("'NVRAM map'!"&amp;ADDRESS(ROW()+2,COLUMN('NVRAM map'!AM:AM))),"")</f>
        <v>0</v>
      </c>
      <c r="G161" s="99"/>
    </row>
    <row r="162" spans="1:7">
      <c r="A162" s="99" t="str">
        <f ca="1">SUBSTITUTE(UPPER(IF(INDIRECT("'NVRAM map'!"&amp;ADDRESS(ROW()+2,COLUMN('NVRAM map'!AG:AG)))="-",INDIRECT("'NVRAM map'!"&amp;ADDRESS(ROW()+2,COLUMN('NVRAM map'!AS:AS))),INDIRECT("'NVRAM map'!"&amp;ADDRESS(ROW()+2,COLUMN('NVRAM map'!AS:AS)))&amp;"_"&amp;INDIRECT("'NVRAM map'!"&amp;ADDRESS(ROW()+2,COLUMN('NVRAM map'!AG:AG))))),"__","_")</f>
        <v>EE_PATCH_AREA4</v>
      </c>
      <c r="B162" s="100" t="str">
        <f ca="1">IF(OR(INDIRECT("'NVRAM map'!"&amp;ADDRESS(ROW()+2,COLUMN('NVRAM map'!D:D)))="-",A162="_"),"x","")</f>
        <v>x</v>
      </c>
      <c r="C162" s="100" t="str">
        <f ca="1">IF(B162="x","FIXED",INDIRECT("'NVRAM map'!"&amp;ADDRESS(ROW()+2,COLUMN('NVRAM map'!I:I))))</f>
        <v>FIXED</v>
      </c>
      <c r="D162" s="100" t="str">
        <f ca="1">IF(C162="FIXED","",INDIRECT("'NVRAM map'!"&amp;ADDRESS(ROW()+2,COLUMN('NVRAM map'!K:K))))</f>
        <v/>
      </c>
      <c r="E162" s="100" t="str">
        <f ca="1">IF(C162="FIXED","",INDIRECT("'NVRAM map'!"&amp;ADDRESS(ROW()+2,COLUMN('NVRAM map'!L:L))))</f>
        <v/>
      </c>
      <c r="F162" s="100">
        <f ca="1">IF(C162="FIXED",INDIRECT("'NVRAM map'!"&amp;ADDRESS(ROW()+2,COLUMN('NVRAM map'!AM:AM))),"")</f>
        <v>0</v>
      </c>
      <c r="G162" s="99"/>
    </row>
    <row r="163" spans="1:7">
      <c r="A163" s="99" t="str">
        <f ca="1">SUBSTITUTE(UPPER(IF(INDIRECT("'NVRAM map'!"&amp;ADDRESS(ROW()+2,COLUMN('NVRAM map'!AG:AG)))="-",INDIRECT("'NVRAM map'!"&amp;ADDRESS(ROW()+2,COLUMN('NVRAM map'!AS:AS))),INDIRECT("'NVRAM map'!"&amp;ADDRESS(ROW()+2,COLUMN('NVRAM map'!AS:AS)))&amp;"_"&amp;INDIRECT("'NVRAM map'!"&amp;ADDRESS(ROW()+2,COLUMN('NVRAM map'!AG:AG))))),"__","_")</f>
        <v>EE_PATCH_AREA4_PATCH_AREA4</v>
      </c>
      <c r="B163" s="100" t="str">
        <f ca="1">IF(OR(INDIRECT("'NVRAM map'!"&amp;ADDRESS(ROW()+2,COLUMN('NVRAM map'!D:D)))="-",A163="_"),"x","")</f>
        <v/>
      </c>
      <c r="C163" s="100" t="str">
        <f ca="1">IF(B163="x","FIXED",INDIRECT("'NVRAM map'!"&amp;ADDRESS(ROW()+2,COLUMN('NVRAM map'!I:I))))</f>
        <v>FIXED</v>
      </c>
      <c r="D163" s="100" t="str">
        <f ca="1">IF(C163="FIXED","",INDIRECT("'NVRAM map'!"&amp;ADDRESS(ROW()+2,COLUMN('NVRAM map'!K:K))))</f>
        <v/>
      </c>
      <c r="E163" s="100" t="str">
        <f ca="1">IF(C163="FIXED","",INDIRECT("'NVRAM map'!"&amp;ADDRESS(ROW()+2,COLUMN('NVRAM map'!L:L))))</f>
        <v/>
      </c>
      <c r="F163" s="100">
        <f ca="1">IF(C163="FIXED",INDIRECT("'NVRAM map'!"&amp;ADDRESS(ROW()+2,COLUMN('NVRAM map'!AM:AM))),"")</f>
        <v>0</v>
      </c>
      <c r="G163" s="99"/>
    </row>
    <row r="164" spans="1:7">
      <c r="A164" s="99" t="str">
        <f ca="1">SUBSTITUTE(UPPER(IF(INDIRECT("'NVRAM map'!"&amp;ADDRESS(ROW()+2,COLUMN('NVRAM map'!AG:AG)))="-",INDIRECT("'NVRAM map'!"&amp;ADDRESS(ROW()+2,COLUMN('NVRAM map'!AS:AS))),INDIRECT("'NVRAM map'!"&amp;ADDRESS(ROW()+2,COLUMN('NVRAM map'!AS:AS)))&amp;"_"&amp;INDIRECT("'NVRAM map'!"&amp;ADDRESS(ROW()+2,COLUMN('NVRAM map'!AG:AG))))),"__","_")</f>
        <v>EE_PATCH_AREA5</v>
      </c>
      <c r="B164" s="100" t="str">
        <f ca="1">IF(OR(INDIRECT("'NVRAM map'!"&amp;ADDRESS(ROW()+2,COLUMN('NVRAM map'!D:D)))="-",A164="_"),"x","")</f>
        <v>x</v>
      </c>
      <c r="C164" s="100" t="str">
        <f ca="1">IF(B164="x","FIXED",INDIRECT("'NVRAM map'!"&amp;ADDRESS(ROW()+2,COLUMN('NVRAM map'!I:I))))</f>
        <v>FIXED</v>
      </c>
      <c r="D164" s="100" t="str">
        <f ca="1">IF(C164="FIXED","",INDIRECT("'NVRAM map'!"&amp;ADDRESS(ROW()+2,COLUMN('NVRAM map'!K:K))))</f>
        <v/>
      </c>
      <c r="E164" s="100" t="str">
        <f ca="1">IF(C164="FIXED","",INDIRECT("'NVRAM map'!"&amp;ADDRESS(ROW()+2,COLUMN('NVRAM map'!L:L))))</f>
        <v/>
      </c>
      <c r="F164" s="100">
        <f ca="1">IF(C164="FIXED",INDIRECT("'NVRAM map'!"&amp;ADDRESS(ROW()+2,COLUMN('NVRAM map'!AM:AM))),"")</f>
        <v>0</v>
      </c>
      <c r="G164" s="99"/>
    </row>
    <row r="165" spans="1:7">
      <c r="A165" s="99" t="str">
        <f ca="1">SUBSTITUTE(UPPER(IF(INDIRECT("'NVRAM map'!"&amp;ADDRESS(ROW()+2,COLUMN('NVRAM map'!AG:AG)))="-",INDIRECT("'NVRAM map'!"&amp;ADDRESS(ROW()+2,COLUMN('NVRAM map'!AS:AS))),INDIRECT("'NVRAM map'!"&amp;ADDRESS(ROW()+2,COLUMN('NVRAM map'!AS:AS)))&amp;"_"&amp;INDIRECT("'NVRAM map'!"&amp;ADDRESS(ROW()+2,COLUMN('NVRAM map'!AG:AG))))),"__","_")</f>
        <v>EE_PATCH_AREA5_PATCH_AREA5</v>
      </c>
      <c r="B165" s="100" t="str">
        <f ca="1">IF(OR(INDIRECT("'NVRAM map'!"&amp;ADDRESS(ROW()+2,COLUMN('NVRAM map'!D:D)))="-",A165="_"),"x","")</f>
        <v/>
      </c>
      <c r="C165" s="100" t="str">
        <f ca="1">IF(B165="x","FIXED",INDIRECT("'NVRAM map'!"&amp;ADDRESS(ROW()+2,COLUMN('NVRAM map'!I:I))))</f>
        <v>FIXED</v>
      </c>
      <c r="D165" s="100" t="str">
        <f ca="1">IF(C165="FIXED","",INDIRECT("'NVRAM map'!"&amp;ADDRESS(ROW()+2,COLUMN('NVRAM map'!K:K))))</f>
        <v/>
      </c>
      <c r="E165" s="100" t="str">
        <f ca="1">IF(C165="FIXED","",INDIRECT("'NVRAM map'!"&amp;ADDRESS(ROW()+2,COLUMN('NVRAM map'!L:L))))</f>
        <v/>
      </c>
      <c r="F165" s="100">
        <f ca="1">IF(C165="FIXED",INDIRECT("'NVRAM map'!"&amp;ADDRESS(ROW()+2,COLUMN('NVRAM map'!AM:AM))),"")</f>
        <v>0</v>
      </c>
      <c r="G165" s="99"/>
    </row>
    <row r="166" spans="1:7">
      <c r="A166" s="99" t="str">
        <f ca="1">SUBSTITUTE(UPPER(IF(INDIRECT("'NVRAM map'!"&amp;ADDRESS(ROW()+2,COLUMN('NVRAM map'!AG:AG)))="-",INDIRECT("'NVRAM map'!"&amp;ADDRESS(ROW()+2,COLUMN('NVRAM map'!AS:AS))),INDIRECT("'NVRAM map'!"&amp;ADDRESS(ROW()+2,COLUMN('NVRAM map'!AS:AS)))&amp;"_"&amp;INDIRECT("'NVRAM map'!"&amp;ADDRESS(ROW()+2,COLUMN('NVRAM map'!AG:AG))))),"__","_")</f>
        <v>EE_PATCH_AREA6</v>
      </c>
      <c r="B166" s="100" t="str">
        <f ca="1">IF(OR(INDIRECT("'NVRAM map'!"&amp;ADDRESS(ROW()+2,COLUMN('NVRAM map'!D:D)))="-",A166="_"),"x","")</f>
        <v>x</v>
      </c>
      <c r="C166" s="100" t="str">
        <f ca="1">IF(B166="x","FIXED",INDIRECT("'NVRAM map'!"&amp;ADDRESS(ROW()+2,COLUMN('NVRAM map'!I:I))))</f>
        <v>FIXED</v>
      </c>
      <c r="D166" s="100" t="str">
        <f ca="1">IF(C166="FIXED","",INDIRECT("'NVRAM map'!"&amp;ADDRESS(ROW()+2,COLUMN('NVRAM map'!K:K))))</f>
        <v/>
      </c>
      <c r="E166" s="100" t="str">
        <f ca="1">IF(C166="FIXED","",INDIRECT("'NVRAM map'!"&amp;ADDRESS(ROW()+2,COLUMN('NVRAM map'!L:L))))</f>
        <v/>
      </c>
      <c r="F166" s="100">
        <f ca="1">IF(C166="FIXED",INDIRECT("'NVRAM map'!"&amp;ADDRESS(ROW()+2,COLUMN('NVRAM map'!AM:AM))),"")</f>
        <v>0</v>
      </c>
      <c r="G166" s="99"/>
    </row>
    <row r="167" spans="1:7">
      <c r="A167" s="99" t="str">
        <f ca="1">SUBSTITUTE(UPPER(IF(INDIRECT("'NVRAM map'!"&amp;ADDRESS(ROW()+2,COLUMN('NVRAM map'!AG:AG)))="-",INDIRECT("'NVRAM map'!"&amp;ADDRESS(ROW()+2,COLUMN('NVRAM map'!AS:AS))),INDIRECT("'NVRAM map'!"&amp;ADDRESS(ROW()+2,COLUMN('NVRAM map'!AS:AS)))&amp;"_"&amp;INDIRECT("'NVRAM map'!"&amp;ADDRESS(ROW()+2,COLUMN('NVRAM map'!AG:AG))))),"__","_")</f>
        <v>EE_PATCH_AREA6_PATCH_AREA6</v>
      </c>
      <c r="B167" s="100" t="str">
        <f ca="1">IF(OR(INDIRECT("'NVRAM map'!"&amp;ADDRESS(ROW()+2,COLUMN('NVRAM map'!D:D)))="-",A167="_"),"x","")</f>
        <v/>
      </c>
      <c r="C167" s="100" t="str">
        <f ca="1">IF(B167="x","FIXED",INDIRECT("'NVRAM map'!"&amp;ADDRESS(ROW()+2,COLUMN('NVRAM map'!I:I))))</f>
        <v>FIXED</v>
      </c>
      <c r="D167" s="100" t="str">
        <f ca="1">IF(C167="FIXED","",INDIRECT("'NVRAM map'!"&amp;ADDRESS(ROW()+2,COLUMN('NVRAM map'!K:K))))</f>
        <v/>
      </c>
      <c r="E167" s="100" t="str">
        <f ca="1">IF(C167="FIXED","",INDIRECT("'NVRAM map'!"&amp;ADDRESS(ROW()+2,COLUMN('NVRAM map'!L:L))))</f>
        <v/>
      </c>
      <c r="F167" s="100">
        <f ca="1">IF(C167="FIXED",INDIRECT("'NVRAM map'!"&amp;ADDRESS(ROW()+2,COLUMN('NVRAM map'!AM:AM))),"")</f>
        <v>0</v>
      </c>
      <c r="G167" s="99"/>
    </row>
    <row r="168" spans="1:7">
      <c r="A168" s="99" t="str">
        <f ca="1">SUBSTITUTE(UPPER(IF(INDIRECT("'NVRAM map'!"&amp;ADDRESS(ROW()+2,COLUMN('NVRAM map'!AG:AG)))="-",INDIRECT("'NVRAM map'!"&amp;ADDRESS(ROW()+2,COLUMN('NVRAM map'!AS:AS))),INDIRECT("'NVRAM map'!"&amp;ADDRESS(ROW()+2,COLUMN('NVRAM map'!AS:AS)))&amp;"_"&amp;INDIRECT("'NVRAM map'!"&amp;ADDRESS(ROW()+2,COLUMN('NVRAM map'!AG:AG))))),"__","_")</f>
        <v>EE_P0_2</v>
      </c>
      <c r="B168" s="100" t="str">
        <f ca="1">IF(OR(INDIRECT("'NVRAM map'!"&amp;ADDRESS(ROW()+2,COLUMN('NVRAM map'!D:D)))="-",A168="_"),"x","")</f>
        <v>x</v>
      </c>
      <c r="C168" s="100" t="str">
        <f ca="1">IF(B168="x","FIXED",INDIRECT("'NVRAM map'!"&amp;ADDRESS(ROW()+2,COLUMN('NVRAM map'!I:I))))</f>
        <v>FIXED</v>
      </c>
      <c r="D168" s="100" t="str">
        <f ca="1">IF(C168="FIXED","",INDIRECT("'NVRAM map'!"&amp;ADDRESS(ROW()+2,COLUMN('NVRAM map'!K:K))))</f>
        <v/>
      </c>
      <c r="E168" s="100" t="str">
        <f ca="1">IF(C168="FIXED","",INDIRECT("'NVRAM map'!"&amp;ADDRESS(ROW()+2,COLUMN('NVRAM map'!L:L))))</f>
        <v/>
      </c>
      <c r="F168" s="100">
        <f ca="1">IF(C168="FIXED",INDIRECT("'NVRAM map'!"&amp;ADDRESS(ROW()+2,COLUMN('NVRAM map'!AM:AM))),"")</f>
        <v>0</v>
      </c>
      <c r="G168" s="99"/>
    </row>
    <row r="169" spans="1:7">
      <c r="A169" s="99" t="str">
        <f ca="1">SUBSTITUTE(UPPER(IF(INDIRECT("'NVRAM map'!"&amp;ADDRESS(ROW()+2,COLUMN('NVRAM map'!AG:AG)))="-",INDIRECT("'NVRAM map'!"&amp;ADDRESS(ROW()+2,COLUMN('NVRAM map'!AS:AS))),INDIRECT("'NVRAM map'!"&amp;ADDRESS(ROW()+2,COLUMN('NVRAM map'!AS:AS)))&amp;"_"&amp;INDIRECT("'NVRAM map'!"&amp;ADDRESS(ROW()+2,COLUMN('NVRAM map'!AG:AG))))),"__","_")</f>
        <v>EE_P0_2_P0_2</v>
      </c>
      <c r="B169" s="100" t="str">
        <f ca="1">IF(OR(INDIRECT("'NVRAM map'!"&amp;ADDRESS(ROW()+2,COLUMN('NVRAM map'!D:D)))="-",A169="_"),"x","")</f>
        <v/>
      </c>
      <c r="C169" s="100" t="str">
        <f ca="1">IF(B169="x","FIXED",INDIRECT("'NVRAM map'!"&amp;ADDRESS(ROW()+2,COLUMN('NVRAM map'!I:I))))</f>
        <v>TRIMMED</v>
      </c>
      <c r="D169" s="100">
        <f ca="1">IF(C169="FIXED","",INDIRECT("'NVRAM map'!"&amp;ADDRESS(ROW()+2,COLUMN('NVRAM map'!K:K))))</f>
        <v>-32768</v>
      </c>
      <c r="E169" s="100">
        <f ca="1">IF(C169="FIXED","",INDIRECT("'NVRAM map'!"&amp;ADDRESS(ROW()+2,COLUMN('NVRAM map'!L:L))))</f>
        <v>32767</v>
      </c>
      <c r="F169" s="100" t="str">
        <f ca="1">IF(C169="FIXED",INDIRECT("'NVRAM map'!"&amp;ADDRESS(ROW()+2,COLUMN('NVRAM map'!AM:AM))),"")</f>
        <v/>
      </c>
      <c r="G169" s="99"/>
    </row>
    <row r="170" spans="1:7">
      <c r="A170" s="99" t="str">
        <f ca="1">SUBSTITUTE(UPPER(IF(INDIRECT("'NVRAM map'!"&amp;ADDRESS(ROW()+2,COLUMN('NVRAM map'!AG:AG)))="-",INDIRECT("'NVRAM map'!"&amp;ADDRESS(ROW()+2,COLUMN('NVRAM map'!AS:AS))),INDIRECT("'NVRAM map'!"&amp;ADDRESS(ROW()+2,COLUMN('NVRAM map'!AS:AS)))&amp;"_"&amp;INDIRECT("'NVRAM map'!"&amp;ADDRESS(ROW()+2,COLUMN('NVRAM map'!AG:AG))))),"__","_")</f>
        <v>EE_A0_2</v>
      </c>
      <c r="B170" s="100" t="str">
        <f ca="1">IF(OR(INDIRECT("'NVRAM map'!"&amp;ADDRESS(ROW()+2,COLUMN('NVRAM map'!D:D)))="-",A170="_"),"x","")</f>
        <v>x</v>
      </c>
      <c r="C170" s="100" t="str">
        <f ca="1">IF(B170="x","FIXED",INDIRECT("'NVRAM map'!"&amp;ADDRESS(ROW()+2,COLUMN('NVRAM map'!I:I))))</f>
        <v>FIXED</v>
      </c>
      <c r="D170" s="100" t="str">
        <f ca="1">IF(C170="FIXED","",INDIRECT("'NVRAM map'!"&amp;ADDRESS(ROW()+2,COLUMN('NVRAM map'!K:K))))</f>
        <v/>
      </c>
      <c r="E170" s="100" t="str">
        <f ca="1">IF(C170="FIXED","",INDIRECT("'NVRAM map'!"&amp;ADDRESS(ROW()+2,COLUMN('NVRAM map'!L:L))))</f>
        <v/>
      </c>
      <c r="F170" s="100">
        <f ca="1">IF(C170="FIXED",INDIRECT("'NVRAM map'!"&amp;ADDRESS(ROW()+2,COLUMN('NVRAM map'!AM:AM))),"")</f>
        <v>0</v>
      </c>
      <c r="G170" s="99"/>
    </row>
    <row r="171" spans="1:7">
      <c r="A171" s="99" t="str">
        <f ca="1">SUBSTITUTE(UPPER(IF(INDIRECT("'NVRAM map'!"&amp;ADDRESS(ROW()+2,COLUMN('NVRAM map'!AG:AG)))="-",INDIRECT("'NVRAM map'!"&amp;ADDRESS(ROW()+2,COLUMN('NVRAM map'!AS:AS))),INDIRECT("'NVRAM map'!"&amp;ADDRESS(ROW()+2,COLUMN('NVRAM map'!AS:AS)))&amp;"_"&amp;INDIRECT("'NVRAM map'!"&amp;ADDRESS(ROW()+2,COLUMN('NVRAM map'!AG:AG))))),"__","_")</f>
        <v>EE_A0_2_A0_2</v>
      </c>
      <c r="B171" s="100" t="str">
        <f ca="1">IF(OR(INDIRECT("'NVRAM map'!"&amp;ADDRESS(ROW()+2,COLUMN('NVRAM map'!D:D)))="-",A171="_"),"x","")</f>
        <v/>
      </c>
      <c r="C171" s="100" t="str">
        <f ca="1">IF(B171="x","FIXED",INDIRECT("'NVRAM map'!"&amp;ADDRESS(ROW()+2,COLUMN('NVRAM map'!I:I))))</f>
        <v>TRIMMED</v>
      </c>
      <c r="D171" s="100">
        <f ca="1">IF(C171="FIXED","",INDIRECT("'NVRAM map'!"&amp;ADDRESS(ROW()+2,COLUMN('NVRAM map'!K:K))))</f>
        <v>-32768</v>
      </c>
      <c r="E171" s="100">
        <f ca="1">IF(C171="FIXED","",INDIRECT("'NVRAM map'!"&amp;ADDRESS(ROW()+2,COLUMN('NVRAM map'!L:L))))</f>
        <v>32767</v>
      </c>
      <c r="F171" s="100" t="str">
        <f ca="1">IF(C171="FIXED",INDIRECT("'NVRAM map'!"&amp;ADDRESS(ROW()+2,COLUMN('NVRAM map'!AM:AM))),"")</f>
        <v/>
      </c>
      <c r="G171" s="99"/>
    </row>
    <row r="172" spans="1:7">
      <c r="A172" s="99" t="str">
        <f ca="1">SUBSTITUTE(UPPER(IF(INDIRECT("'NVRAM map'!"&amp;ADDRESS(ROW()+2,COLUMN('NVRAM map'!AG:AG)))="-",INDIRECT("'NVRAM map'!"&amp;ADDRESS(ROW()+2,COLUMN('NVRAM map'!AS:AS))),INDIRECT("'NVRAM map'!"&amp;ADDRESS(ROW()+2,COLUMN('NVRAM map'!AS:AS)))&amp;"_"&amp;INDIRECT("'NVRAM map'!"&amp;ADDRESS(ROW()+2,COLUMN('NVRAM map'!AG:AG))))),"__","_")</f>
        <v>EE_A1_2</v>
      </c>
      <c r="B172" s="100" t="str">
        <f ca="1">IF(OR(INDIRECT("'NVRAM map'!"&amp;ADDRESS(ROW()+2,COLUMN('NVRAM map'!D:D)))="-",A172="_"),"x","")</f>
        <v>x</v>
      </c>
      <c r="C172" s="100" t="str">
        <f ca="1">IF(B172="x","FIXED",INDIRECT("'NVRAM map'!"&amp;ADDRESS(ROW()+2,COLUMN('NVRAM map'!I:I))))</f>
        <v>FIXED</v>
      </c>
      <c r="D172" s="100" t="str">
        <f ca="1">IF(C172="FIXED","",INDIRECT("'NVRAM map'!"&amp;ADDRESS(ROW()+2,COLUMN('NVRAM map'!K:K))))</f>
        <v/>
      </c>
      <c r="E172" s="100" t="str">
        <f ca="1">IF(C172="FIXED","",INDIRECT("'NVRAM map'!"&amp;ADDRESS(ROW()+2,COLUMN('NVRAM map'!L:L))))</f>
        <v/>
      </c>
      <c r="F172" s="100">
        <f ca="1">IF(C172="FIXED",INDIRECT("'NVRAM map'!"&amp;ADDRESS(ROW()+2,COLUMN('NVRAM map'!AM:AM))),"")</f>
        <v>0</v>
      </c>
      <c r="G172" s="99"/>
    </row>
    <row r="173" spans="1:7">
      <c r="A173" s="99" t="str">
        <f ca="1">SUBSTITUTE(UPPER(IF(INDIRECT("'NVRAM map'!"&amp;ADDRESS(ROW()+2,COLUMN('NVRAM map'!AG:AG)))="-",INDIRECT("'NVRAM map'!"&amp;ADDRESS(ROW()+2,COLUMN('NVRAM map'!AS:AS))),INDIRECT("'NVRAM map'!"&amp;ADDRESS(ROW()+2,COLUMN('NVRAM map'!AS:AS)))&amp;"_"&amp;INDIRECT("'NVRAM map'!"&amp;ADDRESS(ROW()+2,COLUMN('NVRAM map'!AG:AG))))),"__","_")</f>
        <v>EE_A1_2_A1_2</v>
      </c>
      <c r="B173" s="100" t="str">
        <f ca="1">IF(OR(INDIRECT("'NVRAM map'!"&amp;ADDRESS(ROW()+2,COLUMN('NVRAM map'!D:D)))="-",A173="_"),"x","")</f>
        <v/>
      </c>
      <c r="C173" s="100" t="str">
        <f ca="1">IF(B173="x","FIXED",INDIRECT("'NVRAM map'!"&amp;ADDRESS(ROW()+2,COLUMN('NVRAM map'!I:I))))</f>
        <v>TRIMMED</v>
      </c>
      <c r="D173" s="100">
        <f ca="1">IF(C173="FIXED","",INDIRECT("'NVRAM map'!"&amp;ADDRESS(ROW()+2,COLUMN('NVRAM map'!K:K))))</f>
        <v>-32768</v>
      </c>
      <c r="E173" s="100">
        <f ca="1">IF(C173="FIXED","",INDIRECT("'NVRAM map'!"&amp;ADDRESS(ROW()+2,COLUMN('NVRAM map'!L:L))))</f>
        <v>32767</v>
      </c>
      <c r="F173" s="100" t="str">
        <f ca="1">IF(C173="FIXED",INDIRECT("'NVRAM map'!"&amp;ADDRESS(ROW()+2,COLUMN('NVRAM map'!AM:AM))),"")</f>
        <v/>
      </c>
      <c r="G173" s="99"/>
    </row>
    <row r="174" spans="1:7">
      <c r="A174" s="99" t="str">
        <f ca="1">SUBSTITUTE(UPPER(IF(INDIRECT("'NVRAM map'!"&amp;ADDRESS(ROW()+2,COLUMN('NVRAM map'!AG:AG)))="-",INDIRECT("'NVRAM map'!"&amp;ADDRESS(ROW()+2,COLUMN('NVRAM map'!AS:AS))),INDIRECT("'NVRAM map'!"&amp;ADDRESS(ROW()+2,COLUMN('NVRAM map'!AS:AS)))&amp;"_"&amp;INDIRECT("'NVRAM map'!"&amp;ADDRESS(ROW()+2,COLUMN('NVRAM map'!AG:AG))))),"__","_")</f>
        <v>EE_A2_2</v>
      </c>
      <c r="B174" s="100" t="str">
        <f ca="1">IF(OR(INDIRECT("'NVRAM map'!"&amp;ADDRESS(ROW()+2,COLUMN('NVRAM map'!D:D)))="-",A174="_"),"x","")</f>
        <v>x</v>
      </c>
      <c r="C174" s="100" t="str">
        <f ca="1">IF(B174="x","FIXED",INDIRECT("'NVRAM map'!"&amp;ADDRESS(ROW()+2,COLUMN('NVRAM map'!I:I))))</f>
        <v>FIXED</v>
      </c>
      <c r="D174" s="100" t="str">
        <f ca="1">IF(C174="FIXED","",INDIRECT("'NVRAM map'!"&amp;ADDRESS(ROW()+2,COLUMN('NVRAM map'!K:K))))</f>
        <v/>
      </c>
      <c r="E174" s="100" t="str">
        <f ca="1">IF(C174="FIXED","",INDIRECT("'NVRAM map'!"&amp;ADDRESS(ROW()+2,COLUMN('NVRAM map'!L:L))))</f>
        <v/>
      </c>
      <c r="F174" s="100">
        <f ca="1">IF(C174="FIXED",INDIRECT("'NVRAM map'!"&amp;ADDRESS(ROW()+2,COLUMN('NVRAM map'!AM:AM))),"")</f>
        <v>0</v>
      </c>
      <c r="G174" s="99"/>
    </row>
    <row r="175" spans="1:7">
      <c r="A175" s="99" t="str">
        <f ca="1">SUBSTITUTE(UPPER(IF(INDIRECT("'NVRAM map'!"&amp;ADDRESS(ROW()+2,COLUMN('NVRAM map'!AG:AG)))="-",INDIRECT("'NVRAM map'!"&amp;ADDRESS(ROW()+2,COLUMN('NVRAM map'!AS:AS))),INDIRECT("'NVRAM map'!"&amp;ADDRESS(ROW()+2,COLUMN('NVRAM map'!AS:AS)))&amp;"_"&amp;INDIRECT("'NVRAM map'!"&amp;ADDRESS(ROW()+2,COLUMN('NVRAM map'!AG:AG))))),"__","_")</f>
        <v>EE_A2_2_A2_2</v>
      </c>
      <c r="B175" s="100" t="str">
        <f ca="1">IF(OR(INDIRECT("'NVRAM map'!"&amp;ADDRESS(ROW()+2,COLUMN('NVRAM map'!D:D)))="-",A175="_"),"x","")</f>
        <v/>
      </c>
      <c r="C175" s="100" t="str">
        <f ca="1">IF(B175="x","FIXED",INDIRECT("'NVRAM map'!"&amp;ADDRESS(ROW()+2,COLUMN('NVRAM map'!I:I))))</f>
        <v>TRIMMED</v>
      </c>
      <c r="D175" s="100">
        <f ca="1">IF(C175="FIXED","",INDIRECT("'NVRAM map'!"&amp;ADDRESS(ROW()+2,COLUMN('NVRAM map'!K:K))))</f>
        <v>-32768</v>
      </c>
      <c r="E175" s="100">
        <f ca="1">IF(C175="FIXED","",INDIRECT("'NVRAM map'!"&amp;ADDRESS(ROW()+2,COLUMN('NVRAM map'!L:L))))</f>
        <v>32767</v>
      </c>
      <c r="F175" s="100" t="str">
        <f ca="1">IF(C175="FIXED",INDIRECT("'NVRAM map'!"&amp;ADDRESS(ROW()+2,COLUMN('NVRAM map'!AM:AM))),"")</f>
        <v/>
      </c>
      <c r="G175" s="99"/>
    </row>
    <row r="176" spans="1:7">
      <c r="A176" s="99" t="str">
        <f ca="1">SUBSTITUTE(UPPER(IF(INDIRECT("'NVRAM map'!"&amp;ADDRESS(ROW()+2,COLUMN('NVRAM map'!AG:AG)))="-",INDIRECT("'NVRAM map'!"&amp;ADDRESS(ROW()+2,COLUMN('NVRAM map'!AS:AS))),INDIRECT("'NVRAM map'!"&amp;ADDRESS(ROW()+2,COLUMN('NVRAM map'!AS:AS)))&amp;"_"&amp;INDIRECT("'NVRAM map'!"&amp;ADDRESS(ROW()+2,COLUMN('NVRAM map'!AG:AG))))),"__","_")</f>
        <v>EE_A3_2</v>
      </c>
      <c r="B176" s="100" t="str">
        <f ca="1">IF(OR(INDIRECT("'NVRAM map'!"&amp;ADDRESS(ROW()+2,COLUMN('NVRAM map'!D:D)))="-",A176="_"),"x","")</f>
        <v>x</v>
      </c>
      <c r="C176" s="100" t="str">
        <f ca="1">IF(B176="x","FIXED",INDIRECT("'NVRAM map'!"&amp;ADDRESS(ROW()+2,COLUMN('NVRAM map'!I:I))))</f>
        <v>FIXED</v>
      </c>
      <c r="D176" s="100" t="str">
        <f ca="1">IF(C176="FIXED","",INDIRECT("'NVRAM map'!"&amp;ADDRESS(ROW()+2,COLUMN('NVRAM map'!K:K))))</f>
        <v/>
      </c>
      <c r="E176" s="100" t="str">
        <f ca="1">IF(C176="FIXED","",INDIRECT("'NVRAM map'!"&amp;ADDRESS(ROW()+2,COLUMN('NVRAM map'!L:L))))</f>
        <v/>
      </c>
      <c r="F176" s="100">
        <f ca="1">IF(C176="FIXED",INDIRECT("'NVRAM map'!"&amp;ADDRESS(ROW()+2,COLUMN('NVRAM map'!AM:AM))),"")</f>
        <v>0</v>
      </c>
      <c r="G176" s="99"/>
    </row>
    <row r="177" spans="1:7">
      <c r="A177" s="99" t="str">
        <f ca="1">SUBSTITUTE(UPPER(IF(INDIRECT("'NVRAM map'!"&amp;ADDRESS(ROW()+2,COLUMN('NVRAM map'!AG:AG)))="-",INDIRECT("'NVRAM map'!"&amp;ADDRESS(ROW()+2,COLUMN('NVRAM map'!AS:AS))),INDIRECT("'NVRAM map'!"&amp;ADDRESS(ROW()+2,COLUMN('NVRAM map'!AS:AS)))&amp;"_"&amp;INDIRECT("'NVRAM map'!"&amp;ADDRESS(ROW()+2,COLUMN('NVRAM map'!AG:AG))))),"__","_")</f>
        <v>EE_A3_2_A3_2</v>
      </c>
      <c r="B177" s="100" t="str">
        <f ca="1">IF(OR(INDIRECT("'NVRAM map'!"&amp;ADDRESS(ROW()+2,COLUMN('NVRAM map'!D:D)))="-",A177="_"),"x","")</f>
        <v/>
      </c>
      <c r="C177" s="100" t="str">
        <f ca="1">IF(B177="x","FIXED",INDIRECT("'NVRAM map'!"&amp;ADDRESS(ROW()+2,COLUMN('NVRAM map'!I:I))))</f>
        <v>TRIMMED</v>
      </c>
      <c r="D177" s="100">
        <f ca="1">IF(C177="FIXED","",INDIRECT("'NVRAM map'!"&amp;ADDRESS(ROW()+2,COLUMN('NVRAM map'!K:K))))</f>
        <v>-32768</v>
      </c>
      <c r="E177" s="100">
        <f ca="1">IF(C177="FIXED","",INDIRECT("'NVRAM map'!"&amp;ADDRESS(ROW()+2,COLUMN('NVRAM map'!L:L))))</f>
        <v>32767</v>
      </c>
      <c r="F177" s="100" t="str">
        <f ca="1">IF(C177="FIXED",INDIRECT("'NVRAM map'!"&amp;ADDRESS(ROW()+2,COLUMN('NVRAM map'!AM:AM))),"")</f>
        <v/>
      </c>
      <c r="G177" s="99"/>
    </row>
    <row r="178" spans="1:7">
      <c r="A178" s="99" t="str">
        <f ca="1">SUBSTITUTE(UPPER(IF(INDIRECT("'NVRAM map'!"&amp;ADDRESS(ROW()+2,COLUMN('NVRAM map'!AG:AG)))="-",INDIRECT("'NVRAM map'!"&amp;ADDRESS(ROW()+2,COLUMN('NVRAM map'!AS:AS))),INDIRECT("'NVRAM map'!"&amp;ADDRESS(ROW()+2,COLUMN('NVRAM map'!AS:AS)))&amp;"_"&amp;INDIRECT("'NVRAM map'!"&amp;ADDRESS(ROW()+2,COLUMN('NVRAM map'!AG:AG))))),"__","_")</f>
        <v>EE_B0_2</v>
      </c>
      <c r="B178" s="100" t="str">
        <f ca="1">IF(OR(INDIRECT("'NVRAM map'!"&amp;ADDRESS(ROW()+2,COLUMN('NVRAM map'!D:D)))="-",A178="_"),"x","")</f>
        <v>x</v>
      </c>
      <c r="C178" s="100" t="str">
        <f ca="1">IF(B178="x","FIXED",INDIRECT("'NVRAM map'!"&amp;ADDRESS(ROW()+2,COLUMN('NVRAM map'!I:I))))</f>
        <v>FIXED</v>
      </c>
      <c r="D178" s="100" t="str">
        <f ca="1">IF(C178="FIXED","",INDIRECT("'NVRAM map'!"&amp;ADDRESS(ROW()+2,COLUMN('NVRAM map'!K:K))))</f>
        <v/>
      </c>
      <c r="E178" s="100" t="str">
        <f ca="1">IF(C178="FIXED","",INDIRECT("'NVRAM map'!"&amp;ADDRESS(ROW()+2,COLUMN('NVRAM map'!L:L))))</f>
        <v/>
      </c>
      <c r="F178" s="100">
        <f ca="1">IF(C178="FIXED",INDIRECT("'NVRAM map'!"&amp;ADDRESS(ROW()+2,COLUMN('NVRAM map'!AM:AM))),"")</f>
        <v>0</v>
      </c>
      <c r="G178" s="99"/>
    </row>
    <row r="179" spans="1:7">
      <c r="A179" s="99" t="str">
        <f ca="1">SUBSTITUTE(UPPER(IF(INDIRECT("'NVRAM map'!"&amp;ADDRESS(ROW()+2,COLUMN('NVRAM map'!AG:AG)))="-",INDIRECT("'NVRAM map'!"&amp;ADDRESS(ROW()+2,COLUMN('NVRAM map'!AS:AS))),INDIRECT("'NVRAM map'!"&amp;ADDRESS(ROW()+2,COLUMN('NVRAM map'!AS:AS)))&amp;"_"&amp;INDIRECT("'NVRAM map'!"&amp;ADDRESS(ROW()+2,COLUMN('NVRAM map'!AG:AG))))),"__","_")</f>
        <v>EE_B0_2_B0_2</v>
      </c>
      <c r="B179" s="100" t="str">
        <f ca="1">IF(OR(INDIRECT("'NVRAM map'!"&amp;ADDRESS(ROW()+2,COLUMN('NVRAM map'!D:D)))="-",A179="_"),"x","")</f>
        <v/>
      </c>
      <c r="C179" s="100" t="str">
        <f ca="1">IF(B179="x","FIXED",INDIRECT("'NVRAM map'!"&amp;ADDRESS(ROW()+2,COLUMN('NVRAM map'!I:I))))</f>
        <v>TRIMMED</v>
      </c>
      <c r="D179" s="100">
        <f ca="1">IF(C179="FIXED","",INDIRECT("'NVRAM map'!"&amp;ADDRESS(ROW()+2,COLUMN('NVRAM map'!K:K))))</f>
        <v>-32768</v>
      </c>
      <c r="E179" s="100">
        <f ca="1">IF(C179="FIXED","",INDIRECT("'NVRAM map'!"&amp;ADDRESS(ROW()+2,COLUMN('NVRAM map'!L:L))))</f>
        <v>32767</v>
      </c>
      <c r="F179" s="100" t="str">
        <f ca="1">IF(C179="FIXED",INDIRECT("'NVRAM map'!"&amp;ADDRESS(ROW()+2,COLUMN('NVRAM map'!AM:AM))),"")</f>
        <v/>
      </c>
      <c r="G179" s="99"/>
    </row>
    <row r="180" spans="1:7">
      <c r="A180" s="99" t="str">
        <f ca="1">SUBSTITUTE(UPPER(IF(INDIRECT("'NVRAM map'!"&amp;ADDRESS(ROW()+2,COLUMN('NVRAM map'!AG:AG)))="-",INDIRECT("'NVRAM map'!"&amp;ADDRESS(ROW()+2,COLUMN('NVRAM map'!AS:AS))),INDIRECT("'NVRAM map'!"&amp;ADDRESS(ROW()+2,COLUMN('NVRAM map'!AS:AS)))&amp;"_"&amp;INDIRECT("'NVRAM map'!"&amp;ADDRESS(ROW()+2,COLUMN('NVRAM map'!AG:AG))))),"__","_")</f>
        <v>EE_B1_2</v>
      </c>
      <c r="B180" s="100" t="str">
        <f ca="1">IF(OR(INDIRECT("'NVRAM map'!"&amp;ADDRESS(ROW()+2,COLUMN('NVRAM map'!D:D)))="-",A180="_"),"x","")</f>
        <v>x</v>
      </c>
      <c r="C180" s="100" t="str">
        <f ca="1">IF(B180="x","FIXED",INDIRECT("'NVRAM map'!"&amp;ADDRESS(ROW()+2,COLUMN('NVRAM map'!I:I))))</f>
        <v>FIXED</v>
      </c>
      <c r="D180" s="100" t="str">
        <f ca="1">IF(C180="FIXED","",INDIRECT("'NVRAM map'!"&amp;ADDRESS(ROW()+2,COLUMN('NVRAM map'!K:K))))</f>
        <v/>
      </c>
      <c r="E180" s="100" t="str">
        <f ca="1">IF(C180="FIXED","",INDIRECT("'NVRAM map'!"&amp;ADDRESS(ROW()+2,COLUMN('NVRAM map'!L:L))))</f>
        <v/>
      </c>
      <c r="F180" s="100">
        <f ca="1">IF(C180="FIXED",INDIRECT("'NVRAM map'!"&amp;ADDRESS(ROW()+2,COLUMN('NVRAM map'!AM:AM))),"")</f>
        <v>0</v>
      </c>
      <c r="G180" s="99"/>
    </row>
    <row r="181" spans="1:7">
      <c r="A181" s="99" t="str">
        <f ca="1">SUBSTITUTE(UPPER(IF(INDIRECT("'NVRAM map'!"&amp;ADDRESS(ROW()+2,COLUMN('NVRAM map'!AG:AG)))="-",INDIRECT("'NVRAM map'!"&amp;ADDRESS(ROW()+2,COLUMN('NVRAM map'!AS:AS))),INDIRECT("'NVRAM map'!"&amp;ADDRESS(ROW()+2,COLUMN('NVRAM map'!AS:AS)))&amp;"_"&amp;INDIRECT("'NVRAM map'!"&amp;ADDRESS(ROW()+2,COLUMN('NVRAM map'!AG:AG))))),"__","_")</f>
        <v>EE_B1_2_B1_2</v>
      </c>
      <c r="B181" s="100" t="str">
        <f ca="1">IF(OR(INDIRECT("'NVRAM map'!"&amp;ADDRESS(ROW()+2,COLUMN('NVRAM map'!D:D)))="-",A181="_"),"x","")</f>
        <v/>
      </c>
      <c r="C181" s="100" t="str">
        <f ca="1">IF(B181="x","FIXED",INDIRECT("'NVRAM map'!"&amp;ADDRESS(ROW()+2,COLUMN('NVRAM map'!I:I))))</f>
        <v>TRIMMED</v>
      </c>
      <c r="D181" s="100">
        <f ca="1">IF(C181="FIXED","",INDIRECT("'NVRAM map'!"&amp;ADDRESS(ROW()+2,COLUMN('NVRAM map'!K:K))))</f>
        <v>-32768</v>
      </c>
      <c r="E181" s="100">
        <f ca="1">IF(C181="FIXED","",INDIRECT("'NVRAM map'!"&amp;ADDRESS(ROW()+2,COLUMN('NVRAM map'!L:L))))</f>
        <v>32767</v>
      </c>
      <c r="F181" s="100" t="str">
        <f ca="1">IF(C181="FIXED",INDIRECT("'NVRAM map'!"&amp;ADDRESS(ROW()+2,COLUMN('NVRAM map'!AM:AM))),"")</f>
        <v/>
      </c>
      <c r="G181" s="99"/>
    </row>
    <row r="182" spans="1:7">
      <c r="A182" s="99" t="str">
        <f ca="1">SUBSTITUTE(UPPER(IF(INDIRECT("'NVRAM map'!"&amp;ADDRESS(ROW()+2,COLUMN('NVRAM map'!AG:AG)))="-",INDIRECT("'NVRAM map'!"&amp;ADDRESS(ROW()+2,COLUMN('NVRAM map'!AS:AS))),INDIRECT("'NVRAM map'!"&amp;ADDRESS(ROW()+2,COLUMN('NVRAM map'!AS:AS)))&amp;"_"&amp;INDIRECT("'NVRAM map'!"&amp;ADDRESS(ROW()+2,COLUMN('NVRAM map'!AG:AG))))),"__","_")</f>
        <v>EE_B2_2</v>
      </c>
      <c r="B182" s="100" t="str">
        <f ca="1">IF(OR(INDIRECT("'NVRAM map'!"&amp;ADDRESS(ROW()+2,COLUMN('NVRAM map'!D:D)))="-",A182="_"),"x","")</f>
        <v>x</v>
      </c>
      <c r="C182" s="100" t="str">
        <f ca="1">IF(B182="x","FIXED",INDIRECT("'NVRAM map'!"&amp;ADDRESS(ROW()+2,COLUMN('NVRAM map'!I:I))))</f>
        <v>FIXED</v>
      </c>
      <c r="D182" s="100" t="str">
        <f ca="1">IF(C182="FIXED","",INDIRECT("'NVRAM map'!"&amp;ADDRESS(ROW()+2,COLUMN('NVRAM map'!K:K))))</f>
        <v/>
      </c>
      <c r="E182" s="100" t="str">
        <f ca="1">IF(C182="FIXED","",INDIRECT("'NVRAM map'!"&amp;ADDRESS(ROW()+2,COLUMN('NVRAM map'!L:L))))</f>
        <v/>
      </c>
      <c r="F182" s="100">
        <f ca="1">IF(C182="FIXED",INDIRECT("'NVRAM map'!"&amp;ADDRESS(ROW()+2,COLUMN('NVRAM map'!AM:AM))),"")</f>
        <v>0</v>
      </c>
      <c r="G182" s="99"/>
    </row>
    <row r="183" spans="1:7">
      <c r="A183" s="99" t="str">
        <f ca="1">SUBSTITUTE(UPPER(IF(INDIRECT("'NVRAM map'!"&amp;ADDRESS(ROW()+2,COLUMN('NVRAM map'!AG:AG)))="-",INDIRECT("'NVRAM map'!"&amp;ADDRESS(ROW()+2,COLUMN('NVRAM map'!AS:AS))),INDIRECT("'NVRAM map'!"&amp;ADDRESS(ROW()+2,COLUMN('NVRAM map'!AS:AS)))&amp;"_"&amp;INDIRECT("'NVRAM map'!"&amp;ADDRESS(ROW()+2,COLUMN('NVRAM map'!AG:AG))))),"__","_")</f>
        <v>EE_B2_2_B2_2</v>
      </c>
      <c r="B183" s="100" t="str">
        <f ca="1">IF(OR(INDIRECT("'NVRAM map'!"&amp;ADDRESS(ROW()+2,COLUMN('NVRAM map'!D:D)))="-",A183="_"),"x","")</f>
        <v/>
      </c>
      <c r="C183" s="100" t="str">
        <f ca="1">IF(B183="x","FIXED",INDIRECT("'NVRAM map'!"&amp;ADDRESS(ROW()+2,COLUMN('NVRAM map'!I:I))))</f>
        <v>TRIMMED</v>
      </c>
      <c r="D183" s="100">
        <f ca="1">IF(C183="FIXED","",INDIRECT("'NVRAM map'!"&amp;ADDRESS(ROW()+2,COLUMN('NVRAM map'!K:K))))</f>
        <v>-32768</v>
      </c>
      <c r="E183" s="100">
        <f ca="1">IF(C183="FIXED","",INDIRECT("'NVRAM map'!"&amp;ADDRESS(ROW()+2,COLUMN('NVRAM map'!L:L))))</f>
        <v>32767</v>
      </c>
      <c r="F183" s="100" t="str">
        <f ca="1">IF(C183="FIXED",INDIRECT("'NVRAM map'!"&amp;ADDRESS(ROW()+2,COLUMN('NVRAM map'!AM:AM))),"")</f>
        <v/>
      </c>
      <c r="G183" s="99"/>
    </row>
    <row r="184" spans="1:7">
      <c r="A184" s="99" t="str">
        <f ca="1">SUBSTITUTE(UPPER(IF(INDIRECT("'NVRAM map'!"&amp;ADDRESS(ROW()+2,COLUMN('NVRAM map'!AG:AG)))="-",INDIRECT("'NVRAM map'!"&amp;ADDRESS(ROW()+2,COLUMN('NVRAM map'!AS:AS))),INDIRECT("'NVRAM map'!"&amp;ADDRESS(ROW()+2,COLUMN('NVRAM map'!AS:AS)))&amp;"_"&amp;INDIRECT("'NVRAM map'!"&amp;ADDRESS(ROW()+2,COLUMN('NVRAM map'!AG:AG))))),"__","_")</f>
        <v>EE_B3_2</v>
      </c>
      <c r="B184" s="100" t="str">
        <f ca="1">IF(OR(INDIRECT("'NVRAM map'!"&amp;ADDRESS(ROW()+2,COLUMN('NVRAM map'!D:D)))="-",A184="_"),"x","")</f>
        <v>x</v>
      </c>
      <c r="C184" s="100" t="str">
        <f ca="1">IF(B184="x","FIXED",INDIRECT("'NVRAM map'!"&amp;ADDRESS(ROW()+2,COLUMN('NVRAM map'!I:I))))</f>
        <v>FIXED</v>
      </c>
      <c r="D184" s="100" t="str">
        <f ca="1">IF(C184="FIXED","",INDIRECT("'NVRAM map'!"&amp;ADDRESS(ROW()+2,COLUMN('NVRAM map'!K:K))))</f>
        <v/>
      </c>
      <c r="E184" s="100" t="str">
        <f ca="1">IF(C184="FIXED","",INDIRECT("'NVRAM map'!"&amp;ADDRESS(ROW()+2,COLUMN('NVRAM map'!L:L))))</f>
        <v/>
      </c>
      <c r="F184" s="100">
        <f ca="1">IF(C184="FIXED",INDIRECT("'NVRAM map'!"&amp;ADDRESS(ROW()+2,COLUMN('NVRAM map'!AM:AM))),"")</f>
        <v>0</v>
      </c>
      <c r="G184" s="99"/>
    </row>
    <row r="185" spans="1:7">
      <c r="A185" s="99" t="str">
        <f ca="1">SUBSTITUTE(UPPER(IF(INDIRECT("'NVRAM map'!"&amp;ADDRESS(ROW()+2,COLUMN('NVRAM map'!AG:AG)))="-",INDIRECT("'NVRAM map'!"&amp;ADDRESS(ROW()+2,COLUMN('NVRAM map'!AS:AS))),INDIRECT("'NVRAM map'!"&amp;ADDRESS(ROW()+2,COLUMN('NVRAM map'!AS:AS)))&amp;"_"&amp;INDIRECT("'NVRAM map'!"&amp;ADDRESS(ROW()+2,COLUMN('NVRAM map'!AG:AG))))),"__","_")</f>
        <v>EE_B3_2_B3_2</v>
      </c>
      <c r="B185" s="100" t="str">
        <f ca="1">IF(OR(INDIRECT("'NVRAM map'!"&amp;ADDRESS(ROW()+2,COLUMN('NVRAM map'!D:D)))="-",A185="_"),"x","")</f>
        <v/>
      </c>
      <c r="C185" s="100" t="str">
        <f ca="1">IF(B185="x","FIXED",INDIRECT("'NVRAM map'!"&amp;ADDRESS(ROW()+2,COLUMN('NVRAM map'!I:I))))</f>
        <v>TRIMMED</v>
      </c>
      <c r="D185" s="100">
        <f ca="1">IF(C185="FIXED","",INDIRECT("'NVRAM map'!"&amp;ADDRESS(ROW()+2,COLUMN('NVRAM map'!K:K))))</f>
        <v>-32768</v>
      </c>
      <c r="E185" s="100">
        <f ca="1">IF(C185="FIXED","",INDIRECT("'NVRAM map'!"&amp;ADDRESS(ROW()+2,COLUMN('NVRAM map'!L:L))))</f>
        <v>32767</v>
      </c>
      <c r="F185" s="100" t="str">
        <f ca="1">IF(C185="FIXED",INDIRECT("'NVRAM map'!"&amp;ADDRESS(ROW()+2,COLUMN('NVRAM map'!AM:AM))),"")</f>
        <v/>
      </c>
      <c r="G185" s="99"/>
    </row>
    <row r="186" spans="1:7">
      <c r="A186" s="99" t="str">
        <f ca="1">SUBSTITUTE(UPPER(IF(INDIRECT("'NVRAM map'!"&amp;ADDRESS(ROW()+2,COLUMN('NVRAM map'!AG:AG)))="-",INDIRECT("'NVRAM map'!"&amp;ADDRESS(ROW()+2,COLUMN('NVRAM map'!AS:AS))),INDIRECT("'NVRAM map'!"&amp;ADDRESS(ROW()+2,COLUMN('NVRAM map'!AS:AS)))&amp;"_"&amp;INDIRECT("'NVRAM map'!"&amp;ADDRESS(ROW()+2,COLUMN('NVRAM map'!AG:AG))))),"__","_")</f>
        <v>EE_C0_2</v>
      </c>
      <c r="B186" s="100" t="str">
        <f ca="1">IF(OR(INDIRECT("'NVRAM map'!"&amp;ADDRESS(ROW()+2,COLUMN('NVRAM map'!D:D)))="-",A186="_"),"x","")</f>
        <v>x</v>
      </c>
      <c r="C186" s="100" t="str">
        <f ca="1">IF(B186="x","FIXED",INDIRECT("'NVRAM map'!"&amp;ADDRESS(ROW()+2,COLUMN('NVRAM map'!I:I))))</f>
        <v>FIXED</v>
      </c>
      <c r="D186" s="100" t="str">
        <f ca="1">IF(C186="FIXED","",INDIRECT("'NVRAM map'!"&amp;ADDRESS(ROW()+2,COLUMN('NVRAM map'!K:K))))</f>
        <v/>
      </c>
      <c r="E186" s="100" t="str">
        <f ca="1">IF(C186="FIXED","",INDIRECT("'NVRAM map'!"&amp;ADDRESS(ROW()+2,COLUMN('NVRAM map'!L:L))))</f>
        <v/>
      </c>
      <c r="F186" s="100">
        <f ca="1">IF(C186="FIXED",INDIRECT("'NVRAM map'!"&amp;ADDRESS(ROW()+2,COLUMN('NVRAM map'!AM:AM))),"")</f>
        <v>0</v>
      </c>
      <c r="G186" s="99"/>
    </row>
    <row r="187" spans="1:7">
      <c r="A187" s="99" t="str">
        <f ca="1">SUBSTITUTE(UPPER(IF(INDIRECT("'NVRAM map'!"&amp;ADDRESS(ROW()+2,COLUMN('NVRAM map'!AG:AG)))="-",INDIRECT("'NVRAM map'!"&amp;ADDRESS(ROW()+2,COLUMN('NVRAM map'!AS:AS))),INDIRECT("'NVRAM map'!"&amp;ADDRESS(ROW()+2,COLUMN('NVRAM map'!AS:AS)))&amp;"_"&amp;INDIRECT("'NVRAM map'!"&amp;ADDRESS(ROW()+2,COLUMN('NVRAM map'!AG:AG))))),"__","_")</f>
        <v>EE_C0_2_C0_2</v>
      </c>
      <c r="B187" s="100" t="str">
        <f ca="1">IF(OR(INDIRECT("'NVRAM map'!"&amp;ADDRESS(ROW()+2,COLUMN('NVRAM map'!D:D)))="-",A187="_"),"x","")</f>
        <v/>
      </c>
      <c r="C187" s="100" t="str">
        <f ca="1">IF(B187="x","FIXED",INDIRECT("'NVRAM map'!"&amp;ADDRESS(ROW()+2,COLUMN('NVRAM map'!I:I))))</f>
        <v>TRIMMED</v>
      </c>
      <c r="D187" s="100">
        <f ca="1">IF(C187="FIXED","",INDIRECT("'NVRAM map'!"&amp;ADDRESS(ROW()+2,COLUMN('NVRAM map'!K:K))))</f>
        <v>-32768</v>
      </c>
      <c r="E187" s="100">
        <f ca="1">IF(C187="FIXED","",INDIRECT("'NVRAM map'!"&amp;ADDRESS(ROW()+2,COLUMN('NVRAM map'!L:L))))</f>
        <v>32767</v>
      </c>
      <c r="F187" s="100" t="str">
        <f ca="1">IF(C187="FIXED",INDIRECT("'NVRAM map'!"&amp;ADDRESS(ROW()+2,COLUMN('NVRAM map'!AM:AM))),"")</f>
        <v/>
      </c>
      <c r="G187" s="99"/>
    </row>
    <row r="188" spans="1:7">
      <c r="A188" s="99" t="str">
        <f ca="1">SUBSTITUTE(UPPER(IF(INDIRECT("'NVRAM map'!"&amp;ADDRESS(ROW()+2,COLUMN('NVRAM map'!AG:AG)))="-",INDIRECT("'NVRAM map'!"&amp;ADDRESS(ROW()+2,COLUMN('NVRAM map'!AS:AS))),INDIRECT("'NVRAM map'!"&amp;ADDRESS(ROW()+2,COLUMN('NVRAM map'!AS:AS)))&amp;"_"&amp;INDIRECT("'NVRAM map'!"&amp;ADDRESS(ROW()+2,COLUMN('NVRAM map'!AG:AG))))),"__","_")</f>
        <v>EE_C1_2</v>
      </c>
      <c r="B188" s="100" t="str">
        <f ca="1">IF(OR(INDIRECT("'NVRAM map'!"&amp;ADDRESS(ROW()+2,COLUMN('NVRAM map'!D:D)))="-",A188="_"),"x","")</f>
        <v>x</v>
      </c>
      <c r="C188" s="100" t="str">
        <f ca="1">IF(B188="x","FIXED",INDIRECT("'NVRAM map'!"&amp;ADDRESS(ROW()+2,COLUMN('NVRAM map'!I:I))))</f>
        <v>FIXED</v>
      </c>
      <c r="D188" s="100" t="str">
        <f ca="1">IF(C188="FIXED","",INDIRECT("'NVRAM map'!"&amp;ADDRESS(ROW()+2,COLUMN('NVRAM map'!K:K))))</f>
        <v/>
      </c>
      <c r="E188" s="100" t="str">
        <f ca="1">IF(C188="FIXED","",INDIRECT("'NVRAM map'!"&amp;ADDRESS(ROW()+2,COLUMN('NVRAM map'!L:L))))</f>
        <v/>
      </c>
      <c r="F188" s="100">
        <f ca="1">IF(C188="FIXED",INDIRECT("'NVRAM map'!"&amp;ADDRESS(ROW()+2,COLUMN('NVRAM map'!AM:AM))),"")</f>
        <v>0</v>
      </c>
      <c r="G188" s="99"/>
    </row>
    <row r="189" spans="1:7">
      <c r="A189" s="99" t="str">
        <f ca="1">SUBSTITUTE(UPPER(IF(INDIRECT("'NVRAM map'!"&amp;ADDRESS(ROW()+2,COLUMN('NVRAM map'!AG:AG)))="-",INDIRECT("'NVRAM map'!"&amp;ADDRESS(ROW()+2,COLUMN('NVRAM map'!AS:AS))),INDIRECT("'NVRAM map'!"&amp;ADDRESS(ROW()+2,COLUMN('NVRAM map'!AS:AS)))&amp;"_"&amp;INDIRECT("'NVRAM map'!"&amp;ADDRESS(ROW()+2,COLUMN('NVRAM map'!AG:AG))))),"__","_")</f>
        <v>EE_C1_2_C1_2</v>
      </c>
      <c r="B189" s="100" t="str">
        <f ca="1">IF(OR(INDIRECT("'NVRAM map'!"&amp;ADDRESS(ROW()+2,COLUMN('NVRAM map'!D:D)))="-",A189="_"),"x","")</f>
        <v/>
      </c>
      <c r="C189" s="100" t="str">
        <f ca="1">IF(B189="x","FIXED",INDIRECT("'NVRAM map'!"&amp;ADDRESS(ROW()+2,COLUMN('NVRAM map'!I:I))))</f>
        <v>TRIMMED</v>
      </c>
      <c r="D189" s="100">
        <f ca="1">IF(C189="FIXED","",INDIRECT("'NVRAM map'!"&amp;ADDRESS(ROW()+2,COLUMN('NVRAM map'!K:K))))</f>
        <v>-32768</v>
      </c>
      <c r="E189" s="100">
        <f ca="1">IF(C189="FIXED","",INDIRECT("'NVRAM map'!"&amp;ADDRESS(ROW()+2,COLUMN('NVRAM map'!L:L))))</f>
        <v>32767</v>
      </c>
      <c r="F189" s="100" t="str">
        <f ca="1">IF(C189="FIXED",INDIRECT("'NVRAM map'!"&amp;ADDRESS(ROW()+2,COLUMN('NVRAM map'!AM:AM))),"")</f>
        <v/>
      </c>
      <c r="G189" s="99"/>
    </row>
    <row r="190" spans="1:7">
      <c r="A190" s="99" t="str">
        <f ca="1">SUBSTITUTE(UPPER(IF(INDIRECT("'NVRAM map'!"&amp;ADDRESS(ROW()+2,COLUMN('NVRAM map'!AG:AG)))="-",INDIRECT("'NVRAM map'!"&amp;ADDRESS(ROW()+2,COLUMN('NVRAM map'!AS:AS))),INDIRECT("'NVRAM map'!"&amp;ADDRESS(ROW()+2,COLUMN('NVRAM map'!AS:AS)))&amp;"_"&amp;INDIRECT("'NVRAM map'!"&amp;ADDRESS(ROW()+2,COLUMN('NVRAM map'!AG:AG))))),"__","_")</f>
        <v>EE_N0</v>
      </c>
      <c r="B190" s="100" t="str">
        <f ca="1">IF(OR(INDIRECT("'NVRAM map'!"&amp;ADDRESS(ROW()+2,COLUMN('NVRAM map'!D:D)))="-",A190="_"),"x","")</f>
        <v>x</v>
      </c>
      <c r="C190" s="100" t="str">
        <f ca="1">IF(B190="x","FIXED",INDIRECT("'NVRAM map'!"&amp;ADDRESS(ROW()+2,COLUMN('NVRAM map'!I:I))))</f>
        <v>FIXED</v>
      </c>
      <c r="D190" s="100" t="str">
        <f ca="1">IF(C190="FIXED","",INDIRECT("'NVRAM map'!"&amp;ADDRESS(ROW()+2,COLUMN('NVRAM map'!K:K))))</f>
        <v/>
      </c>
      <c r="E190" s="100" t="str">
        <f ca="1">IF(C190="FIXED","",INDIRECT("'NVRAM map'!"&amp;ADDRESS(ROW()+2,COLUMN('NVRAM map'!L:L))))</f>
        <v/>
      </c>
      <c r="F190" s="100">
        <f ca="1">IF(C190="FIXED",INDIRECT("'NVRAM map'!"&amp;ADDRESS(ROW()+2,COLUMN('NVRAM map'!AM:AM))),"")</f>
        <v>0</v>
      </c>
      <c r="G190" s="99"/>
    </row>
    <row r="191" spans="1:7">
      <c r="A191" s="99" t="str">
        <f ca="1">SUBSTITUTE(UPPER(IF(INDIRECT("'NVRAM map'!"&amp;ADDRESS(ROW()+2,COLUMN('NVRAM map'!AG:AG)))="-",INDIRECT("'NVRAM map'!"&amp;ADDRESS(ROW()+2,COLUMN('NVRAM map'!AS:AS))),INDIRECT("'NVRAM map'!"&amp;ADDRESS(ROW()+2,COLUMN('NVRAM map'!AS:AS)))&amp;"_"&amp;INDIRECT("'NVRAM map'!"&amp;ADDRESS(ROW()+2,COLUMN('NVRAM map'!AG:AG))))),"__","_")</f>
        <v>EE_N0_N0</v>
      </c>
      <c r="B191" s="100" t="str">
        <f ca="1">IF(OR(INDIRECT("'NVRAM map'!"&amp;ADDRESS(ROW()+2,COLUMN('NVRAM map'!D:D)))="-",A191="_"),"x","")</f>
        <v/>
      </c>
      <c r="C191" s="100" t="str">
        <f ca="1">IF(B191="x","FIXED",INDIRECT("'NVRAM map'!"&amp;ADDRESS(ROW()+2,COLUMN('NVRAM map'!I:I))))</f>
        <v>TRIMMED</v>
      </c>
      <c r="D191" s="100">
        <f ca="1">IF(C191="FIXED","",INDIRECT("'NVRAM map'!"&amp;ADDRESS(ROW()+2,COLUMN('NVRAM map'!K:K))))</f>
        <v>-32768</v>
      </c>
      <c r="E191" s="100">
        <f ca="1">IF(C191="FIXED","",INDIRECT("'NVRAM map'!"&amp;ADDRESS(ROW()+2,COLUMN('NVRAM map'!L:L))))</f>
        <v>32767</v>
      </c>
      <c r="F191" s="100" t="str">
        <f ca="1">IF(C191="FIXED",INDIRECT("'NVRAM map'!"&amp;ADDRESS(ROW()+2,COLUMN('NVRAM map'!AM:AM))),"")</f>
        <v/>
      </c>
      <c r="G191" s="99"/>
    </row>
    <row r="192" spans="1:7">
      <c r="A192" s="99" t="str">
        <f ca="1">SUBSTITUTE(UPPER(IF(INDIRECT("'NVRAM map'!"&amp;ADDRESS(ROW()+2,COLUMN('NVRAM map'!AG:AG)))="-",INDIRECT("'NVRAM map'!"&amp;ADDRESS(ROW()+2,COLUMN('NVRAM map'!AS:AS))),INDIRECT("'NVRAM map'!"&amp;ADDRESS(ROW()+2,COLUMN('NVRAM map'!AS:AS)))&amp;"_"&amp;INDIRECT("'NVRAM map'!"&amp;ADDRESS(ROW()+2,COLUMN('NVRAM map'!AG:AG))))),"__","_")</f>
        <v>EE_N1</v>
      </c>
      <c r="B192" s="100" t="str">
        <f ca="1">IF(OR(INDIRECT("'NVRAM map'!"&amp;ADDRESS(ROW()+2,COLUMN('NVRAM map'!D:D)))="-",A192="_"),"x","")</f>
        <v>x</v>
      </c>
      <c r="C192" s="100" t="str">
        <f ca="1">IF(B192="x","FIXED",INDIRECT("'NVRAM map'!"&amp;ADDRESS(ROW()+2,COLUMN('NVRAM map'!I:I))))</f>
        <v>FIXED</v>
      </c>
      <c r="D192" s="100" t="str">
        <f ca="1">IF(C192="FIXED","",INDIRECT("'NVRAM map'!"&amp;ADDRESS(ROW()+2,COLUMN('NVRAM map'!K:K))))</f>
        <v/>
      </c>
      <c r="E192" s="100" t="str">
        <f ca="1">IF(C192="FIXED","",INDIRECT("'NVRAM map'!"&amp;ADDRESS(ROW()+2,COLUMN('NVRAM map'!L:L))))</f>
        <v/>
      </c>
      <c r="F192" s="100">
        <f ca="1">IF(C192="FIXED",INDIRECT("'NVRAM map'!"&amp;ADDRESS(ROW()+2,COLUMN('NVRAM map'!AM:AM))),"")</f>
        <v>0</v>
      </c>
      <c r="G192" s="99"/>
    </row>
    <row r="193" spans="1:7">
      <c r="A193" s="99" t="str">
        <f ca="1">SUBSTITUTE(UPPER(IF(INDIRECT("'NVRAM map'!"&amp;ADDRESS(ROW()+2,COLUMN('NVRAM map'!AG:AG)))="-",INDIRECT("'NVRAM map'!"&amp;ADDRESS(ROW()+2,COLUMN('NVRAM map'!AS:AS))),INDIRECT("'NVRAM map'!"&amp;ADDRESS(ROW()+2,COLUMN('NVRAM map'!AS:AS)))&amp;"_"&amp;INDIRECT("'NVRAM map'!"&amp;ADDRESS(ROW()+2,COLUMN('NVRAM map'!AG:AG))))),"__","_")</f>
        <v>EE_N1_N1</v>
      </c>
      <c r="B193" s="100" t="str">
        <f ca="1">IF(OR(INDIRECT("'NVRAM map'!"&amp;ADDRESS(ROW()+2,COLUMN('NVRAM map'!D:D)))="-",A193="_"),"x","")</f>
        <v/>
      </c>
      <c r="C193" s="100" t="str">
        <f ca="1">IF(B193="x","FIXED",INDIRECT("'NVRAM map'!"&amp;ADDRESS(ROW()+2,COLUMN('NVRAM map'!I:I))))</f>
        <v>TRIMMED</v>
      </c>
      <c r="D193" s="100">
        <f ca="1">IF(C193="FIXED","",INDIRECT("'NVRAM map'!"&amp;ADDRESS(ROW()+2,COLUMN('NVRAM map'!K:K))))</f>
        <v>-32768</v>
      </c>
      <c r="E193" s="100">
        <f ca="1">IF(C193="FIXED","",INDIRECT("'NVRAM map'!"&amp;ADDRESS(ROW()+2,COLUMN('NVRAM map'!L:L))))</f>
        <v>32767</v>
      </c>
      <c r="F193" s="100" t="str">
        <f ca="1">IF(C193="FIXED",INDIRECT("'NVRAM map'!"&amp;ADDRESS(ROW()+2,COLUMN('NVRAM map'!AM:AM))),"")</f>
        <v/>
      </c>
      <c r="G193" s="99"/>
    </row>
    <row r="194" spans="1:7">
      <c r="A194" s="99" t="str">
        <f ca="1">SUBSTITUTE(UPPER(IF(INDIRECT("'NVRAM map'!"&amp;ADDRESS(ROW()+2,COLUMN('NVRAM map'!AG:AG)))="-",INDIRECT("'NVRAM map'!"&amp;ADDRESS(ROW()+2,COLUMN('NVRAM map'!AS:AS))),INDIRECT("'NVRAM map'!"&amp;ADDRESS(ROW()+2,COLUMN('NVRAM map'!AS:AS)))&amp;"_"&amp;INDIRECT("'NVRAM map'!"&amp;ADDRESS(ROW()+2,COLUMN('NVRAM map'!AG:AG))))),"__","_")</f>
        <v>EE_N2</v>
      </c>
      <c r="B194" s="100" t="str">
        <f ca="1">IF(OR(INDIRECT("'NVRAM map'!"&amp;ADDRESS(ROW()+2,COLUMN('NVRAM map'!D:D)))="-",A194="_"),"x","")</f>
        <v>x</v>
      </c>
      <c r="C194" s="100" t="str">
        <f ca="1">IF(B194="x","FIXED",INDIRECT("'NVRAM map'!"&amp;ADDRESS(ROW()+2,COLUMN('NVRAM map'!I:I))))</f>
        <v>FIXED</v>
      </c>
      <c r="D194" s="100" t="str">
        <f ca="1">IF(C194="FIXED","",INDIRECT("'NVRAM map'!"&amp;ADDRESS(ROW()+2,COLUMN('NVRAM map'!K:K))))</f>
        <v/>
      </c>
      <c r="E194" s="100" t="str">
        <f ca="1">IF(C194="FIXED","",INDIRECT("'NVRAM map'!"&amp;ADDRESS(ROW()+2,COLUMN('NVRAM map'!L:L))))</f>
        <v/>
      </c>
      <c r="F194" s="100">
        <f ca="1">IF(C194="FIXED",INDIRECT("'NVRAM map'!"&amp;ADDRESS(ROW()+2,COLUMN('NVRAM map'!AM:AM))),"")</f>
        <v>0</v>
      </c>
      <c r="G194" s="99"/>
    </row>
    <row r="195" spans="1:7">
      <c r="A195" s="99" t="str">
        <f ca="1">SUBSTITUTE(UPPER(IF(INDIRECT("'NVRAM map'!"&amp;ADDRESS(ROW()+2,COLUMN('NVRAM map'!AG:AG)))="-",INDIRECT("'NVRAM map'!"&amp;ADDRESS(ROW()+2,COLUMN('NVRAM map'!AS:AS))),INDIRECT("'NVRAM map'!"&amp;ADDRESS(ROW()+2,COLUMN('NVRAM map'!AS:AS)))&amp;"_"&amp;INDIRECT("'NVRAM map'!"&amp;ADDRESS(ROW()+2,COLUMN('NVRAM map'!AG:AG))))),"__","_")</f>
        <v>EE_N2_N2</v>
      </c>
      <c r="B195" s="100" t="str">
        <f ca="1">IF(OR(INDIRECT("'NVRAM map'!"&amp;ADDRESS(ROW()+2,COLUMN('NVRAM map'!D:D)))="-",A195="_"),"x","")</f>
        <v/>
      </c>
      <c r="C195" s="100" t="str">
        <f ca="1">IF(B195="x","FIXED",INDIRECT("'NVRAM map'!"&amp;ADDRESS(ROW()+2,COLUMN('NVRAM map'!I:I))))</f>
        <v>TRIMMED</v>
      </c>
      <c r="D195" s="100">
        <f ca="1">IF(C195="FIXED","",INDIRECT("'NVRAM map'!"&amp;ADDRESS(ROW()+2,COLUMN('NVRAM map'!K:K))))</f>
        <v>-32768</v>
      </c>
      <c r="E195" s="100">
        <f ca="1">IF(C195="FIXED","",INDIRECT("'NVRAM map'!"&amp;ADDRESS(ROW()+2,COLUMN('NVRAM map'!L:L))))</f>
        <v>32767</v>
      </c>
      <c r="F195" s="100" t="str">
        <f ca="1">IF(C195="FIXED",INDIRECT("'NVRAM map'!"&amp;ADDRESS(ROW()+2,COLUMN('NVRAM map'!AM:AM))),"")</f>
        <v/>
      </c>
      <c r="G195" s="99"/>
    </row>
    <row r="196" spans="1:7">
      <c r="A196" s="99" t="str">
        <f ca="1">SUBSTITUTE(UPPER(IF(INDIRECT("'NVRAM map'!"&amp;ADDRESS(ROW()+2,COLUMN('NVRAM map'!AG:AG)))="-",INDIRECT("'NVRAM map'!"&amp;ADDRESS(ROW()+2,COLUMN('NVRAM map'!AS:AS))),INDIRECT("'NVRAM map'!"&amp;ADDRESS(ROW()+2,COLUMN('NVRAM map'!AS:AS)))&amp;"_"&amp;INDIRECT("'NVRAM map'!"&amp;ADDRESS(ROW()+2,COLUMN('NVRAM map'!AG:AG))))),"__","_")</f>
        <v>EE_N3</v>
      </c>
      <c r="B196" s="100" t="str">
        <f ca="1">IF(OR(INDIRECT("'NVRAM map'!"&amp;ADDRESS(ROW()+2,COLUMN('NVRAM map'!D:D)))="-",A196="_"),"x","")</f>
        <v>x</v>
      </c>
      <c r="C196" s="100" t="str">
        <f ca="1">IF(B196="x","FIXED",INDIRECT("'NVRAM map'!"&amp;ADDRESS(ROW()+2,COLUMN('NVRAM map'!I:I))))</f>
        <v>FIXED</v>
      </c>
      <c r="D196" s="100" t="str">
        <f ca="1">IF(C196="FIXED","",INDIRECT("'NVRAM map'!"&amp;ADDRESS(ROW()+2,COLUMN('NVRAM map'!K:K))))</f>
        <v/>
      </c>
      <c r="E196" s="100" t="str">
        <f ca="1">IF(C196="FIXED","",INDIRECT("'NVRAM map'!"&amp;ADDRESS(ROW()+2,COLUMN('NVRAM map'!L:L))))</f>
        <v/>
      </c>
      <c r="F196" s="100">
        <f ca="1">IF(C196="FIXED",INDIRECT("'NVRAM map'!"&amp;ADDRESS(ROW()+2,COLUMN('NVRAM map'!AM:AM))),"")</f>
        <v>0</v>
      </c>
      <c r="G196" s="99"/>
    </row>
    <row r="197" spans="1:7">
      <c r="A197" s="99" t="str">
        <f ca="1">SUBSTITUTE(UPPER(IF(INDIRECT("'NVRAM map'!"&amp;ADDRESS(ROW()+2,COLUMN('NVRAM map'!AG:AG)))="-",INDIRECT("'NVRAM map'!"&amp;ADDRESS(ROW()+2,COLUMN('NVRAM map'!AS:AS))),INDIRECT("'NVRAM map'!"&amp;ADDRESS(ROW()+2,COLUMN('NVRAM map'!AS:AS)))&amp;"_"&amp;INDIRECT("'NVRAM map'!"&amp;ADDRESS(ROW()+2,COLUMN('NVRAM map'!AG:AG))))),"__","_")</f>
        <v>EE_N3_N3</v>
      </c>
      <c r="B197" s="100" t="str">
        <f ca="1">IF(OR(INDIRECT("'NVRAM map'!"&amp;ADDRESS(ROW()+2,COLUMN('NVRAM map'!D:D)))="-",A197="_"),"x","")</f>
        <v/>
      </c>
      <c r="C197" s="100" t="str">
        <f ca="1">IF(B197="x","FIXED",INDIRECT("'NVRAM map'!"&amp;ADDRESS(ROW()+2,COLUMN('NVRAM map'!I:I))))</f>
        <v>TRIMMED</v>
      </c>
      <c r="D197" s="100">
        <f ca="1">IF(C197="FIXED","",INDIRECT("'NVRAM map'!"&amp;ADDRESS(ROW()+2,COLUMN('NVRAM map'!K:K))))</f>
        <v>-32768</v>
      </c>
      <c r="E197" s="100">
        <f ca="1">IF(C197="FIXED","",INDIRECT("'NVRAM map'!"&amp;ADDRESS(ROW()+2,COLUMN('NVRAM map'!L:L))))</f>
        <v>32767</v>
      </c>
      <c r="F197" s="100" t="str">
        <f ca="1">IF(C197="FIXED",INDIRECT("'NVRAM map'!"&amp;ADDRESS(ROW()+2,COLUMN('NVRAM map'!AM:AM))),"")</f>
        <v/>
      </c>
      <c r="G197" s="99"/>
    </row>
    <row r="198" spans="1:7">
      <c r="A198" s="99" t="str">
        <f ca="1">SUBSTITUTE(UPPER(IF(INDIRECT("'NVRAM map'!"&amp;ADDRESS(ROW()+2,COLUMN('NVRAM map'!AG:AG)))="-",INDIRECT("'NVRAM map'!"&amp;ADDRESS(ROW()+2,COLUMN('NVRAM map'!AS:AS))),INDIRECT("'NVRAM map'!"&amp;ADDRESS(ROW()+2,COLUMN('NVRAM map'!AS:AS)))&amp;"_"&amp;INDIRECT("'NVRAM map'!"&amp;ADDRESS(ROW()+2,COLUMN('NVRAM map'!AG:AG))))),"__","_")</f>
        <v>EE_SHA</v>
      </c>
      <c r="B198" s="100" t="str">
        <f ca="1">IF(OR(INDIRECT("'NVRAM map'!"&amp;ADDRESS(ROW()+2,COLUMN('NVRAM map'!D:D)))="-",A198="_"),"x","")</f>
        <v>x</v>
      </c>
      <c r="C198" s="100" t="str">
        <f ca="1">IF(B198="x","FIXED",INDIRECT("'NVRAM map'!"&amp;ADDRESS(ROW()+2,COLUMN('NVRAM map'!I:I))))</f>
        <v>FIXED</v>
      </c>
      <c r="D198" s="100" t="str">
        <f ca="1">IF(C198="FIXED","",INDIRECT("'NVRAM map'!"&amp;ADDRESS(ROW()+2,COLUMN('NVRAM map'!K:K))))</f>
        <v/>
      </c>
      <c r="E198" s="100" t="str">
        <f ca="1">IF(C198="FIXED","",INDIRECT("'NVRAM map'!"&amp;ADDRESS(ROW()+2,COLUMN('NVRAM map'!L:L))))</f>
        <v/>
      </c>
      <c r="F198" s="100">
        <f ca="1">IF(C198="FIXED",INDIRECT("'NVRAM map'!"&amp;ADDRESS(ROW()+2,COLUMN('NVRAM map'!AM:AM))),"")</f>
        <v>0</v>
      </c>
      <c r="G198" s="99"/>
    </row>
    <row r="199" spans="1:7">
      <c r="A199" s="99" t="str">
        <f ca="1">SUBSTITUTE(UPPER(IF(INDIRECT("'NVRAM map'!"&amp;ADDRESS(ROW()+2,COLUMN('NVRAM map'!AG:AG)))="-",INDIRECT("'NVRAM map'!"&amp;ADDRESS(ROW()+2,COLUMN('NVRAM map'!AS:AS))),INDIRECT("'NVRAM map'!"&amp;ADDRESS(ROW()+2,COLUMN('NVRAM map'!AS:AS)))&amp;"_"&amp;INDIRECT("'NVRAM map'!"&amp;ADDRESS(ROW()+2,COLUMN('NVRAM map'!AG:AG))))),"__","_")</f>
        <v>EE_SHA_SHA</v>
      </c>
      <c r="B199" s="100" t="str">
        <f ca="1">IF(OR(INDIRECT("'NVRAM map'!"&amp;ADDRESS(ROW()+2,COLUMN('NVRAM map'!D:D)))="-",A199="_"),"x","")</f>
        <v/>
      </c>
      <c r="C199" s="100" t="str">
        <f ca="1">IF(B199="x","FIXED",INDIRECT("'NVRAM map'!"&amp;ADDRESS(ROW()+2,COLUMN('NVRAM map'!I:I))))</f>
        <v>TRIMMED</v>
      </c>
      <c r="D199" s="100">
        <f ca="1">IF(C199="FIXED","",INDIRECT("'NVRAM map'!"&amp;ADDRESS(ROW()+2,COLUMN('NVRAM map'!K:K))))</f>
        <v>-32768</v>
      </c>
      <c r="E199" s="100">
        <f ca="1">IF(C199="FIXED","",INDIRECT("'NVRAM map'!"&amp;ADDRESS(ROW()+2,COLUMN('NVRAM map'!L:L))))</f>
        <v>32767</v>
      </c>
      <c r="F199" s="100" t="str">
        <f ca="1">IF(C199="FIXED",INDIRECT("'NVRAM map'!"&amp;ADDRESS(ROW()+2,COLUMN('NVRAM map'!AM:AM))),"")</f>
        <v/>
      </c>
      <c r="G199" s="99"/>
    </row>
    <row r="200" spans="1:7">
      <c r="A200" s="99" t="str">
        <f ca="1">SUBSTITUTE(UPPER(IF(INDIRECT("'NVRAM map'!"&amp;ADDRESS(ROW()+2,COLUMN('NVRAM map'!AG:AG)))="-",INDIRECT("'NVRAM map'!"&amp;ADDRESS(ROW()+2,COLUMN('NVRAM map'!AS:AS))),INDIRECT("'NVRAM map'!"&amp;ADDRESS(ROW()+2,COLUMN('NVRAM map'!AS:AS)))&amp;"_"&amp;INDIRECT("'NVRAM map'!"&amp;ADDRESS(ROW()+2,COLUMN('NVRAM map'!AG:AG))))),"__","_")</f>
        <v>EE_SHB</v>
      </c>
      <c r="B200" s="100" t="str">
        <f ca="1">IF(OR(INDIRECT("'NVRAM map'!"&amp;ADDRESS(ROW()+2,COLUMN('NVRAM map'!D:D)))="-",A200="_"),"x","")</f>
        <v>x</v>
      </c>
      <c r="C200" s="100" t="str">
        <f ca="1">IF(B200="x","FIXED",INDIRECT("'NVRAM map'!"&amp;ADDRESS(ROW()+2,COLUMN('NVRAM map'!I:I))))</f>
        <v>FIXED</v>
      </c>
      <c r="D200" s="100" t="str">
        <f ca="1">IF(C200="FIXED","",INDIRECT("'NVRAM map'!"&amp;ADDRESS(ROW()+2,COLUMN('NVRAM map'!K:K))))</f>
        <v/>
      </c>
      <c r="E200" s="100" t="str">
        <f ca="1">IF(C200="FIXED","",INDIRECT("'NVRAM map'!"&amp;ADDRESS(ROW()+2,COLUMN('NVRAM map'!L:L))))</f>
        <v/>
      </c>
      <c r="F200" s="100">
        <f ca="1">IF(C200="FIXED",INDIRECT("'NVRAM map'!"&amp;ADDRESS(ROW()+2,COLUMN('NVRAM map'!AM:AM))),"")</f>
        <v>0</v>
      </c>
      <c r="G200" s="99"/>
    </row>
    <row r="201" spans="1:7">
      <c r="A201" s="99" t="str">
        <f ca="1">SUBSTITUTE(UPPER(IF(INDIRECT("'NVRAM map'!"&amp;ADDRESS(ROW()+2,COLUMN('NVRAM map'!AG:AG)))="-",INDIRECT("'NVRAM map'!"&amp;ADDRESS(ROW()+2,COLUMN('NVRAM map'!AS:AS))),INDIRECT("'NVRAM map'!"&amp;ADDRESS(ROW()+2,COLUMN('NVRAM map'!AS:AS)))&amp;"_"&amp;INDIRECT("'NVRAM map'!"&amp;ADDRESS(ROW()+2,COLUMN('NVRAM map'!AG:AG))))),"__","_")</f>
        <v>EE_SHB_SHB</v>
      </c>
      <c r="B201" s="100" t="str">
        <f ca="1">IF(OR(INDIRECT("'NVRAM map'!"&amp;ADDRESS(ROW()+2,COLUMN('NVRAM map'!D:D)))="-",A201="_"),"x","")</f>
        <v/>
      </c>
      <c r="C201" s="100" t="str">
        <f ca="1">IF(B201="x","FIXED",INDIRECT("'NVRAM map'!"&amp;ADDRESS(ROW()+2,COLUMN('NVRAM map'!I:I))))</f>
        <v>TRIMMED</v>
      </c>
      <c r="D201" s="100">
        <f ca="1">IF(C201="FIXED","",INDIRECT("'NVRAM map'!"&amp;ADDRESS(ROW()+2,COLUMN('NVRAM map'!K:K))))</f>
        <v>-32768</v>
      </c>
      <c r="E201" s="100">
        <f ca="1">IF(C201="FIXED","",INDIRECT("'NVRAM map'!"&amp;ADDRESS(ROW()+2,COLUMN('NVRAM map'!L:L))))</f>
        <v>32767</v>
      </c>
      <c r="F201" s="100" t="str">
        <f ca="1">IF(C201="FIXED",INDIRECT("'NVRAM map'!"&amp;ADDRESS(ROW()+2,COLUMN('NVRAM map'!AM:AM))),"")</f>
        <v/>
      </c>
      <c r="G201" s="99"/>
    </row>
    <row r="202" spans="1:7">
      <c r="A202" s="99" t="str">
        <f ca="1">SUBSTITUTE(UPPER(IF(INDIRECT("'NVRAM map'!"&amp;ADDRESS(ROW()+2,COLUMN('NVRAM map'!AG:AG)))="-",INDIRECT("'NVRAM map'!"&amp;ADDRESS(ROW()+2,COLUMN('NVRAM map'!AS:AS))),INDIRECT("'NVRAM map'!"&amp;ADDRESS(ROW()+2,COLUMN('NVRAM map'!AS:AS)))&amp;"_"&amp;INDIRECT("'NVRAM map'!"&amp;ADDRESS(ROW()+2,COLUMN('NVRAM map'!AG:AG))))),"__","_")</f>
        <v>EE_SHC</v>
      </c>
      <c r="B202" s="100" t="str">
        <f ca="1">IF(OR(INDIRECT("'NVRAM map'!"&amp;ADDRESS(ROW()+2,COLUMN('NVRAM map'!D:D)))="-",A202="_"),"x","")</f>
        <v>x</v>
      </c>
      <c r="C202" s="100" t="str">
        <f ca="1">IF(B202="x","FIXED",INDIRECT("'NVRAM map'!"&amp;ADDRESS(ROW()+2,COLUMN('NVRAM map'!I:I))))</f>
        <v>FIXED</v>
      </c>
      <c r="D202" s="100" t="str">
        <f ca="1">IF(C202="FIXED","",INDIRECT("'NVRAM map'!"&amp;ADDRESS(ROW()+2,COLUMN('NVRAM map'!K:K))))</f>
        <v/>
      </c>
      <c r="E202" s="100" t="str">
        <f ca="1">IF(C202="FIXED","",INDIRECT("'NVRAM map'!"&amp;ADDRESS(ROW()+2,COLUMN('NVRAM map'!L:L))))</f>
        <v/>
      </c>
      <c r="F202" s="100">
        <f ca="1">IF(C202="FIXED",INDIRECT("'NVRAM map'!"&amp;ADDRESS(ROW()+2,COLUMN('NVRAM map'!AM:AM))),"")</f>
        <v>0</v>
      </c>
      <c r="G202" s="99"/>
    </row>
    <row r="203" spans="1:7">
      <c r="A203" s="99" t="str">
        <f ca="1">SUBSTITUTE(UPPER(IF(INDIRECT("'NVRAM map'!"&amp;ADDRESS(ROW()+2,COLUMN('NVRAM map'!AG:AG)))="-",INDIRECT("'NVRAM map'!"&amp;ADDRESS(ROW()+2,COLUMN('NVRAM map'!AS:AS))),INDIRECT("'NVRAM map'!"&amp;ADDRESS(ROW()+2,COLUMN('NVRAM map'!AS:AS)))&amp;"_"&amp;INDIRECT("'NVRAM map'!"&amp;ADDRESS(ROW()+2,COLUMN('NVRAM map'!AG:AG))))),"__","_")</f>
        <v>EE_SHC_SHC</v>
      </c>
      <c r="B203" s="100" t="str">
        <f ca="1">IF(OR(INDIRECT("'NVRAM map'!"&amp;ADDRESS(ROW()+2,COLUMN('NVRAM map'!D:D)))="-",A203="_"),"x","")</f>
        <v/>
      </c>
      <c r="C203" s="100" t="str">
        <f ca="1">IF(B203="x","FIXED",INDIRECT("'NVRAM map'!"&amp;ADDRESS(ROW()+2,COLUMN('NVRAM map'!I:I))))</f>
        <v>TRIMMED</v>
      </c>
      <c r="D203" s="100">
        <f ca="1">IF(C203="FIXED","",INDIRECT("'NVRAM map'!"&amp;ADDRESS(ROW()+2,COLUMN('NVRAM map'!K:K))))</f>
        <v>-32768</v>
      </c>
      <c r="E203" s="100">
        <f ca="1">IF(C203="FIXED","",INDIRECT("'NVRAM map'!"&amp;ADDRESS(ROW()+2,COLUMN('NVRAM map'!L:L))))</f>
        <v>32767</v>
      </c>
      <c r="F203" s="100" t="str">
        <f ca="1">IF(C203="FIXED",INDIRECT("'NVRAM map'!"&amp;ADDRESS(ROW()+2,COLUMN('NVRAM map'!AM:AM))),"")</f>
        <v/>
      </c>
      <c r="G203" s="99"/>
    </row>
    <row r="204" spans="1:7">
      <c r="A204" s="99" t="str">
        <f ca="1">SUBSTITUTE(UPPER(IF(INDIRECT("'NVRAM map'!"&amp;ADDRESS(ROW()+2,COLUMN('NVRAM map'!AG:AG)))="-",INDIRECT("'NVRAM map'!"&amp;ADDRESS(ROW()+2,COLUMN('NVRAM map'!AS:AS))),INDIRECT("'NVRAM map'!"&amp;ADDRESS(ROW()+2,COLUMN('NVRAM map'!AS:AS)))&amp;"_"&amp;INDIRECT("'NVRAM map'!"&amp;ADDRESS(ROW()+2,COLUMN('NVRAM map'!AG:AG))))),"__","_")</f>
        <v>EE_NTC_CAL0</v>
      </c>
      <c r="B204" s="100" t="str">
        <f ca="1">IF(OR(INDIRECT("'NVRAM map'!"&amp;ADDRESS(ROW()+2,COLUMN('NVRAM map'!D:D)))="-",A204="_"),"x","")</f>
        <v>x</v>
      </c>
      <c r="C204" s="100" t="str">
        <f ca="1">IF(B204="x","FIXED",INDIRECT("'NVRAM map'!"&amp;ADDRESS(ROW()+2,COLUMN('NVRAM map'!I:I))))</f>
        <v>FIXED</v>
      </c>
      <c r="D204" s="100" t="str">
        <f ca="1">IF(C204="FIXED","",INDIRECT("'NVRAM map'!"&amp;ADDRESS(ROW()+2,COLUMN('NVRAM map'!K:K))))</f>
        <v/>
      </c>
      <c r="E204" s="100" t="str">
        <f ca="1">IF(C204="FIXED","",INDIRECT("'NVRAM map'!"&amp;ADDRESS(ROW()+2,COLUMN('NVRAM map'!L:L))))</f>
        <v/>
      </c>
      <c r="F204" s="100">
        <f ca="1">IF(C204="FIXED",INDIRECT("'NVRAM map'!"&amp;ADDRESS(ROW()+2,COLUMN('NVRAM map'!AM:AM))),"")</f>
        <v>0</v>
      </c>
      <c r="G204" s="99"/>
    </row>
    <row r="205" spans="1:7">
      <c r="A205" s="99" t="str">
        <f ca="1">SUBSTITUTE(UPPER(IF(INDIRECT("'NVRAM map'!"&amp;ADDRESS(ROW()+2,COLUMN('NVRAM map'!AG:AG)))="-",INDIRECT("'NVRAM map'!"&amp;ADDRESS(ROW()+2,COLUMN('NVRAM map'!AS:AS))),INDIRECT("'NVRAM map'!"&amp;ADDRESS(ROW()+2,COLUMN('NVRAM map'!AS:AS)))&amp;"_"&amp;INDIRECT("'NVRAM map'!"&amp;ADDRESS(ROW()+2,COLUMN('NVRAM map'!AG:AG))))),"__","_")</f>
        <v>EE_NTC_CAL0_NTC_THRD_LR</v>
      </c>
      <c r="B205" s="100" t="str">
        <f ca="1">IF(OR(INDIRECT("'NVRAM map'!"&amp;ADDRESS(ROW()+2,COLUMN('NVRAM map'!D:D)))="-",A205="_"),"x","")</f>
        <v/>
      </c>
      <c r="C205" s="100" t="str">
        <f ca="1">IF(B205="x","FIXED",INDIRECT("'NVRAM map'!"&amp;ADDRESS(ROW()+2,COLUMN('NVRAM map'!I:I))))</f>
        <v>FIXED</v>
      </c>
      <c r="D205" s="100" t="str">
        <f ca="1">IF(C205="FIXED","",INDIRECT("'NVRAM map'!"&amp;ADDRESS(ROW()+2,COLUMN('NVRAM map'!K:K))))</f>
        <v/>
      </c>
      <c r="E205" s="100" t="str">
        <f ca="1">IF(C205="FIXED","",INDIRECT("'NVRAM map'!"&amp;ADDRESS(ROW()+2,COLUMN('NVRAM map'!L:L))))</f>
        <v/>
      </c>
      <c r="F205" s="100">
        <f ca="1">IF(C205="FIXED",INDIRECT("'NVRAM map'!"&amp;ADDRESS(ROW()+2,COLUMN('NVRAM map'!AM:AM))),"")</f>
        <v>7</v>
      </c>
      <c r="G205" s="99"/>
    </row>
    <row r="206" spans="1:7">
      <c r="A206" s="99" t="str">
        <f ca="1">SUBSTITUTE(UPPER(IF(INDIRECT("'NVRAM map'!"&amp;ADDRESS(ROW()+2,COLUMN('NVRAM map'!AG:AG)))="-",INDIRECT("'NVRAM map'!"&amp;ADDRESS(ROW()+2,COLUMN('NVRAM map'!AS:AS))),INDIRECT("'NVRAM map'!"&amp;ADDRESS(ROW()+2,COLUMN('NVRAM map'!AS:AS)))&amp;"_"&amp;INDIRECT("'NVRAM map'!"&amp;ADDRESS(ROW()+2,COLUMN('NVRAM map'!AG:AG))))),"__","_")</f>
        <v>EE_NTC_CAL0_NTC_THRD_HR</v>
      </c>
      <c r="B206" s="100" t="str">
        <f ca="1">IF(OR(INDIRECT("'NVRAM map'!"&amp;ADDRESS(ROW()+2,COLUMN('NVRAM map'!D:D)))="-",A206="_"),"x","")</f>
        <v/>
      </c>
      <c r="C206" s="100" t="str">
        <f ca="1">IF(B206="x","FIXED",INDIRECT("'NVRAM map'!"&amp;ADDRESS(ROW()+2,COLUMN('NVRAM map'!I:I))))</f>
        <v>FIXED</v>
      </c>
      <c r="D206" s="100" t="str">
        <f ca="1">IF(C206="FIXED","",INDIRECT("'NVRAM map'!"&amp;ADDRESS(ROW()+2,COLUMN('NVRAM map'!K:K))))</f>
        <v/>
      </c>
      <c r="E206" s="100" t="str">
        <f ca="1">IF(C206="FIXED","",INDIRECT("'NVRAM map'!"&amp;ADDRESS(ROW()+2,COLUMN('NVRAM map'!L:L))))</f>
        <v/>
      </c>
      <c r="F206" s="100">
        <f ca="1">IF(C206="FIXED",INDIRECT("'NVRAM map'!"&amp;ADDRESS(ROW()+2,COLUMN('NVRAM map'!AM:AM))),"")</f>
        <v>8</v>
      </c>
      <c r="G206" s="99"/>
    </row>
    <row r="207" spans="1:7">
      <c r="A207" s="99" t="str">
        <f ca="1">SUBSTITUTE(UPPER(IF(INDIRECT("'NVRAM map'!"&amp;ADDRESS(ROW()+2,COLUMN('NVRAM map'!AG:AG)))="-",INDIRECT("'NVRAM map'!"&amp;ADDRESS(ROW()+2,COLUMN('NVRAM map'!AS:AS))),INDIRECT("'NVRAM map'!"&amp;ADDRESS(ROW()+2,COLUMN('NVRAM map'!AS:AS)))&amp;"_"&amp;INDIRECT("'NVRAM map'!"&amp;ADDRESS(ROW()+2,COLUMN('NVRAM map'!AG:AG))))),"__","_")</f>
        <v>EE_MLX_CHECKSUM</v>
      </c>
      <c r="B207" s="100" t="str">
        <f ca="1">IF(OR(INDIRECT("'NVRAM map'!"&amp;ADDRESS(ROW()+2,COLUMN('NVRAM map'!D:D)))="-",A207="_"),"x","")</f>
        <v>x</v>
      </c>
      <c r="C207" s="100" t="str">
        <f ca="1">IF(B207="x","FIXED",INDIRECT("'NVRAM map'!"&amp;ADDRESS(ROW()+2,COLUMN('NVRAM map'!I:I))))</f>
        <v>FIXED</v>
      </c>
      <c r="D207" s="100" t="str">
        <f ca="1">IF(C207="FIXED","",INDIRECT("'NVRAM map'!"&amp;ADDRESS(ROW()+2,COLUMN('NVRAM map'!K:K))))</f>
        <v/>
      </c>
      <c r="E207" s="100" t="str">
        <f ca="1">IF(C207="FIXED","",INDIRECT("'NVRAM map'!"&amp;ADDRESS(ROW()+2,COLUMN('NVRAM map'!L:L))))</f>
        <v/>
      </c>
      <c r="F207" s="100">
        <f ca="1">IF(C207="FIXED",INDIRECT("'NVRAM map'!"&amp;ADDRESS(ROW()+2,COLUMN('NVRAM map'!AM:AM))),"")</f>
        <v>0</v>
      </c>
      <c r="G207" s="99"/>
    </row>
    <row r="208" spans="1:7">
      <c r="A208" s="99" t="str">
        <f ca="1">SUBSTITUTE(UPPER(IF(INDIRECT("'NVRAM map'!"&amp;ADDRESS(ROW()+2,COLUMN('NVRAM map'!AG:AG)))="-",INDIRECT("'NVRAM map'!"&amp;ADDRESS(ROW()+2,COLUMN('NVRAM map'!AS:AS))),INDIRECT("'NVRAM map'!"&amp;ADDRESS(ROW()+2,COLUMN('NVRAM map'!AS:AS)))&amp;"_"&amp;INDIRECT("'NVRAM map'!"&amp;ADDRESS(ROW()+2,COLUMN('NVRAM map'!AG:AG))))),"__","_")</f>
        <v>EE_MLX_CHECKSUM_MLX_CHECKSUM</v>
      </c>
      <c r="B208" s="100" t="str">
        <f ca="1">IF(OR(INDIRECT("'NVRAM map'!"&amp;ADDRESS(ROW()+2,COLUMN('NVRAM map'!D:D)))="-",A208="_"),"x","")</f>
        <v/>
      </c>
      <c r="C208" s="100" t="str">
        <f ca="1">IF(B208="x","FIXED",INDIRECT("'NVRAM map'!"&amp;ADDRESS(ROW()+2,COLUMN('NVRAM map'!I:I))))</f>
        <v>CRC</v>
      </c>
      <c r="D208" s="100">
        <f ca="1">IF(C208="FIXED","",INDIRECT("'NVRAM map'!"&amp;ADDRESS(ROW()+2,COLUMN('NVRAM map'!K:K))))</f>
        <v>0</v>
      </c>
      <c r="E208" s="100">
        <f ca="1">IF(C208="FIXED","",INDIRECT("'NVRAM map'!"&amp;ADDRESS(ROW()+2,COLUMN('NVRAM map'!L:L))))</f>
        <v>65535</v>
      </c>
      <c r="F208" s="100" t="str">
        <f ca="1">IF(C208="FIXED",INDIRECT("'NVRAM map'!"&amp;ADDRESS(ROW()+2,COLUMN('NVRAM map'!AM:AM))),"")</f>
        <v/>
      </c>
      <c r="G208" s="99"/>
    </row>
    <row r="209" spans="1:7">
      <c r="A209" s="99" t="str">
        <f ca="1">SUBSTITUTE(UPPER(IF(INDIRECT("'NVRAM map'!"&amp;ADDRESS(ROW()+2,COLUMN('NVRAM map'!AG:AG)))="-",INDIRECT("'NVRAM map'!"&amp;ADDRESS(ROW()+2,COLUMN('NVRAM map'!AS:AS))),INDIRECT("'NVRAM map'!"&amp;ADDRESS(ROW()+2,COLUMN('NVRAM map'!AS:AS)))&amp;"_"&amp;INDIRECT("'NVRAM map'!"&amp;ADDRESS(ROW()+2,COLUMN('NVRAM map'!AG:AG))))),"__","_")</f>
        <v>EE_TRIM0</v>
      </c>
      <c r="B209" s="100" t="str">
        <f ca="1">IF(OR(INDIRECT("'NVRAM map'!"&amp;ADDRESS(ROW()+2,COLUMN('NVRAM map'!D:D)))="-",A209="_"),"x","")</f>
        <v>x</v>
      </c>
      <c r="C209" s="100" t="str">
        <f ca="1">IF(B209="x","FIXED",INDIRECT("'NVRAM map'!"&amp;ADDRESS(ROW()+2,COLUMN('NVRAM map'!I:I))))</f>
        <v>FIXED</v>
      </c>
      <c r="D209" s="100" t="str">
        <f ca="1">IF(C209="FIXED","",INDIRECT("'NVRAM map'!"&amp;ADDRESS(ROW()+2,COLUMN('NVRAM map'!K:K))))</f>
        <v/>
      </c>
      <c r="E209" s="100" t="str">
        <f ca="1">IF(C209="FIXED","",INDIRECT("'NVRAM map'!"&amp;ADDRESS(ROW()+2,COLUMN('NVRAM map'!L:L))))</f>
        <v/>
      </c>
      <c r="F209" s="100">
        <f ca="1">IF(C209="FIXED",INDIRECT("'NVRAM map'!"&amp;ADDRESS(ROW()+2,COLUMN('NVRAM map'!AM:AM))),"")</f>
        <v>0</v>
      </c>
      <c r="G209" s="99"/>
    </row>
    <row r="210" spans="1:7">
      <c r="A210" s="99" t="str">
        <f ca="1">SUBSTITUTE(UPPER(IF(INDIRECT("'NVRAM map'!"&amp;ADDRESS(ROW()+2,COLUMN('NVRAM map'!AG:AG)))="-",INDIRECT("'NVRAM map'!"&amp;ADDRESS(ROW()+2,COLUMN('NVRAM map'!AS:AS))),INDIRECT("'NVRAM map'!"&amp;ADDRESS(ROW()+2,COLUMN('NVRAM map'!AS:AS)))&amp;"_"&amp;INDIRECT("'NVRAM map'!"&amp;ADDRESS(ROW()+2,COLUMN('NVRAM map'!AG:AG))))),"__","_")</f>
        <v>EE_TRIM0_TRIM0_RESERVED</v>
      </c>
      <c r="B210" s="100" t="str">
        <f ca="1">IF(OR(INDIRECT("'NVRAM map'!"&amp;ADDRESS(ROW()+2,COLUMN('NVRAM map'!D:D)))="-",A210="_"),"x","")</f>
        <v/>
      </c>
      <c r="C210" s="100" t="str">
        <f ca="1">IF(B210="x","FIXED",INDIRECT("'NVRAM map'!"&amp;ADDRESS(ROW()+2,COLUMN('NVRAM map'!I:I))))</f>
        <v>FIXED</v>
      </c>
      <c r="D210" s="100" t="str">
        <f ca="1">IF(C210="FIXED","",INDIRECT("'NVRAM map'!"&amp;ADDRESS(ROW()+2,COLUMN('NVRAM map'!K:K))))</f>
        <v/>
      </c>
      <c r="E210" s="100" t="str">
        <f ca="1">IF(C210="FIXED","",INDIRECT("'NVRAM map'!"&amp;ADDRESS(ROW()+2,COLUMN('NVRAM map'!L:L))))</f>
        <v/>
      </c>
      <c r="F210" s="100">
        <f ca="1">IF(C210="FIXED",INDIRECT("'NVRAM map'!"&amp;ADDRESS(ROW()+2,COLUMN('NVRAM map'!AM:AM))),"")</f>
        <v>0</v>
      </c>
      <c r="G210" s="99"/>
    </row>
    <row r="211" spans="1:7">
      <c r="A211" s="99" t="str">
        <f ca="1">SUBSTITUTE(UPPER(IF(INDIRECT("'NVRAM map'!"&amp;ADDRESS(ROW()+2,COLUMN('NVRAM map'!AG:AG)))="-",INDIRECT("'NVRAM map'!"&amp;ADDRESS(ROW()+2,COLUMN('NVRAM map'!AS:AS))),INDIRECT("'NVRAM map'!"&amp;ADDRESS(ROW()+2,COLUMN('NVRAM map'!AS:AS)))&amp;"_"&amp;INDIRECT("'NVRAM map'!"&amp;ADDRESS(ROW()+2,COLUMN('NVRAM map'!AG:AG))))),"__","_")</f>
        <v>EE_TRIM0_TRIM_SBYMODE_VDDDREG</v>
      </c>
      <c r="B211" s="100" t="str">
        <f ca="1">IF(OR(INDIRECT("'NVRAM map'!"&amp;ADDRESS(ROW()+2,COLUMN('NVRAM map'!D:D)))="-",A211="_"),"x","")</f>
        <v/>
      </c>
      <c r="C211" s="100" t="str">
        <f ca="1">IF(B211="x","FIXED",INDIRECT("'NVRAM map'!"&amp;ADDRESS(ROW()+2,COLUMN('NVRAM map'!I:I))))</f>
        <v>TRIMMED</v>
      </c>
      <c r="D211" s="100">
        <f ca="1">IF(C211="FIXED","",INDIRECT("'NVRAM map'!"&amp;ADDRESS(ROW()+2,COLUMN('NVRAM map'!K:K))))</f>
        <v>0</v>
      </c>
      <c r="E211" s="100">
        <f ca="1">IF(C211="FIXED","",INDIRECT("'NVRAM map'!"&amp;ADDRESS(ROW()+2,COLUMN('NVRAM map'!L:L))))</f>
        <v>15</v>
      </c>
      <c r="F211" s="100" t="str">
        <f ca="1">IF(C211="FIXED",INDIRECT("'NVRAM map'!"&amp;ADDRESS(ROW()+2,COLUMN('NVRAM map'!AM:AM))),"")</f>
        <v/>
      </c>
      <c r="G211" s="99"/>
    </row>
    <row r="212" spans="1:7">
      <c r="A212" s="99" t="str">
        <f ca="1">SUBSTITUTE(UPPER(IF(INDIRECT("'NVRAM map'!"&amp;ADDRESS(ROW()+2,COLUMN('NVRAM map'!AG:AG)))="-",INDIRECT("'NVRAM map'!"&amp;ADDRESS(ROW()+2,COLUMN('NVRAM map'!AS:AS))),INDIRECT("'NVRAM map'!"&amp;ADDRESS(ROW()+2,COLUMN('NVRAM map'!AS:AS)))&amp;"_"&amp;INDIRECT("'NVRAM map'!"&amp;ADDRESS(ROW()+2,COLUMN('NVRAM map'!AG:AG))))),"__","_")</f>
        <v>EE_TRIM0_TRIM_VDDD</v>
      </c>
      <c r="B212" s="100" t="str">
        <f ca="1">IF(OR(INDIRECT("'NVRAM map'!"&amp;ADDRESS(ROW()+2,COLUMN('NVRAM map'!D:D)))="-",A212="_"),"x","")</f>
        <v/>
      </c>
      <c r="C212" s="100" t="str">
        <f ca="1">IF(B212="x","FIXED",INDIRECT("'NVRAM map'!"&amp;ADDRESS(ROW()+2,COLUMN('NVRAM map'!I:I))))</f>
        <v>TRIMMED</v>
      </c>
      <c r="D212" s="100">
        <f ca="1">IF(C212="FIXED","",INDIRECT("'NVRAM map'!"&amp;ADDRESS(ROW()+2,COLUMN('NVRAM map'!K:K))))</f>
        <v>0</v>
      </c>
      <c r="E212" s="100">
        <f ca="1">IF(C212="FIXED","",INDIRECT("'NVRAM map'!"&amp;ADDRESS(ROW()+2,COLUMN('NVRAM map'!L:L))))</f>
        <v>15</v>
      </c>
      <c r="F212" s="100" t="str">
        <f ca="1">IF(C212="FIXED",INDIRECT("'NVRAM map'!"&amp;ADDRESS(ROW()+2,COLUMN('NVRAM map'!AM:AM))),"")</f>
        <v/>
      </c>
      <c r="G212" s="99"/>
    </row>
    <row r="213" spans="1:7">
      <c r="A213" s="99" t="str">
        <f ca="1">SUBSTITUTE(UPPER(IF(INDIRECT("'NVRAM map'!"&amp;ADDRESS(ROW()+2,COLUMN('NVRAM map'!AG:AG)))="-",INDIRECT("'NVRAM map'!"&amp;ADDRESS(ROW()+2,COLUMN('NVRAM map'!AS:AS))),INDIRECT("'NVRAM map'!"&amp;ADDRESS(ROW()+2,COLUMN('NVRAM map'!AS:AS)))&amp;"_"&amp;INDIRECT("'NVRAM map'!"&amp;ADDRESS(ROW()+2,COLUMN('NVRAM map'!AG:AG))))),"__","_")</f>
        <v>EE_TRIM0_TRIM_VDDA</v>
      </c>
      <c r="B213" s="100" t="str">
        <f ca="1">IF(OR(INDIRECT("'NVRAM map'!"&amp;ADDRESS(ROW()+2,COLUMN('NVRAM map'!D:D)))="-",A213="_"),"x","")</f>
        <v/>
      </c>
      <c r="C213" s="100" t="str">
        <f ca="1">IF(B213="x","FIXED",INDIRECT("'NVRAM map'!"&amp;ADDRESS(ROW()+2,COLUMN('NVRAM map'!I:I))))</f>
        <v>TRIMMED</v>
      </c>
      <c r="D213" s="100">
        <f ca="1">IF(C213="FIXED","",INDIRECT("'NVRAM map'!"&amp;ADDRESS(ROW()+2,COLUMN('NVRAM map'!K:K))))</f>
        <v>0</v>
      </c>
      <c r="E213" s="100">
        <f ca="1">IF(C213="FIXED","",INDIRECT("'NVRAM map'!"&amp;ADDRESS(ROW()+2,COLUMN('NVRAM map'!L:L))))</f>
        <v>7</v>
      </c>
      <c r="F213" s="100" t="str">
        <f ca="1">IF(C213="FIXED",INDIRECT("'NVRAM map'!"&amp;ADDRESS(ROW()+2,COLUMN('NVRAM map'!AM:AM))),"")</f>
        <v/>
      </c>
      <c r="G213" s="99"/>
    </row>
    <row r="214" spans="1:7">
      <c r="A214" s="99" t="str">
        <f ca="1">SUBSTITUTE(UPPER(IF(INDIRECT("'NVRAM map'!"&amp;ADDRESS(ROW()+2,COLUMN('NVRAM map'!AG:AG)))="-",INDIRECT("'NVRAM map'!"&amp;ADDRESS(ROW()+2,COLUMN('NVRAM map'!AS:AS))),INDIRECT("'NVRAM map'!"&amp;ADDRESS(ROW()+2,COLUMN('NVRAM map'!AS:AS)))&amp;"_"&amp;INDIRECT("'NVRAM map'!"&amp;ADDRESS(ROW()+2,COLUMN('NVRAM map'!AG:AG))))),"__","_")</f>
        <v>EE_TRIM0_TRIM_VBG_REG_TC</v>
      </c>
      <c r="B214" s="100" t="str">
        <f ca="1">IF(OR(INDIRECT("'NVRAM map'!"&amp;ADDRESS(ROW()+2,COLUMN('NVRAM map'!D:D)))="-",A214="_"),"x","")</f>
        <v/>
      </c>
      <c r="C214" s="100" t="str">
        <f ca="1">IF(B214="x","FIXED",INDIRECT("'NVRAM map'!"&amp;ADDRESS(ROW()+2,COLUMN('NVRAM map'!I:I))))</f>
        <v>TRIMMED</v>
      </c>
      <c r="D214" s="100">
        <f ca="1">IF(C214="FIXED","",INDIRECT("'NVRAM map'!"&amp;ADDRESS(ROW()+2,COLUMN('NVRAM map'!K:K))))</f>
        <v>0</v>
      </c>
      <c r="E214" s="100">
        <f ca="1">IF(C214="FIXED","",INDIRECT("'NVRAM map'!"&amp;ADDRESS(ROW()+2,COLUMN('NVRAM map'!L:L))))</f>
        <v>15</v>
      </c>
      <c r="F214" s="100" t="str">
        <f ca="1">IF(C214="FIXED",INDIRECT("'NVRAM map'!"&amp;ADDRESS(ROW()+2,COLUMN('NVRAM map'!AM:AM))),"")</f>
        <v/>
      </c>
      <c r="G214" s="99"/>
    </row>
    <row r="215" spans="1:7">
      <c r="A215" s="99" t="str">
        <f ca="1">SUBSTITUTE(UPPER(IF(INDIRECT("'NVRAM map'!"&amp;ADDRESS(ROW()+2,COLUMN('NVRAM map'!AG:AG)))="-",INDIRECT("'NVRAM map'!"&amp;ADDRESS(ROW()+2,COLUMN('NVRAM map'!AS:AS))),INDIRECT("'NVRAM map'!"&amp;ADDRESS(ROW()+2,COLUMN('NVRAM map'!AS:AS)))&amp;"_"&amp;INDIRECT("'NVRAM map'!"&amp;ADDRESS(ROW()+2,COLUMN('NVRAM map'!AG:AG))))),"__","_")</f>
        <v>EE_TRIM1</v>
      </c>
      <c r="B215" s="100" t="str">
        <f ca="1">IF(OR(INDIRECT("'NVRAM map'!"&amp;ADDRESS(ROW()+2,COLUMN('NVRAM map'!D:D)))="-",A215="_"),"x","")</f>
        <v>x</v>
      </c>
      <c r="C215" s="100" t="str">
        <f ca="1">IF(B215="x","FIXED",INDIRECT("'NVRAM map'!"&amp;ADDRESS(ROW()+2,COLUMN('NVRAM map'!I:I))))</f>
        <v>FIXED</v>
      </c>
      <c r="D215" s="100" t="str">
        <f ca="1">IF(C215="FIXED","",INDIRECT("'NVRAM map'!"&amp;ADDRESS(ROW()+2,COLUMN('NVRAM map'!K:K))))</f>
        <v/>
      </c>
      <c r="E215" s="100" t="str">
        <f ca="1">IF(C215="FIXED","",INDIRECT("'NVRAM map'!"&amp;ADDRESS(ROW()+2,COLUMN('NVRAM map'!L:L))))</f>
        <v/>
      </c>
      <c r="F215" s="100">
        <f ca="1">IF(C215="FIXED",INDIRECT("'NVRAM map'!"&amp;ADDRESS(ROW()+2,COLUMN('NVRAM map'!AM:AM))),"")</f>
        <v>0</v>
      </c>
      <c r="G215" s="99"/>
    </row>
    <row r="216" spans="1:7">
      <c r="A216" s="99" t="str">
        <f ca="1">SUBSTITUTE(UPPER(IF(INDIRECT("'NVRAM map'!"&amp;ADDRESS(ROW()+2,COLUMN('NVRAM map'!AG:AG)))="-",INDIRECT("'NVRAM map'!"&amp;ADDRESS(ROW()+2,COLUMN('NVRAM map'!AS:AS))),INDIRECT("'NVRAM map'!"&amp;ADDRESS(ROW()+2,COLUMN('NVRAM map'!AS:AS)))&amp;"_"&amp;INDIRECT("'NVRAM map'!"&amp;ADDRESS(ROW()+2,COLUMN('NVRAM map'!AG:AG))))),"__","_")</f>
        <v>EE_TRIM1_TRIM1_RESERVED</v>
      </c>
      <c r="B216" s="100" t="str">
        <f ca="1">IF(OR(INDIRECT("'NVRAM map'!"&amp;ADDRESS(ROW()+2,COLUMN('NVRAM map'!D:D)))="-",A216="_"),"x","")</f>
        <v/>
      </c>
      <c r="C216" s="100" t="str">
        <f ca="1">IF(B216="x","FIXED",INDIRECT("'NVRAM map'!"&amp;ADDRESS(ROW()+2,COLUMN('NVRAM map'!I:I))))</f>
        <v>FIXED</v>
      </c>
      <c r="D216" s="100" t="str">
        <f ca="1">IF(C216="FIXED","",INDIRECT("'NVRAM map'!"&amp;ADDRESS(ROW()+2,COLUMN('NVRAM map'!K:K))))</f>
        <v/>
      </c>
      <c r="E216" s="100" t="str">
        <f ca="1">IF(C216="FIXED","",INDIRECT("'NVRAM map'!"&amp;ADDRESS(ROW()+2,COLUMN('NVRAM map'!L:L))))</f>
        <v/>
      </c>
      <c r="F216" s="100">
        <f ca="1">IF(C216="FIXED",INDIRECT("'NVRAM map'!"&amp;ADDRESS(ROW()+2,COLUMN('NVRAM map'!AM:AM))),"")</f>
        <v>0</v>
      </c>
      <c r="G216" s="99"/>
    </row>
    <row r="217" spans="1:7">
      <c r="A217" s="99" t="str">
        <f ca="1">SUBSTITUTE(UPPER(IF(INDIRECT("'NVRAM map'!"&amp;ADDRESS(ROW()+2,COLUMN('NVRAM map'!AG:AG)))="-",INDIRECT("'NVRAM map'!"&amp;ADDRESS(ROW()+2,COLUMN('NVRAM map'!AS:AS))),INDIRECT("'NVRAM map'!"&amp;ADDRESS(ROW()+2,COLUMN('NVRAM map'!AS:AS)))&amp;"_"&amp;INDIRECT("'NVRAM map'!"&amp;ADDRESS(ROW()+2,COLUMN('NVRAM map'!AG:AG))))),"__","_")</f>
        <v>EE_TRIM1_TRIM_OSC_CPU</v>
      </c>
      <c r="B217" s="100" t="str">
        <f ca="1">IF(OR(INDIRECT("'NVRAM map'!"&amp;ADDRESS(ROW()+2,COLUMN('NVRAM map'!D:D)))="-",A217="_"),"x","")</f>
        <v/>
      </c>
      <c r="C217" s="100" t="str">
        <f ca="1">IF(B217="x","FIXED",INDIRECT("'NVRAM map'!"&amp;ADDRESS(ROW()+2,COLUMN('NVRAM map'!I:I))))</f>
        <v>TRIMMED</v>
      </c>
      <c r="D217" s="100">
        <f ca="1">IF(C217="FIXED","",INDIRECT("'NVRAM map'!"&amp;ADDRESS(ROW()+2,COLUMN('NVRAM map'!K:K))))</f>
        <v>0</v>
      </c>
      <c r="E217" s="100">
        <f ca="1">IF(C217="FIXED","",INDIRECT("'NVRAM map'!"&amp;ADDRESS(ROW()+2,COLUMN('NVRAM map'!L:L))))</f>
        <v>1023</v>
      </c>
      <c r="F217" s="100" t="str">
        <f ca="1">IF(C217="FIXED",INDIRECT("'NVRAM map'!"&amp;ADDRESS(ROW()+2,COLUMN('NVRAM map'!AM:AM))),"")</f>
        <v/>
      </c>
      <c r="G217" s="99"/>
    </row>
    <row r="218" spans="1:7">
      <c r="A218" s="99" t="str">
        <f ca="1">SUBSTITUTE(UPPER(IF(INDIRECT("'NVRAM map'!"&amp;ADDRESS(ROW()+2,COLUMN('NVRAM map'!AG:AG)))="-",INDIRECT("'NVRAM map'!"&amp;ADDRESS(ROW()+2,COLUMN('NVRAM map'!AS:AS))),INDIRECT("'NVRAM map'!"&amp;ADDRESS(ROW()+2,COLUMN('NVRAM map'!AS:AS)))&amp;"_"&amp;INDIRECT("'NVRAM map'!"&amp;ADDRESS(ROW()+2,COLUMN('NVRAM map'!AG:AG))))),"__","_")</f>
        <v>EE_TRIM1_TRIM_IBIAS</v>
      </c>
      <c r="B218" s="100" t="str">
        <f ca="1">IF(OR(INDIRECT("'NVRAM map'!"&amp;ADDRESS(ROW()+2,COLUMN('NVRAM map'!D:D)))="-",A218="_"),"x","")</f>
        <v/>
      </c>
      <c r="C218" s="100" t="str">
        <f ca="1">IF(B218="x","FIXED",INDIRECT("'NVRAM map'!"&amp;ADDRESS(ROW()+2,COLUMN('NVRAM map'!I:I))))</f>
        <v>TRIMMED</v>
      </c>
      <c r="D218" s="100">
        <f ca="1">IF(C218="FIXED","",INDIRECT("'NVRAM map'!"&amp;ADDRESS(ROW()+2,COLUMN('NVRAM map'!K:K))))</f>
        <v>0</v>
      </c>
      <c r="E218" s="100">
        <f ca="1">IF(C218="FIXED","",INDIRECT("'NVRAM map'!"&amp;ADDRESS(ROW()+2,COLUMN('NVRAM map'!L:L))))</f>
        <v>31</v>
      </c>
      <c r="F218" s="100" t="str">
        <f ca="1">IF(C218="FIXED",INDIRECT("'NVRAM map'!"&amp;ADDRESS(ROW()+2,COLUMN('NVRAM map'!AM:AM))),"")</f>
        <v/>
      </c>
      <c r="G218" s="99"/>
    </row>
    <row r="219" spans="1:7">
      <c r="A219" s="99" t="str">
        <f ca="1">SUBSTITUTE(UPPER(IF(INDIRECT("'NVRAM map'!"&amp;ADDRESS(ROW()+2,COLUMN('NVRAM map'!AG:AG)))="-",INDIRECT("'NVRAM map'!"&amp;ADDRESS(ROW()+2,COLUMN('NVRAM map'!AS:AS))),INDIRECT("'NVRAM map'!"&amp;ADDRESS(ROW()+2,COLUMN('NVRAM map'!AS:AS)))&amp;"_"&amp;INDIRECT("'NVRAM map'!"&amp;ADDRESS(ROW()+2,COLUMN('NVRAM map'!AG:AG))))),"__","_")</f>
        <v>EE_TRIM2</v>
      </c>
      <c r="B219" s="100" t="str">
        <f ca="1">IF(OR(INDIRECT("'NVRAM map'!"&amp;ADDRESS(ROW()+2,COLUMN('NVRAM map'!D:D)))="-",A219="_"),"x","")</f>
        <v>x</v>
      </c>
      <c r="C219" s="100" t="str">
        <f ca="1">IF(B219="x","FIXED",INDIRECT("'NVRAM map'!"&amp;ADDRESS(ROW()+2,COLUMN('NVRAM map'!I:I))))</f>
        <v>FIXED</v>
      </c>
      <c r="D219" s="100" t="str">
        <f ca="1">IF(C219="FIXED","",INDIRECT("'NVRAM map'!"&amp;ADDRESS(ROW()+2,COLUMN('NVRAM map'!K:K))))</f>
        <v/>
      </c>
      <c r="E219" s="100" t="str">
        <f ca="1">IF(C219="FIXED","",INDIRECT("'NVRAM map'!"&amp;ADDRESS(ROW()+2,COLUMN('NVRAM map'!L:L))))</f>
        <v/>
      </c>
      <c r="F219" s="100">
        <f ca="1">IF(C219="FIXED",INDIRECT("'NVRAM map'!"&amp;ADDRESS(ROW()+2,COLUMN('NVRAM map'!AM:AM))),"")</f>
        <v>0</v>
      </c>
      <c r="G219" s="99"/>
    </row>
    <row r="220" spans="1:7">
      <c r="A220" s="99" t="str">
        <f ca="1">SUBSTITUTE(UPPER(IF(INDIRECT("'NVRAM map'!"&amp;ADDRESS(ROW()+2,COLUMN('NVRAM map'!AG:AG)))="-",INDIRECT("'NVRAM map'!"&amp;ADDRESS(ROW()+2,COLUMN('NVRAM map'!AS:AS))),INDIRECT("'NVRAM map'!"&amp;ADDRESS(ROW()+2,COLUMN('NVRAM map'!AS:AS)))&amp;"_"&amp;INDIRECT("'NVRAM map'!"&amp;ADDRESS(ROW()+2,COLUMN('NVRAM map'!AG:AG))))),"__","_")</f>
        <v>EE_TRIM2_TRIM2_RESERVED</v>
      </c>
      <c r="B220" s="100" t="str">
        <f ca="1">IF(OR(INDIRECT("'NVRAM map'!"&amp;ADDRESS(ROW()+2,COLUMN('NVRAM map'!D:D)))="-",A220="_"),"x","")</f>
        <v/>
      </c>
      <c r="C220" s="100" t="str">
        <f ca="1">IF(B220="x","FIXED",INDIRECT("'NVRAM map'!"&amp;ADDRESS(ROW()+2,COLUMN('NVRAM map'!I:I))))</f>
        <v>FIXED</v>
      </c>
      <c r="D220" s="100" t="str">
        <f ca="1">IF(C220="FIXED","",INDIRECT("'NVRAM map'!"&amp;ADDRESS(ROW()+2,COLUMN('NVRAM map'!K:K))))</f>
        <v/>
      </c>
      <c r="E220" s="100" t="str">
        <f ca="1">IF(C220="FIXED","",INDIRECT("'NVRAM map'!"&amp;ADDRESS(ROW()+2,COLUMN('NVRAM map'!L:L))))</f>
        <v/>
      </c>
      <c r="F220" s="100">
        <f ca="1">IF(C220="FIXED",INDIRECT("'NVRAM map'!"&amp;ADDRESS(ROW()+2,COLUMN('NVRAM map'!AM:AM))),"")</f>
        <v>0</v>
      </c>
      <c r="G220" s="99"/>
    </row>
    <row r="221" spans="1:7">
      <c r="A221" s="99" t="str">
        <f ca="1">SUBSTITUTE(UPPER(IF(INDIRECT("'NVRAM map'!"&amp;ADDRESS(ROW()+2,COLUMN('NVRAM map'!AG:AG)))="-",INDIRECT("'NVRAM map'!"&amp;ADDRESS(ROW()+2,COLUMN('NVRAM map'!AS:AS))),INDIRECT("'NVRAM map'!"&amp;ADDRESS(ROW()+2,COLUMN('NVRAM map'!AS:AS)))&amp;"_"&amp;INDIRECT("'NVRAM map'!"&amp;ADDRESS(ROW()+2,COLUMN('NVRAM map'!AG:AG))))),"__","_")</f>
        <v>EE_TRIM2_TRIM_OSC10K</v>
      </c>
      <c r="B221" s="100" t="str">
        <f ca="1">IF(OR(INDIRECT("'NVRAM map'!"&amp;ADDRESS(ROW()+2,COLUMN('NVRAM map'!D:D)))="-",A221="_"),"x","")</f>
        <v/>
      </c>
      <c r="C221" s="100" t="str">
        <f ca="1">IF(B221="x","FIXED",INDIRECT("'NVRAM map'!"&amp;ADDRESS(ROW()+2,COLUMN('NVRAM map'!I:I))))</f>
        <v>TRIMMED</v>
      </c>
      <c r="D221" s="100">
        <f ca="1">IF(C221="FIXED","",INDIRECT("'NVRAM map'!"&amp;ADDRESS(ROW()+2,COLUMN('NVRAM map'!K:K))))</f>
        <v>0</v>
      </c>
      <c r="E221" s="100">
        <f ca="1">IF(C221="FIXED","",INDIRECT("'NVRAM map'!"&amp;ADDRESS(ROW()+2,COLUMN('NVRAM map'!L:L))))</f>
        <v>31</v>
      </c>
      <c r="F221" s="100" t="str">
        <f ca="1">IF(C221="FIXED",INDIRECT("'NVRAM map'!"&amp;ADDRESS(ROW()+2,COLUMN('NVRAM map'!AM:AM))),"")</f>
        <v/>
      </c>
      <c r="G221" s="99"/>
    </row>
    <row r="222" spans="1:7">
      <c r="A222" s="99" t="str">
        <f ca="1">SUBSTITUTE(UPPER(IF(INDIRECT("'NVRAM map'!"&amp;ADDRESS(ROW()+2,COLUMN('NVRAM map'!AG:AG)))="-",INDIRECT("'NVRAM map'!"&amp;ADDRESS(ROW()+2,COLUMN('NVRAM map'!AS:AS))),INDIRECT("'NVRAM map'!"&amp;ADDRESS(ROW()+2,COLUMN('NVRAM map'!AS:AS)))&amp;"_"&amp;INDIRECT("'NVRAM map'!"&amp;ADDRESS(ROW()+2,COLUMN('NVRAM map'!AG:AG))))),"__","_")</f>
        <v>EE_TRIM2_TRIM_SUPSYS_SBY_WUT</v>
      </c>
      <c r="B222" s="100" t="str">
        <f ca="1">IF(OR(INDIRECT("'NVRAM map'!"&amp;ADDRESS(ROW()+2,COLUMN('NVRAM map'!D:D)))="-",A222="_"),"x","")</f>
        <v/>
      </c>
      <c r="C222" s="100" t="str">
        <f ca="1">IF(B222="x","FIXED",INDIRECT("'NVRAM map'!"&amp;ADDRESS(ROW()+2,COLUMN('NVRAM map'!I:I))))</f>
        <v>TRIMMED</v>
      </c>
      <c r="D222" s="100">
        <f ca="1">IF(C222="FIXED","",INDIRECT("'NVRAM map'!"&amp;ADDRESS(ROW()+2,COLUMN('NVRAM map'!K:K))))</f>
        <v>0</v>
      </c>
      <c r="E222" s="100">
        <f ca="1">IF(C222="FIXED","",INDIRECT("'NVRAM map'!"&amp;ADDRESS(ROW()+2,COLUMN('NVRAM map'!L:L))))</f>
        <v>3</v>
      </c>
      <c r="F222" s="100" t="str">
        <f ca="1">IF(C222="FIXED",INDIRECT("'NVRAM map'!"&amp;ADDRESS(ROW()+2,COLUMN('NVRAM map'!AM:AM))),"")</f>
        <v/>
      </c>
      <c r="G222" s="99"/>
    </row>
    <row r="223" spans="1:7">
      <c r="A223" s="99" t="str">
        <f ca="1">SUBSTITUTE(UPPER(IF(INDIRECT("'NVRAM map'!"&amp;ADDRESS(ROW()+2,COLUMN('NVRAM map'!AG:AG)))="-",INDIRECT("'NVRAM map'!"&amp;ADDRESS(ROW()+2,COLUMN('NVRAM map'!AS:AS))),INDIRECT("'NVRAM map'!"&amp;ADDRESS(ROW()+2,COLUMN('NVRAM map'!AS:AS)))&amp;"_"&amp;INDIRECT("'NVRAM map'!"&amp;ADDRESS(ROW()+2,COLUMN('NVRAM map'!AG:AG))))),"__","_")</f>
        <v>EE_TRIM2_OSC_ADC_AUTO_RESTART</v>
      </c>
      <c r="B223" s="100" t="str">
        <f ca="1">IF(OR(INDIRECT("'NVRAM map'!"&amp;ADDRESS(ROW()+2,COLUMN('NVRAM map'!D:D)))="-",A223="_"),"x","")</f>
        <v/>
      </c>
      <c r="C223" s="100" t="str">
        <f ca="1">IF(B223="x","FIXED",INDIRECT("'NVRAM map'!"&amp;ADDRESS(ROW()+2,COLUMN('NVRAM map'!I:I))))</f>
        <v>FIXED</v>
      </c>
      <c r="D223" s="100" t="str">
        <f ca="1">IF(C223="FIXED","",INDIRECT("'NVRAM map'!"&amp;ADDRESS(ROW()+2,COLUMN('NVRAM map'!K:K))))</f>
        <v/>
      </c>
      <c r="E223" s="100" t="str">
        <f ca="1">IF(C223="FIXED","",INDIRECT("'NVRAM map'!"&amp;ADDRESS(ROW()+2,COLUMN('NVRAM map'!L:L))))</f>
        <v/>
      </c>
      <c r="F223" s="100">
        <f ca="1">IF(C223="FIXED",INDIRECT("'NVRAM map'!"&amp;ADDRESS(ROW()+2,COLUMN('NVRAM map'!AM:AM))),"")</f>
        <v>1</v>
      </c>
      <c r="G223" s="99"/>
    </row>
    <row r="224" spans="1:7">
      <c r="A224" s="99" t="str">
        <f ca="1">SUBSTITUTE(UPPER(IF(INDIRECT("'NVRAM map'!"&amp;ADDRESS(ROW()+2,COLUMN('NVRAM map'!AG:AG)))="-",INDIRECT("'NVRAM map'!"&amp;ADDRESS(ROW()+2,COLUMN('NVRAM map'!AS:AS))),INDIRECT("'NVRAM map'!"&amp;ADDRESS(ROW()+2,COLUMN('NVRAM map'!AS:AS)))&amp;"_"&amp;INDIRECT("'NVRAM map'!"&amp;ADDRESS(ROW()+2,COLUMN('NVRAM map'!AG:AG))))),"__","_")</f>
        <v>EE_TRIM2_TRIM_OSC_ADC</v>
      </c>
      <c r="B224" s="100" t="str">
        <f ca="1">IF(OR(INDIRECT("'NVRAM map'!"&amp;ADDRESS(ROW()+2,COLUMN('NVRAM map'!D:D)))="-",A224="_"),"x","")</f>
        <v/>
      </c>
      <c r="C224" s="100" t="str">
        <f ca="1">IF(B224="x","FIXED",INDIRECT("'NVRAM map'!"&amp;ADDRESS(ROW()+2,COLUMN('NVRAM map'!I:I))))</f>
        <v>TRIMMED</v>
      </c>
      <c r="D224" s="100">
        <f ca="1">IF(C224="FIXED","",INDIRECT("'NVRAM map'!"&amp;ADDRESS(ROW()+2,COLUMN('NVRAM map'!K:K))))</f>
        <v>0</v>
      </c>
      <c r="E224" s="100">
        <f ca="1">IF(C224="FIXED","",INDIRECT("'NVRAM map'!"&amp;ADDRESS(ROW()+2,COLUMN('NVRAM map'!L:L))))</f>
        <v>127</v>
      </c>
      <c r="F224" s="100" t="str">
        <f ca="1">IF(C224="FIXED",INDIRECT("'NVRAM map'!"&amp;ADDRESS(ROW()+2,COLUMN('NVRAM map'!AM:AM))),"")</f>
        <v/>
      </c>
      <c r="G224" s="99"/>
    </row>
    <row r="225" spans="1:7">
      <c r="A225" s="99" t="str">
        <f ca="1">SUBSTITUTE(UPPER(IF(INDIRECT("'NVRAM map'!"&amp;ADDRESS(ROW()+2,COLUMN('NVRAM map'!AG:AG)))="-",INDIRECT("'NVRAM map'!"&amp;ADDRESS(ROW()+2,COLUMN('NVRAM map'!AS:AS))),INDIRECT("'NVRAM map'!"&amp;ADDRESS(ROW()+2,COLUMN('NVRAM map'!AS:AS)))&amp;"_"&amp;INDIRECT("'NVRAM map'!"&amp;ADDRESS(ROW()+2,COLUMN('NVRAM map'!AG:AG))))),"__","_")</f>
        <v>EE_TRIM3</v>
      </c>
      <c r="B225" s="100" t="str">
        <f ca="1">IF(OR(INDIRECT("'NVRAM map'!"&amp;ADDRESS(ROW()+2,COLUMN('NVRAM map'!D:D)))="-",A225="_"),"x","")</f>
        <v>x</v>
      </c>
      <c r="C225" s="100" t="str">
        <f ca="1">IF(B225="x","FIXED",INDIRECT("'NVRAM map'!"&amp;ADDRESS(ROW()+2,COLUMN('NVRAM map'!I:I))))</f>
        <v>FIXED</v>
      </c>
      <c r="D225" s="100" t="str">
        <f ca="1">IF(C225="FIXED","",INDIRECT("'NVRAM map'!"&amp;ADDRESS(ROW()+2,COLUMN('NVRAM map'!K:K))))</f>
        <v/>
      </c>
      <c r="E225" s="100" t="str">
        <f ca="1">IF(C225="FIXED","",INDIRECT("'NVRAM map'!"&amp;ADDRESS(ROW()+2,COLUMN('NVRAM map'!L:L))))</f>
        <v/>
      </c>
      <c r="F225" s="100">
        <f ca="1">IF(C225="FIXED",INDIRECT("'NVRAM map'!"&amp;ADDRESS(ROW()+2,COLUMN('NVRAM map'!AM:AM))),"")</f>
        <v>0</v>
      </c>
      <c r="G225" s="99"/>
    </row>
    <row r="226" spans="1:7">
      <c r="A226" s="99" t="str">
        <f ca="1">SUBSTITUTE(UPPER(IF(INDIRECT("'NVRAM map'!"&amp;ADDRESS(ROW()+2,COLUMN('NVRAM map'!AG:AG)))="-",INDIRECT("'NVRAM map'!"&amp;ADDRESS(ROW()+2,COLUMN('NVRAM map'!AS:AS))),INDIRECT("'NVRAM map'!"&amp;ADDRESS(ROW()+2,COLUMN('NVRAM map'!AS:AS)))&amp;"_"&amp;INDIRECT("'NVRAM map'!"&amp;ADDRESS(ROW()+2,COLUMN('NVRAM map'!AG:AG))))),"__","_")</f>
        <v>EE_TRIM3_TRIM3_RESERVED</v>
      </c>
      <c r="B226" s="100" t="str">
        <f ca="1">IF(OR(INDIRECT("'NVRAM map'!"&amp;ADDRESS(ROW()+2,COLUMN('NVRAM map'!D:D)))="-",A226="_"),"x","")</f>
        <v/>
      </c>
      <c r="C226" s="100" t="str">
        <f ca="1">IF(B226="x","FIXED",INDIRECT("'NVRAM map'!"&amp;ADDRESS(ROW()+2,COLUMN('NVRAM map'!I:I))))</f>
        <v>FIXED</v>
      </c>
      <c r="D226" s="100" t="str">
        <f ca="1">IF(C226="FIXED","",INDIRECT("'NVRAM map'!"&amp;ADDRESS(ROW()+2,COLUMN('NVRAM map'!K:K))))</f>
        <v/>
      </c>
      <c r="E226" s="100" t="str">
        <f ca="1">IF(C226="FIXED","",INDIRECT("'NVRAM map'!"&amp;ADDRESS(ROW()+2,COLUMN('NVRAM map'!L:L))))</f>
        <v/>
      </c>
      <c r="F226" s="100">
        <f ca="1">IF(C226="FIXED",INDIRECT("'NVRAM map'!"&amp;ADDRESS(ROW()+2,COLUMN('NVRAM map'!AM:AM))),"")</f>
        <v>0</v>
      </c>
      <c r="G226" s="99"/>
    </row>
    <row r="227" spans="1:7">
      <c r="A227" s="99" t="str">
        <f ca="1">SUBSTITUTE(UPPER(IF(INDIRECT("'NVRAM map'!"&amp;ADDRESS(ROW()+2,COLUMN('NVRAM map'!AG:AG)))="-",INDIRECT("'NVRAM map'!"&amp;ADDRESS(ROW()+2,COLUMN('NVRAM map'!AS:AS))),INDIRECT("'NVRAM map'!"&amp;ADDRESS(ROW()+2,COLUMN('NVRAM map'!AS:AS)))&amp;"_"&amp;INDIRECT("'NVRAM map'!"&amp;ADDRESS(ROW()+2,COLUMN('NVRAM map'!AG:AG))))),"__","_")</f>
        <v>EE_TRIM3_TRIM_VDDA_3V</v>
      </c>
      <c r="B227" s="100" t="str">
        <f ca="1">IF(OR(INDIRECT("'NVRAM map'!"&amp;ADDRESS(ROW()+2,COLUMN('NVRAM map'!D:D)))="-",A227="_"),"x","")</f>
        <v/>
      </c>
      <c r="C227" s="100" t="str">
        <f ca="1">IF(B227="x","FIXED",INDIRECT("'NVRAM map'!"&amp;ADDRESS(ROW()+2,COLUMN('NVRAM map'!I:I))))</f>
        <v>TRIMMED</v>
      </c>
      <c r="D227" s="100">
        <f ca="1">IF(C227="FIXED","",INDIRECT("'NVRAM map'!"&amp;ADDRESS(ROW()+2,COLUMN('NVRAM map'!K:K))))</f>
        <v>0</v>
      </c>
      <c r="E227" s="100">
        <f ca="1">IF(C227="FIXED","",INDIRECT("'NVRAM map'!"&amp;ADDRESS(ROW()+2,COLUMN('NVRAM map'!L:L))))</f>
        <v>7</v>
      </c>
      <c r="F227" s="100" t="str">
        <f ca="1">IF(C227="FIXED",INDIRECT("'NVRAM map'!"&amp;ADDRESS(ROW()+2,COLUMN('NVRAM map'!AM:AM))),"")</f>
        <v/>
      </c>
      <c r="G227" s="99"/>
    </row>
    <row r="228" spans="1:7">
      <c r="A228" s="99" t="str">
        <f ca="1">SUBSTITUTE(UPPER(IF(INDIRECT("'NVRAM map'!"&amp;ADDRESS(ROW()+2,COLUMN('NVRAM map'!AG:AG)))="-",INDIRECT("'NVRAM map'!"&amp;ADDRESS(ROW()+2,COLUMN('NVRAM map'!AS:AS))),INDIRECT("'NVRAM map'!"&amp;ADDRESS(ROW()+2,COLUMN('NVRAM map'!AS:AS)))&amp;"_"&amp;INDIRECT("'NVRAM map'!"&amp;ADDRESS(ROW()+2,COLUMN('NVRAM map'!AG:AG))))),"__","_")</f>
        <v>EE_TRIM3_PADC_RTZ</v>
      </c>
      <c r="B228" s="100" t="str">
        <f ca="1">IF(OR(INDIRECT("'NVRAM map'!"&amp;ADDRESS(ROW()+2,COLUMN('NVRAM map'!D:D)))="-",A228="_"),"x","")</f>
        <v/>
      </c>
      <c r="C228" s="100" t="str">
        <f ca="1">IF(B228="x","FIXED",INDIRECT("'NVRAM map'!"&amp;ADDRESS(ROW()+2,COLUMN('NVRAM map'!I:I))))</f>
        <v>FIXED</v>
      </c>
      <c r="D228" s="100" t="str">
        <f ca="1">IF(C228="FIXED","",INDIRECT("'NVRAM map'!"&amp;ADDRESS(ROW()+2,COLUMN('NVRAM map'!K:K))))</f>
        <v/>
      </c>
      <c r="E228" s="100" t="str">
        <f ca="1">IF(C228="FIXED","",INDIRECT("'NVRAM map'!"&amp;ADDRESS(ROW()+2,COLUMN('NVRAM map'!L:L))))</f>
        <v/>
      </c>
      <c r="F228" s="100">
        <f ca="1">IF(C228="FIXED",INDIRECT("'NVRAM map'!"&amp;ADDRESS(ROW()+2,COLUMN('NVRAM map'!AM:AM))),"")</f>
        <v>0</v>
      </c>
      <c r="G228" s="99"/>
    </row>
    <row r="229" spans="1:7">
      <c r="A229" s="99" t="str">
        <f ca="1">SUBSTITUTE(UPPER(IF(INDIRECT("'NVRAM map'!"&amp;ADDRESS(ROW()+2,COLUMN('NVRAM map'!AG:AG)))="-",INDIRECT("'NVRAM map'!"&amp;ADDRESS(ROW()+2,COLUMN('NVRAM map'!AS:AS))),INDIRECT("'NVRAM map'!"&amp;ADDRESS(ROW()+2,COLUMN('NVRAM map'!AS:AS)))&amp;"_"&amp;INDIRECT("'NVRAM map'!"&amp;ADDRESS(ROW()+2,COLUMN('NVRAM map'!AG:AG))))),"__","_")</f>
        <v>EE_TRIM3_PADC_INVERT_MODE</v>
      </c>
      <c r="B229" s="100" t="str">
        <f ca="1">IF(OR(INDIRECT("'NVRAM map'!"&amp;ADDRESS(ROW()+2,COLUMN('NVRAM map'!D:D)))="-",A229="_"),"x","")</f>
        <v/>
      </c>
      <c r="C229" s="100" t="str">
        <f ca="1">IF(B229="x","FIXED",INDIRECT("'NVRAM map'!"&amp;ADDRESS(ROW()+2,COLUMN('NVRAM map'!I:I))))</f>
        <v>FIXED</v>
      </c>
      <c r="D229" s="100" t="str">
        <f ca="1">IF(C229="FIXED","",INDIRECT("'NVRAM map'!"&amp;ADDRESS(ROW()+2,COLUMN('NVRAM map'!K:K))))</f>
        <v/>
      </c>
      <c r="E229" s="100" t="str">
        <f ca="1">IF(C229="FIXED","",INDIRECT("'NVRAM map'!"&amp;ADDRESS(ROW()+2,COLUMN('NVRAM map'!L:L))))</f>
        <v/>
      </c>
      <c r="F229" s="100">
        <f ca="1">IF(C229="FIXED",INDIRECT("'NVRAM map'!"&amp;ADDRESS(ROW()+2,COLUMN('NVRAM map'!AM:AM))),"")</f>
        <v>0</v>
      </c>
      <c r="G229" s="99"/>
    </row>
    <row r="230" spans="1:7">
      <c r="A230" s="99" t="str">
        <f ca="1">SUBSTITUTE(UPPER(IF(INDIRECT("'NVRAM map'!"&amp;ADDRESS(ROW()+2,COLUMN('NVRAM map'!AG:AG)))="-",INDIRECT("'NVRAM map'!"&amp;ADDRESS(ROW()+2,COLUMN('NVRAM map'!AS:AS))),INDIRECT("'NVRAM map'!"&amp;ADDRESS(ROW()+2,COLUMN('NVRAM map'!AS:AS)))&amp;"_"&amp;INDIRECT("'NVRAM map'!"&amp;ADDRESS(ROW()+2,COLUMN('NVRAM map'!AG:AG))))),"__","_")</f>
        <v>EE_TRIM3_PADC_INT1_CURR</v>
      </c>
      <c r="B230" s="100" t="str">
        <f ca="1">IF(OR(INDIRECT("'NVRAM map'!"&amp;ADDRESS(ROW()+2,COLUMN('NVRAM map'!D:D)))="-",A230="_"),"x","")</f>
        <v/>
      </c>
      <c r="C230" s="100" t="str">
        <f ca="1">IF(B230="x","FIXED",INDIRECT("'NVRAM map'!"&amp;ADDRESS(ROW()+2,COLUMN('NVRAM map'!I:I))))</f>
        <v>FIXED</v>
      </c>
      <c r="D230" s="100" t="str">
        <f ca="1">IF(C230="FIXED","",INDIRECT("'NVRAM map'!"&amp;ADDRESS(ROW()+2,COLUMN('NVRAM map'!K:K))))</f>
        <v/>
      </c>
      <c r="E230" s="100" t="str">
        <f ca="1">IF(C230="FIXED","",INDIRECT("'NVRAM map'!"&amp;ADDRESS(ROW()+2,COLUMN('NVRAM map'!L:L))))</f>
        <v/>
      </c>
      <c r="F230" s="100">
        <f ca="1">IF(C230="FIXED",INDIRECT("'NVRAM map'!"&amp;ADDRESS(ROW()+2,COLUMN('NVRAM map'!AM:AM))),"")</f>
        <v>0</v>
      </c>
      <c r="G230" s="99"/>
    </row>
    <row r="231" spans="1:7">
      <c r="A231" s="99" t="str">
        <f ca="1">SUBSTITUTE(UPPER(IF(INDIRECT("'NVRAM map'!"&amp;ADDRESS(ROW()+2,COLUMN('NVRAM map'!AG:AG)))="-",INDIRECT("'NVRAM map'!"&amp;ADDRESS(ROW()+2,COLUMN('NVRAM map'!AS:AS))),INDIRECT("'NVRAM map'!"&amp;ADDRESS(ROW()+2,COLUMN('NVRAM map'!AS:AS)))&amp;"_"&amp;INDIRECT("'NVRAM map'!"&amp;ADDRESS(ROW()+2,COLUMN('NVRAM map'!AG:AG))))),"__","_")</f>
        <v>EE_TRIM3_PADC_SEL_CHOP_INT_SYS</v>
      </c>
      <c r="B231" s="100" t="str">
        <f ca="1">IF(OR(INDIRECT("'NVRAM map'!"&amp;ADDRESS(ROW()+2,COLUMN('NVRAM map'!D:D)))="-",A231="_"),"x","")</f>
        <v/>
      </c>
      <c r="C231" s="100" t="str">
        <f ca="1">IF(B231="x","FIXED",INDIRECT("'NVRAM map'!"&amp;ADDRESS(ROW()+2,COLUMN('NVRAM map'!I:I))))</f>
        <v>FIXED</v>
      </c>
      <c r="D231" s="100" t="str">
        <f ca="1">IF(C231="FIXED","",INDIRECT("'NVRAM map'!"&amp;ADDRESS(ROW()+2,COLUMN('NVRAM map'!K:K))))</f>
        <v/>
      </c>
      <c r="E231" s="100" t="str">
        <f ca="1">IF(C231="FIXED","",INDIRECT("'NVRAM map'!"&amp;ADDRESS(ROW()+2,COLUMN('NVRAM map'!L:L))))</f>
        <v/>
      </c>
      <c r="F231" s="100">
        <f ca="1">IF(C231="FIXED",INDIRECT("'NVRAM map'!"&amp;ADDRESS(ROW()+2,COLUMN('NVRAM map'!AM:AM))),"")</f>
        <v>0</v>
      </c>
      <c r="G231" s="99"/>
    </row>
    <row r="232" spans="1:7">
      <c r="A232" s="99" t="str">
        <f ca="1">SUBSTITUTE(UPPER(IF(INDIRECT("'NVRAM map'!"&amp;ADDRESS(ROW()+2,COLUMN('NVRAM map'!AG:AG)))="-",INDIRECT("'NVRAM map'!"&amp;ADDRESS(ROW()+2,COLUMN('NVRAM map'!AS:AS))),INDIRECT("'NVRAM map'!"&amp;ADDRESS(ROW()+2,COLUMN('NVRAM map'!AS:AS)))&amp;"_"&amp;INDIRECT("'NVRAM map'!"&amp;ADDRESS(ROW()+2,COLUMN('NVRAM map'!AG:AG))))),"__","_")</f>
        <v>EE_TRIM3_PADC_SEL_COMP_CLK</v>
      </c>
      <c r="B232" s="100" t="str">
        <f ca="1">IF(OR(INDIRECT("'NVRAM map'!"&amp;ADDRESS(ROW()+2,COLUMN('NVRAM map'!D:D)))="-",A232="_"),"x","")</f>
        <v/>
      </c>
      <c r="C232" s="100" t="str">
        <f ca="1">IF(B232="x","FIXED",INDIRECT("'NVRAM map'!"&amp;ADDRESS(ROW()+2,COLUMN('NVRAM map'!I:I))))</f>
        <v>FIXED</v>
      </c>
      <c r="D232" s="100" t="str">
        <f ca="1">IF(C232="FIXED","",INDIRECT("'NVRAM map'!"&amp;ADDRESS(ROW()+2,COLUMN('NVRAM map'!K:K))))</f>
        <v/>
      </c>
      <c r="E232" s="100" t="str">
        <f ca="1">IF(C232="FIXED","",INDIRECT("'NVRAM map'!"&amp;ADDRESS(ROW()+2,COLUMN('NVRAM map'!L:L))))</f>
        <v/>
      </c>
      <c r="F232" s="100">
        <f ca="1">IF(C232="FIXED",INDIRECT("'NVRAM map'!"&amp;ADDRESS(ROW()+2,COLUMN('NVRAM map'!AM:AM))),"")</f>
        <v>0</v>
      </c>
      <c r="G232" s="99"/>
    </row>
    <row r="233" spans="1:7">
      <c r="A233" s="99" t="str">
        <f ca="1">SUBSTITUTE(UPPER(IF(INDIRECT("'NVRAM map'!"&amp;ADDRESS(ROW()+2,COLUMN('NVRAM map'!AG:AG)))="-",INDIRECT("'NVRAM map'!"&amp;ADDRESS(ROW()+2,COLUMN('NVRAM map'!AS:AS))),INDIRECT("'NVRAM map'!"&amp;ADDRESS(ROW()+2,COLUMN('NVRAM map'!AS:AS)))&amp;"_"&amp;INDIRECT("'NVRAM map'!"&amp;ADDRESS(ROW()+2,COLUMN('NVRAM map'!AG:AG))))),"__","_")</f>
        <v>EE_TRIM3_PADC_DITHER</v>
      </c>
      <c r="B233" s="100" t="str">
        <f ca="1">IF(OR(INDIRECT("'NVRAM map'!"&amp;ADDRESS(ROW()+2,COLUMN('NVRAM map'!D:D)))="-",A233="_"),"x","")</f>
        <v/>
      </c>
      <c r="C233" s="100" t="str">
        <f ca="1">IF(B233="x","FIXED",INDIRECT("'NVRAM map'!"&amp;ADDRESS(ROW()+2,COLUMN('NVRAM map'!I:I))))</f>
        <v>FIXED</v>
      </c>
      <c r="D233" s="100" t="str">
        <f ca="1">IF(C233="FIXED","",INDIRECT("'NVRAM map'!"&amp;ADDRESS(ROW()+2,COLUMN('NVRAM map'!K:K))))</f>
        <v/>
      </c>
      <c r="E233" s="100" t="str">
        <f ca="1">IF(C233="FIXED","",INDIRECT("'NVRAM map'!"&amp;ADDRESS(ROW()+2,COLUMN('NVRAM map'!L:L))))</f>
        <v/>
      </c>
      <c r="F233" s="100">
        <f ca="1">IF(C233="FIXED",INDIRECT("'NVRAM map'!"&amp;ADDRESS(ROW()+2,COLUMN('NVRAM map'!AM:AM))),"")</f>
        <v>0</v>
      </c>
      <c r="G233" s="99"/>
    </row>
    <row r="234" spans="1:7">
      <c r="A234" s="99" t="str">
        <f ca="1">SUBSTITUTE(UPPER(IF(INDIRECT("'NVRAM map'!"&amp;ADDRESS(ROW()+2,COLUMN('NVRAM map'!AG:AG)))="-",INDIRECT("'NVRAM map'!"&amp;ADDRESS(ROW()+2,COLUMN('NVRAM map'!AS:AS))),INDIRECT("'NVRAM map'!"&amp;ADDRESS(ROW()+2,COLUMN('NVRAM map'!AS:AS)))&amp;"_"&amp;INDIRECT("'NVRAM map'!"&amp;ADDRESS(ROW()+2,COLUMN('NVRAM map'!AG:AG))))),"__","_")</f>
        <v>EE_DSP_CONF</v>
      </c>
      <c r="B234" s="100" t="str">
        <f ca="1">IF(OR(INDIRECT("'NVRAM map'!"&amp;ADDRESS(ROW()+2,COLUMN('NVRAM map'!D:D)))="-",A234="_"),"x","")</f>
        <v>x</v>
      </c>
      <c r="C234" s="100" t="str">
        <f ca="1">IF(B234="x","FIXED",INDIRECT("'NVRAM map'!"&amp;ADDRESS(ROW()+2,COLUMN('NVRAM map'!I:I))))</f>
        <v>FIXED</v>
      </c>
      <c r="D234" s="100" t="str">
        <f ca="1">IF(C234="FIXED","",INDIRECT("'NVRAM map'!"&amp;ADDRESS(ROW()+2,COLUMN('NVRAM map'!K:K))))</f>
        <v/>
      </c>
      <c r="E234" s="100" t="str">
        <f ca="1">IF(C234="FIXED","",INDIRECT("'NVRAM map'!"&amp;ADDRESS(ROW()+2,COLUMN('NVRAM map'!L:L))))</f>
        <v/>
      </c>
      <c r="F234" s="100">
        <f ca="1">IF(C234="FIXED",INDIRECT("'NVRAM map'!"&amp;ADDRESS(ROW()+2,COLUMN('NVRAM map'!AM:AM))),"")</f>
        <v>0</v>
      </c>
      <c r="G234" s="99"/>
    </row>
    <row r="235" spans="1:7">
      <c r="A235" s="99" t="str">
        <f ca="1">SUBSTITUTE(UPPER(IF(INDIRECT("'NVRAM map'!"&amp;ADDRESS(ROW()+2,COLUMN('NVRAM map'!AG:AG)))="-",INDIRECT("'NVRAM map'!"&amp;ADDRESS(ROW()+2,COLUMN('NVRAM map'!AS:AS))),INDIRECT("'NVRAM map'!"&amp;ADDRESS(ROW()+2,COLUMN('NVRAM map'!AS:AS)))&amp;"_"&amp;INDIRECT("'NVRAM map'!"&amp;ADDRESS(ROW()+2,COLUMN('NVRAM map'!AG:AG))))),"__","_")</f>
        <v>EE_DSP_CONF_VIRT_REF_TMEMS_DIAG_BASE</v>
      </c>
      <c r="B235" s="100" t="str">
        <f ca="1">IF(OR(INDIRECT("'NVRAM map'!"&amp;ADDRESS(ROW()+2,COLUMN('NVRAM map'!D:D)))="-",A235="_"),"x","")</f>
        <v/>
      </c>
      <c r="C235" s="100" t="str">
        <f ca="1">IF(B235="x","FIXED",INDIRECT("'NVRAM map'!"&amp;ADDRESS(ROW()+2,COLUMN('NVRAM map'!I:I))))</f>
        <v>TRIMMED</v>
      </c>
      <c r="D235" s="100">
        <f ca="1">IF(C235="FIXED","",INDIRECT("'NVRAM map'!"&amp;ADDRESS(ROW()+2,COLUMN('NVRAM map'!K:K))))</f>
        <v>-256</v>
      </c>
      <c r="E235" s="100">
        <f ca="1">IF(C235="FIXED","",INDIRECT("'NVRAM map'!"&amp;ADDRESS(ROW()+2,COLUMN('NVRAM map'!L:L))))</f>
        <v>255</v>
      </c>
      <c r="F235" s="100" t="str">
        <f ca="1">IF(C235="FIXED",INDIRECT("'NVRAM map'!"&amp;ADDRESS(ROW()+2,COLUMN('NVRAM map'!AM:AM))),"")</f>
        <v/>
      </c>
      <c r="G235" s="99"/>
    </row>
    <row r="236" spans="1:7">
      <c r="A236" s="99" t="str">
        <f ca="1">SUBSTITUTE(UPPER(IF(INDIRECT("'NVRAM map'!"&amp;ADDRESS(ROW()+2,COLUMN('NVRAM map'!AG:AG)))="-",INDIRECT("'NVRAM map'!"&amp;ADDRESS(ROW()+2,COLUMN('NVRAM map'!AS:AS))),INDIRECT("'NVRAM map'!"&amp;ADDRESS(ROW()+2,COLUMN('NVRAM map'!AS:AS)))&amp;"_"&amp;INDIRECT("'NVRAM map'!"&amp;ADDRESS(ROW()+2,COLUMN('NVRAM map'!AG:AG))))),"__","_")</f>
        <v>EE_DSP_CONF_TMEMS_GAIN</v>
      </c>
      <c r="B236" s="100" t="str">
        <f ca="1">IF(OR(INDIRECT("'NVRAM map'!"&amp;ADDRESS(ROW()+2,COLUMN('NVRAM map'!D:D)))="-",A236="_"),"x","")</f>
        <v/>
      </c>
      <c r="C236" s="100" t="str">
        <f ca="1">IF(B236="x","FIXED",INDIRECT("'NVRAM map'!"&amp;ADDRESS(ROW()+2,COLUMN('NVRAM map'!I:I))))</f>
        <v>TRIMMED</v>
      </c>
      <c r="D236" s="100">
        <f ca="1">IF(C236="FIXED","",INDIRECT("'NVRAM map'!"&amp;ADDRESS(ROW()+2,COLUMN('NVRAM map'!K:K))))</f>
        <v>0</v>
      </c>
      <c r="E236" s="100">
        <f ca="1">IF(C236="FIXED","",INDIRECT("'NVRAM map'!"&amp;ADDRESS(ROW()+2,COLUMN('NVRAM map'!L:L))))</f>
        <v>7</v>
      </c>
      <c r="F236" s="100" t="str">
        <f ca="1">IF(C236="FIXED",INDIRECT("'NVRAM map'!"&amp;ADDRESS(ROW()+2,COLUMN('NVRAM map'!AM:AM))),"")</f>
        <v/>
      </c>
      <c r="G236" s="99"/>
    </row>
    <row r="237" spans="1:7">
      <c r="A237" s="99" t="str">
        <f ca="1">SUBSTITUTE(UPPER(IF(INDIRECT("'NVRAM map'!"&amp;ADDRESS(ROW()+2,COLUMN('NVRAM map'!AG:AG)))="-",INDIRECT("'NVRAM map'!"&amp;ADDRESS(ROW()+2,COLUMN('NVRAM map'!AS:AS))),INDIRECT("'NVRAM map'!"&amp;ADDRESS(ROW()+2,COLUMN('NVRAM map'!AS:AS)))&amp;"_"&amp;INDIRECT("'NVRAM map'!"&amp;ADDRESS(ROW()+2,COLUMN('NVRAM map'!AG:AG))))),"__","_")</f>
        <v>EE_DSP_CONF_TMEMS_SEL</v>
      </c>
      <c r="B237" s="100" t="str">
        <f ca="1">IF(OR(INDIRECT("'NVRAM map'!"&amp;ADDRESS(ROW()+2,COLUMN('NVRAM map'!D:D)))="-",A237="_"),"x","")</f>
        <v/>
      </c>
      <c r="C237" s="100" t="str">
        <f ca="1">IF(B237="x","FIXED",INDIRECT("'NVRAM map'!"&amp;ADDRESS(ROW()+2,COLUMN('NVRAM map'!I:I))))</f>
        <v>FIXED</v>
      </c>
      <c r="D237" s="100" t="str">
        <f ca="1">IF(C237="FIXED","",INDIRECT("'NVRAM map'!"&amp;ADDRESS(ROW()+2,COLUMN('NVRAM map'!K:K))))</f>
        <v/>
      </c>
      <c r="E237" s="100" t="str">
        <f ca="1">IF(C237="FIXED","",INDIRECT("'NVRAM map'!"&amp;ADDRESS(ROW()+2,COLUMN('NVRAM map'!L:L))))</f>
        <v/>
      </c>
      <c r="F237" s="100">
        <f ca="1">IF(C237="FIXED",INDIRECT("'NVRAM map'!"&amp;ADDRESS(ROW()+2,COLUMN('NVRAM map'!AM:AM))),"")</f>
        <v>3</v>
      </c>
      <c r="G237" s="99"/>
    </row>
    <row r="238" spans="1:7">
      <c r="A238" s="99" t="str">
        <f ca="1">SUBSTITUTE(UPPER(IF(INDIRECT("'NVRAM map'!"&amp;ADDRESS(ROW()+2,COLUMN('NVRAM map'!AG:AG)))="-",INDIRECT("'NVRAM map'!"&amp;ADDRESS(ROW()+2,COLUMN('NVRAM map'!AS:AS))),INDIRECT("'NVRAM map'!"&amp;ADDRESS(ROW()+2,COLUMN('NVRAM map'!AS:AS)))&amp;"_"&amp;INDIRECT("'NVRAM map'!"&amp;ADDRESS(ROW()+2,COLUMN('NVRAM map'!AG:AG))))),"__","_")</f>
        <v>EE_DSP_CONF_MADC_N_BIT_SHIFT_ADD</v>
      </c>
      <c r="B238" s="100" t="str">
        <f ca="1">IF(OR(INDIRECT("'NVRAM map'!"&amp;ADDRESS(ROW()+2,COLUMN('NVRAM map'!D:D)))="-",A238="_"),"x","")</f>
        <v/>
      </c>
      <c r="C238" s="100" t="str">
        <f ca="1">IF(B238="x","FIXED",INDIRECT("'NVRAM map'!"&amp;ADDRESS(ROW()+2,COLUMN('NVRAM map'!I:I))))</f>
        <v>FIXED</v>
      </c>
      <c r="D238" s="100" t="str">
        <f ca="1">IF(C238="FIXED","",INDIRECT("'NVRAM map'!"&amp;ADDRESS(ROW()+2,COLUMN('NVRAM map'!K:K))))</f>
        <v/>
      </c>
      <c r="E238" s="100" t="str">
        <f ca="1">IF(C238="FIXED","",INDIRECT("'NVRAM map'!"&amp;ADDRESS(ROW()+2,COLUMN('NVRAM map'!L:L))))</f>
        <v/>
      </c>
      <c r="F238" s="100">
        <f ca="1">IF(C238="FIXED",INDIRECT("'NVRAM map'!"&amp;ADDRESS(ROW()+2,COLUMN('NVRAM map'!AM:AM))),"")</f>
        <v>2</v>
      </c>
      <c r="G238" s="99"/>
    </row>
    <row r="239" spans="1:7">
      <c r="A239" s="99" t="str">
        <f ca="1">SUBSTITUTE(UPPER(IF(INDIRECT("'NVRAM map'!"&amp;ADDRESS(ROW()+2,COLUMN('NVRAM map'!AG:AG)))="-",INDIRECT("'NVRAM map'!"&amp;ADDRESS(ROW()+2,COLUMN('NVRAM map'!AS:AS))),INDIRECT("'NVRAM map'!"&amp;ADDRESS(ROW()+2,COLUMN('NVRAM map'!AS:AS)))&amp;"_"&amp;INDIRECT("'NVRAM map'!"&amp;ADDRESS(ROW()+2,COLUMN('NVRAM map'!AG:AG))))),"__","_")</f>
        <v>EE_VIRT_REF_CONF</v>
      </c>
      <c r="B239" s="100" t="str">
        <f ca="1">IF(OR(INDIRECT("'NVRAM map'!"&amp;ADDRESS(ROW()+2,COLUMN('NVRAM map'!D:D)))="-",A239="_"),"x","")</f>
        <v>x</v>
      </c>
      <c r="C239" s="100" t="str">
        <f ca="1">IF(B239="x","FIXED",INDIRECT("'NVRAM map'!"&amp;ADDRESS(ROW()+2,COLUMN('NVRAM map'!I:I))))</f>
        <v>FIXED</v>
      </c>
      <c r="D239" s="100" t="str">
        <f ca="1">IF(C239="FIXED","",INDIRECT("'NVRAM map'!"&amp;ADDRESS(ROW()+2,COLUMN('NVRAM map'!K:K))))</f>
        <v/>
      </c>
      <c r="E239" s="100" t="str">
        <f ca="1">IF(C239="FIXED","",INDIRECT("'NVRAM map'!"&amp;ADDRESS(ROW()+2,COLUMN('NVRAM map'!L:L))))</f>
        <v/>
      </c>
      <c r="F239" s="100">
        <f ca="1">IF(C239="FIXED",INDIRECT("'NVRAM map'!"&amp;ADDRESS(ROW()+2,COLUMN('NVRAM map'!AM:AM))),"")</f>
        <v>0</v>
      </c>
      <c r="G239" s="99"/>
    </row>
    <row r="240" spans="1:7">
      <c r="A240" s="99" t="str">
        <f ca="1">SUBSTITUTE(UPPER(IF(INDIRECT("'NVRAM map'!"&amp;ADDRESS(ROW()+2,COLUMN('NVRAM map'!AG:AG)))="-",INDIRECT("'NVRAM map'!"&amp;ADDRESS(ROW()+2,COLUMN('NVRAM map'!AS:AS))),INDIRECT("'NVRAM map'!"&amp;ADDRESS(ROW()+2,COLUMN('NVRAM map'!AS:AS)))&amp;"_"&amp;INDIRECT("'NVRAM map'!"&amp;ADDRESS(ROW()+2,COLUMN('NVRAM map'!AG:AG))))),"__","_")</f>
        <v>EE_VIRT_REF_CONF_VIRT_REF_K_MEMS</v>
      </c>
      <c r="B240" s="100" t="str">
        <f ca="1">IF(OR(INDIRECT("'NVRAM map'!"&amp;ADDRESS(ROW()+2,COLUMN('NVRAM map'!D:D)))="-",A240="_"),"x","")</f>
        <v/>
      </c>
      <c r="C240" s="100" t="str">
        <f ca="1">IF(B240="x","FIXED",INDIRECT("'NVRAM map'!"&amp;ADDRESS(ROW()+2,COLUMN('NVRAM map'!I:I))))</f>
        <v>FIXED</v>
      </c>
      <c r="D240" s="100" t="str">
        <f ca="1">IF(C240="FIXED","",INDIRECT("'NVRAM map'!"&amp;ADDRESS(ROW()+2,COLUMN('NVRAM map'!K:K))))</f>
        <v/>
      </c>
      <c r="E240" s="100" t="str">
        <f ca="1">IF(C240="FIXED","",INDIRECT("'NVRAM map'!"&amp;ADDRESS(ROW()+2,COLUMN('NVRAM map'!L:L))))</f>
        <v/>
      </c>
      <c r="F240" s="100">
        <f ca="1">IF(C240="FIXED",INDIRECT("'NVRAM map'!"&amp;ADDRESS(ROW()+2,COLUMN('NVRAM map'!AM:AM))),"")</f>
        <v>92</v>
      </c>
      <c r="G240" s="99"/>
    </row>
    <row r="241" spans="1:7">
      <c r="A241" s="99" t="str">
        <f ca="1">SUBSTITUTE(UPPER(IF(INDIRECT("'NVRAM map'!"&amp;ADDRESS(ROW()+2,COLUMN('NVRAM map'!AG:AG)))="-",INDIRECT("'NVRAM map'!"&amp;ADDRESS(ROW()+2,COLUMN('NVRAM map'!AS:AS))),INDIRECT("'NVRAM map'!"&amp;ADDRESS(ROW()+2,COLUMN('NVRAM map'!AS:AS)))&amp;"_"&amp;INDIRECT("'NVRAM map'!"&amp;ADDRESS(ROW()+2,COLUMN('NVRAM map'!AG:AG))))),"__","_")</f>
        <v>EE_VIRT_REF_CONF_VIRT_REF_K_INT</v>
      </c>
      <c r="B241" s="100" t="str">
        <f ca="1">IF(OR(INDIRECT("'NVRAM map'!"&amp;ADDRESS(ROW()+2,COLUMN('NVRAM map'!D:D)))="-",A241="_"),"x","")</f>
        <v/>
      </c>
      <c r="C241" s="100" t="str">
        <f ca="1">IF(B241="x","FIXED",INDIRECT("'NVRAM map'!"&amp;ADDRESS(ROW()+2,COLUMN('NVRAM map'!I:I))))</f>
        <v>FIXED</v>
      </c>
      <c r="D241" s="100" t="str">
        <f ca="1">IF(C241="FIXED","",INDIRECT("'NVRAM map'!"&amp;ADDRESS(ROW()+2,COLUMN('NVRAM map'!K:K))))</f>
        <v/>
      </c>
      <c r="E241" s="100" t="str">
        <f ca="1">IF(C241="FIXED","",INDIRECT("'NVRAM map'!"&amp;ADDRESS(ROW()+2,COLUMN('NVRAM map'!L:L))))</f>
        <v/>
      </c>
      <c r="F241" s="100">
        <f ca="1">IF(C241="FIXED",INDIRECT("'NVRAM map'!"&amp;ADDRESS(ROW()+2,COLUMN('NVRAM map'!AM:AM))),"")</f>
        <v>112</v>
      </c>
      <c r="G241" s="99"/>
    </row>
    <row r="242" spans="1:7">
      <c r="A242" s="99" t="str">
        <f ca="1">SUBSTITUTE(UPPER(IF(INDIRECT("'NVRAM map'!"&amp;ADDRESS(ROW()+2,COLUMN('NVRAM map'!AG:AG)))="-",INDIRECT("'NVRAM map'!"&amp;ADDRESS(ROW()+2,COLUMN('NVRAM map'!AS:AS))),INDIRECT("'NVRAM map'!"&amp;ADDRESS(ROW()+2,COLUMN('NVRAM map'!AS:AS)))&amp;"_"&amp;INDIRECT("'NVRAM map'!"&amp;ADDRESS(ROW()+2,COLUMN('NVRAM map'!AG:AG))))),"__","_")</f>
        <v>EE_AFE_DIG0</v>
      </c>
      <c r="B242" s="100" t="str">
        <f ca="1">IF(OR(INDIRECT("'NVRAM map'!"&amp;ADDRESS(ROW()+2,COLUMN('NVRAM map'!D:D)))="-",A242="_"),"x","")</f>
        <v>x</v>
      </c>
      <c r="C242" s="100" t="str">
        <f ca="1">IF(B242="x","FIXED",INDIRECT("'NVRAM map'!"&amp;ADDRESS(ROW()+2,COLUMN('NVRAM map'!I:I))))</f>
        <v>FIXED</v>
      </c>
      <c r="D242" s="100" t="str">
        <f ca="1">IF(C242="FIXED","",INDIRECT("'NVRAM map'!"&amp;ADDRESS(ROW()+2,COLUMN('NVRAM map'!K:K))))</f>
        <v/>
      </c>
      <c r="E242" s="100" t="str">
        <f ca="1">IF(C242="FIXED","",INDIRECT("'NVRAM map'!"&amp;ADDRESS(ROW()+2,COLUMN('NVRAM map'!L:L))))</f>
        <v/>
      </c>
      <c r="F242" s="100">
        <f ca="1">IF(C242="FIXED",INDIRECT("'NVRAM map'!"&amp;ADDRESS(ROW()+2,COLUMN('NVRAM map'!AM:AM))),"")</f>
        <v>0</v>
      </c>
      <c r="G242" s="99"/>
    </row>
    <row r="243" spans="1:7">
      <c r="A243" s="99" t="str">
        <f ca="1">SUBSTITUTE(UPPER(IF(INDIRECT("'NVRAM map'!"&amp;ADDRESS(ROW()+2,COLUMN('NVRAM map'!AG:AG)))="-",INDIRECT("'NVRAM map'!"&amp;ADDRESS(ROW()+2,COLUMN('NVRAM map'!AS:AS))),INDIRECT("'NVRAM map'!"&amp;ADDRESS(ROW()+2,COLUMN('NVRAM map'!AS:AS)))&amp;"_"&amp;INDIRECT("'NVRAM map'!"&amp;ADDRESS(ROW()+2,COLUMN('NVRAM map'!AG:AG))))),"__","_")</f>
        <v>EE_AFE_DIG0_PADC_FIX_DEM</v>
      </c>
      <c r="B243" s="100" t="str">
        <f ca="1">IF(OR(INDIRECT("'NVRAM map'!"&amp;ADDRESS(ROW()+2,COLUMN('NVRAM map'!D:D)))="-",A243="_"),"x","")</f>
        <v/>
      </c>
      <c r="C243" s="100" t="str">
        <f ca="1">IF(B243="x","FIXED",INDIRECT("'NVRAM map'!"&amp;ADDRESS(ROW()+2,COLUMN('NVRAM map'!I:I))))</f>
        <v>FIXED</v>
      </c>
      <c r="D243" s="100" t="str">
        <f ca="1">IF(C243="FIXED","",INDIRECT("'NVRAM map'!"&amp;ADDRESS(ROW()+2,COLUMN('NVRAM map'!K:K))))</f>
        <v/>
      </c>
      <c r="E243" s="100" t="str">
        <f ca="1">IF(C243="FIXED","",INDIRECT("'NVRAM map'!"&amp;ADDRESS(ROW()+2,COLUMN('NVRAM map'!L:L))))</f>
        <v/>
      </c>
      <c r="F243" s="100">
        <f ca="1">IF(C243="FIXED",INDIRECT("'NVRAM map'!"&amp;ADDRESS(ROW()+2,COLUMN('NVRAM map'!AM:AM))),"")</f>
        <v>0</v>
      </c>
      <c r="G243" s="99"/>
    </row>
    <row r="244" spans="1:7">
      <c r="A244" s="99" t="str">
        <f ca="1">SUBSTITUTE(UPPER(IF(INDIRECT("'NVRAM map'!"&amp;ADDRESS(ROW()+2,COLUMN('NVRAM map'!AG:AG)))="-",INDIRECT("'NVRAM map'!"&amp;ADDRESS(ROW()+2,COLUMN('NVRAM map'!AS:AS))),INDIRECT("'NVRAM map'!"&amp;ADDRESS(ROW()+2,COLUMN('NVRAM map'!AS:AS)))&amp;"_"&amp;INDIRECT("'NVRAM map'!"&amp;ADDRESS(ROW()+2,COLUMN('NVRAM map'!AG:AG))))),"__","_")</f>
        <v>EE_AFE_DIG0_PADC_DEM_FIXED_VALUE</v>
      </c>
      <c r="B244" s="100" t="str">
        <f ca="1">IF(OR(INDIRECT("'NVRAM map'!"&amp;ADDRESS(ROW()+2,COLUMN('NVRAM map'!D:D)))="-",A244="_"),"x","")</f>
        <v/>
      </c>
      <c r="C244" s="100" t="str">
        <f ca="1">IF(B244="x","FIXED",INDIRECT("'NVRAM map'!"&amp;ADDRESS(ROW()+2,COLUMN('NVRAM map'!I:I))))</f>
        <v>FIXED</v>
      </c>
      <c r="D244" s="100" t="str">
        <f ca="1">IF(C244="FIXED","",INDIRECT("'NVRAM map'!"&amp;ADDRESS(ROW()+2,COLUMN('NVRAM map'!K:K))))</f>
        <v/>
      </c>
      <c r="E244" s="100" t="str">
        <f ca="1">IF(C244="FIXED","",INDIRECT("'NVRAM map'!"&amp;ADDRESS(ROW()+2,COLUMN('NVRAM map'!L:L))))</f>
        <v/>
      </c>
      <c r="F244" s="100">
        <f ca="1">IF(C244="FIXED",INDIRECT("'NVRAM map'!"&amp;ADDRESS(ROW()+2,COLUMN('NVRAM map'!AM:AM))),"")</f>
        <v>0</v>
      </c>
      <c r="G244" s="99"/>
    </row>
    <row r="245" spans="1:7">
      <c r="A245" s="99" t="str">
        <f ca="1">SUBSTITUTE(UPPER(IF(INDIRECT("'NVRAM map'!"&amp;ADDRESS(ROW()+2,COLUMN('NVRAM map'!AG:AG)))="-",INDIRECT("'NVRAM map'!"&amp;ADDRESS(ROW()+2,COLUMN('NVRAM map'!AS:AS))),INDIRECT("'NVRAM map'!"&amp;ADDRESS(ROW()+2,COLUMN('NVRAM map'!AS:AS)))&amp;"_"&amp;INDIRECT("'NVRAM map'!"&amp;ADDRESS(ROW()+2,COLUMN('NVRAM map'!AG:AG))))),"__","_")</f>
        <v>EE_AFE_DIG0_PADC_EN_CLEAR_EOC</v>
      </c>
      <c r="B245" s="100" t="str">
        <f ca="1">IF(OR(INDIRECT("'NVRAM map'!"&amp;ADDRESS(ROW()+2,COLUMN('NVRAM map'!D:D)))="-",A245="_"),"x","")</f>
        <v/>
      </c>
      <c r="C245" s="100" t="str">
        <f ca="1">IF(B245="x","FIXED",INDIRECT("'NVRAM map'!"&amp;ADDRESS(ROW()+2,COLUMN('NVRAM map'!I:I))))</f>
        <v>FIXED</v>
      </c>
      <c r="D245" s="100" t="str">
        <f ca="1">IF(C245="FIXED","",INDIRECT("'NVRAM map'!"&amp;ADDRESS(ROW()+2,COLUMN('NVRAM map'!K:K))))</f>
        <v/>
      </c>
      <c r="E245" s="100" t="str">
        <f ca="1">IF(C245="FIXED","",INDIRECT("'NVRAM map'!"&amp;ADDRESS(ROW()+2,COLUMN('NVRAM map'!L:L))))</f>
        <v/>
      </c>
      <c r="F245" s="100">
        <f ca="1">IF(C245="FIXED",INDIRECT("'NVRAM map'!"&amp;ADDRESS(ROW()+2,COLUMN('NVRAM map'!AM:AM))),"")</f>
        <v>1</v>
      </c>
      <c r="G245" s="99"/>
    </row>
    <row r="246" spans="1:7">
      <c r="A246" s="99" t="str">
        <f ca="1">SUBSTITUTE(UPPER(IF(INDIRECT("'NVRAM map'!"&amp;ADDRESS(ROW()+2,COLUMN('NVRAM map'!AG:AG)))="-",INDIRECT("'NVRAM map'!"&amp;ADDRESS(ROW()+2,COLUMN('NVRAM map'!AS:AS))),INDIRECT("'NVRAM map'!"&amp;ADDRESS(ROW()+2,COLUMN('NVRAM map'!AS:AS)))&amp;"_"&amp;INDIRECT("'NVRAM map'!"&amp;ADDRESS(ROW()+2,COLUMN('NVRAM map'!AG:AG))))),"__","_")</f>
        <v>EE_AFE_DIG0_PADC_N_BLIND_EOC</v>
      </c>
      <c r="B246" s="100" t="str">
        <f ca="1">IF(OR(INDIRECT("'NVRAM map'!"&amp;ADDRESS(ROW()+2,COLUMN('NVRAM map'!D:D)))="-",A246="_"),"x","")</f>
        <v/>
      </c>
      <c r="C246" s="100" t="str">
        <f ca="1">IF(B246="x","FIXED",INDIRECT("'NVRAM map'!"&amp;ADDRESS(ROW()+2,COLUMN('NVRAM map'!I:I))))</f>
        <v>FIXED</v>
      </c>
      <c r="D246" s="100" t="str">
        <f ca="1">IF(C246="FIXED","",INDIRECT("'NVRAM map'!"&amp;ADDRESS(ROW()+2,COLUMN('NVRAM map'!K:K))))</f>
        <v/>
      </c>
      <c r="E246" s="100" t="str">
        <f ca="1">IF(C246="FIXED","",INDIRECT("'NVRAM map'!"&amp;ADDRESS(ROW()+2,COLUMN('NVRAM map'!L:L))))</f>
        <v/>
      </c>
      <c r="F246" s="100">
        <f ca="1">IF(C246="FIXED",INDIRECT("'NVRAM map'!"&amp;ADDRESS(ROW()+2,COLUMN('NVRAM map'!AM:AM))),"")</f>
        <v>4</v>
      </c>
      <c r="G246" s="99"/>
    </row>
    <row r="247" spans="1:7">
      <c r="A247" s="99" t="str">
        <f ca="1">SUBSTITUTE(UPPER(IF(INDIRECT("'NVRAM map'!"&amp;ADDRESS(ROW()+2,COLUMN('NVRAM map'!AG:AG)))="-",INDIRECT("'NVRAM map'!"&amp;ADDRESS(ROW()+2,COLUMN('NVRAM map'!AS:AS))),INDIRECT("'NVRAM map'!"&amp;ADDRESS(ROW()+2,COLUMN('NVRAM map'!AS:AS)))&amp;"_"&amp;INDIRECT("'NVRAM map'!"&amp;ADDRESS(ROW()+2,COLUMN('NVRAM map'!AG:AG))))),"__","_")</f>
        <v>EE_AFE_DIG0_AFE_DIG0_RESERVED</v>
      </c>
      <c r="B247" s="100" t="str">
        <f ca="1">IF(OR(INDIRECT("'NVRAM map'!"&amp;ADDRESS(ROW()+2,COLUMN('NVRAM map'!D:D)))="-",A247="_"),"x","")</f>
        <v/>
      </c>
      <c r="C247" s="100" t="str">
        <f ca="1">IF(B247="x","FIXED",INDIRECT("'NVRAM map'!"&amp;ADDRESS(ROW()+2,COLUMN('NVRAM map'!I:I))))</f>
        <v>FIXED</v>
      </c>
      <c r="D247" s="100" t="str">
        <f ca="1">IF(C247="FIXED","",INDIRECT("'NVRAM map'!"&amp;ADDRESS(ROW()+2,COLUMN('NVRAM map'!K:K))))</f>
        <v/>
      </c>
      <c r="E247" s="100" t="str">
        <f ca="1">IF(C247="FIXED","",INDIRECT("'NVRAM map'!"&amp;ADDRESS(ROW()+2,COLUMN('NVRAM map'!L:L))))</f>
        <v/>
      </c>
      <c r="F247" s="100">
        <f ca="1">IF(C247="FIXED",INDIRECT("'NVRAM map'!"&amp;ADDRESS(ROW()+2,COLUMN('NVRAM map'!AM:AM))),"")</f>
        <v>0</v>
      </c>
      <c r="G247" s="99"/>
    </row>
    <row r="248" spans="1:7">
      <c r="A248" s="99" t="str">
        <f ca="1">SUBSTITUTE(UPPER(IF(INDIRECT("'NVRAM map'!"&amp;ADDRESS(ROW()+2,COLUMN('NVRAM map'!AG:AG)))="-",INDIRECT("'NVRAM map'!"&amp;ADDRESS(ROW()+2,COLUMN('NVRAM map'!AS:AS))),INDIRECT("'NVRAM map'!"&amp;ADDRESS(ROW()+2,COLUMN('NVRAM map'!AS:AS)))&amp;"_"&amp;INDIRECT("'NVRAM map'!"&amp;ADDRESS(ROW()+2,COLUMN('NVRAM map'!AG:AG))))),"__","_")</f>
        <v>EE_AFE_DIG0_PADC_FORCE_CHOP_INT</v>
      </c>
      <c r="B248" s="100" t="str">
        <f ca="1">IF(OR(INDIRECT("'NVRAM map'!"&amp;ADDRESS(ROW()+2,COLUMN('NVRAM map'!D:D)))="-",A248="_"),"x","")</f>
        <v/>
      </c>
      <c r="C248" s="100" t="str">
        <f ca="1">IF(B248="x","FIXED",INDIRECT("'NVRAM map'!"&amp;ADDRESS(ROW()+2,COLUMN('NVRAM map'!I:I))))</f>
        <v>FIXED</v>
      </c>
      <c r="D248" s="100" t="str">
        <f ca="1">IF(C248="FIXED","",INDIRECT("'NVRAM map'!"&amp;ADDRESS(ROW()+2,COLUMN('NVRAM map'!K:K))))</f>
        <v/>
      </c>
      <c r="E248" s="100" t="str">
        <f ca="1">IF(C248="FIXED","",INDIRECT("'NVRAM map'!"&amp;ADDRESS(ROW()+2,COLUMN('NVRAM map'!L:L))))</f>
        <v/>
      </c>
      <c r="F248" s="100">
        <f ca="1">IF(C248="FIXED",INDIRECT("'NVRAM map'!"&amp;ADDRESS(ROW()+2,COLUMN('NVRAM map'!AM:AM))),"")</f>
        <v>0</v>
      </c>
      <c r="G248" s="99"/>
    </row>
    <row r="249" spans="1:7">
      <c r="A249" s="99" t="str">
        <f ca="1">SUBSTITUTE(UPPER(IF(INDIRECT("'NVRAM map'!"&amp;ADDRESS(ROW()+2,COLUMN('NVRAM map'!AG:AG)))="-",INDIRECT("'NVRAM map'!"&amp;ADDRESS(ROW()+2,COLUMN('NVRAM map'!AS:AS))),INDIRECT("'NVRAM map'!"&amp;ADDRESS(ROW()+2,COLUMN('NVRAM map'!AS:AS)))&amp;"_"&amp;INDIRECT("'NVRAM map'!"&amp;ADDRESS(ROW()+2,COLUMN('NVRAM map'!AG:AG))))),"__","_")</f>
        <v>EE_AFE_DIG0_PADC_N_CHOP_INT</v>
      </c>
      <c r="B249" s="100" t="str">
        <f ca="1">IF(OR(INDIRECT("'NVRAM map'!"&amp;ADDRESS(ROW()+2,COLUMN('NVRAM map'!D:D)))="-",A249="_"),"x","")</f>
        <v/>
      </c>
      <c r="C249" s="100" t="str">
        <f ca="1">IF(B249="x","FIXED",INDIRECT("'NVRAM map'!"&amp;ADDRESS(ROW()+2,COLUMN('NVRAM map'!I:I))))</f>
        <v>FIXED</v>
      </c>
      <c r="D249" s="100" t="str">
        <f ca="1">IF(C249="FIXED","",INDIRECT("'NVRAM map'!"&amp;ADDRESS(ROW()+2,COLUMN('NVRAM map'!K:K))))</f>
        <v/>
      </c>
      <c r="E249" s="100" t="str">
        <f ca="1">IF(C249="FIXED","",INDIRECT("'NVRAM map'!"&amp;ADDRESS(ROW()+2,COLUMN('NVRAM map'!L:L))))</f>
        <v/>
      </c>
      <c r="F249" s="100">
        <f ca="1">IF(C249="FIXED",INDIRECT("'NVRAM map'!"&amp;ADDRESS(ROW()+2,COLUMN('NVRAM map'!AM:AM))),"")</f>
        <v>3</v>
      </c>
      <c r="G249" s="99"/>
    </row>
    <row r="250" spans="1:7">
      <c r="A250" s="99" t="str">
        <f ca="1">SUBSTITUTE(UPPER(IF(INDIRECT("'NVRAM map'!"&amp;ADDRESS(ROW()+2,COLUMN('NVRAM map'!AG:AG)))="-",INDIRECT("'NVRAM map'!"&amp;ADDRESS(ROW()+2,COLUMN('NVRAM map'!AS:AS))),INDIRECT("'NVRAM map'!"&amp;ADDRESS(ROW()+2,COLUMN('NVRAM map'!AS:AS)))&amp;"_"&amp;INDIRECT("'NVRAM map'!"&amp;ADDRESS(ROW()+2,COLUMN('NVRAM map'!AG:AG))))),"__","_")</f>
        <v>EE_AFE_DIG1</v>
      </c>
      <c r="B250" s="100" t="str">
        <f ca="1">IF(OR(INDIRECT("'NVRAM map'!"&amp;ADDRESS(ROW()+2,COLUMN('NVRAM map'!D:D)))="-",A250="_"),"x","")</f>
        <v>x</v>
      </c>
      <c r="C250" s="100" t="str">
        <f ca="1">IF(B250="x","FIXED",INDIRECT("'NVRAM map'!"&amp;ADDRESS(ROW()+2,COLUMN('NVRAM map'!I:I))))</f>
        <v>FIXED</v>
      </c>
      <c r="D250" s="100" t="str">
        <f ca="1">IF(C250="FIXED","",INDIRECT("'NVRAM map'!"&amp;ADDRESS(ROW()+2,COLUMN('NVRAM map'!K:K))))</f>
        <v/>
      </c>
      <c r="E250" s="100" t="str">
        <f ca="1">IF(C250="FIXED","",INDIRECT("'NVRAM map'!"&amp;ADDRESS(ROW()+2,COLUMN('NVRAM map'!L:L))))</f>
        <v/>
      </c>
      <c r="F250" s="100">
        <f ca="1">IF(C250="FIXED",INDIRECT("'NVRAM map'!"&amp;ADDRESS(ROW()+2,COLUMN('NVRAM map'!AM:AM))),"")</f>
        <v>0</v>
      </c>
      <c r="G250" s="99"/>
    </row>
    <row r="251" spans="1:7">
      <c r="A251" s="99" t="str">
        <f ca="1">SUBSTITUTE(UPPER(IF(INDIRECT("'NVRAM map'!"&amp;ADDRESS(ROW()+2,COLUMN('NVRAM map'!AG:AG)))="-",INDIRECT("'NVRAM map'!"&amp;ADDRESS(ROW()+2,COLUMN('NVRAM map'!AS:AS))),INDIRECT("'NVRAM map'!"&amp;ADDRESS(ROW()+2,COLUMN('NVRAM map'!AS:AS)))&amp;"_"&amp;INDIRECT("'NVRAM map'!"&amp;ADDRESS(ROW()+2,COLUMN('NVRAM map'!AG:AG))))),"__","_")</f>
        <v>EE_AFE_DIG1_PADC_N_BIT_SHIFT</v>
      </c>
      <c r="B251" s="100" t="str">
        <f ca="1">IF(OR(INDIRECT("'NVRAM map'!"&amp;ADDRESS(ROW()+2,COLUMN('NVRAM map'!D:D)))="-",A251="_"),"x","")</f>
        <v/>
      </c>
      <c r="C251" s="100" t="str">
        <f ca="1">IF(B251="x","FIXED",INDIRECT("'NVRAM map'!"&amp;ADDRESS(ROW()+2,COLUMN('NVRAM map'!I:I))))</f>
        <v>FIXED</v>
      </c>
      <c r="D251" s="100" t="str">
        <f ca="1">IF(C251="FIXED","",INDIRECT("'NVRAM map'!"&amp;ADDRESS(ROW()+2,COLUMN('NVRAM map'!K:K))))</f>
        <v/>
      </c>
      <c r="E251" s="100" t="str">
        <f ca="1">IF(C251="FIXED","",INDIRECT("'NVRAM map'!"&amp;ADDRESS(ROW()+2,COLUMN('NVRAM map'!L:L))))</f>
        <v/>
      </c>
      <c r="F251" s="100">
        <f ca="1">IF(C251="FIXED",INDIRECT("'NVRAM map'!"&amp;ADDRESS(ROW()+2,COLUMN('NVRAM map'!AM:AM))),"")</f>
        <v>0</v>
      </c>
      <c r="G251" s="99"/>
    </row>
    <row r="252" spans="1:7">
      <c r="A252" s="99" t="str">
        <f ca="1">SUBSTITUTE(UPPER(IF(INDIRECT("'NVRAM map'!"&amp;ADDRESS(ROW()+2,COLUMN('NVRAM map'!AG:AG)))="-",INDIRECT("'NVRAM map'!"&amp;ADDRESS(ROW()+2,COLUMN('NVRAM map'!AS:AS))),INDIRECT("'NVRAM map'!"&amp;ADDRESS(ROW()+2,COLUMN('NVRAM map'!AS:AS)))&amp;"_"&amp;INDIRECT("'NVRAM map'!"&amp;ADDRESS(ROW()+2,COLUMN('NVRAM map'!AG:AG))))),"__","_")</f>
        <v>EE_AFE_DIG1_PADC_FORCE_CHOP_EXT</v>
      </c>
      <c r="B252" s="100" t="str">
        <f ca="1">IF(OR(INDIRECT("'NVRAM map'!"&amp;ADDRESS(ROW()+2,COLUMN('NVRAM map'!D:D)))="-",A252="_"),"x","")</f>
        <v/>
      </c>
      <c r="C252" s="100" t="str">
        <f ca="1">IF(B252="x","FIXED",INDIRECT("'NVRAM map'!"&amp;ADDRESS(ROW()+2,COLUMN('NVRAM map'!I:I))))</f>
        <v>FIXED</v>
      </c>
      <c r="D252" s="100" t="str">
        <f ca="1">IF(C252="FIXED","",INDIRECT("'NVRAM map'!"&amp;ADDRESS(ROW()+2,COLUMN('NVRAM map'!K:K))))</f>
        <v/>
      </c>
      <c r="E252" s="100" t="str">
        <f ca="1">IF(C252="FIXED","",INDIRECT("'NVRAM map'!"&amp;ADDRESS(ROW()+2,COLUMN('NVRAM map'!L:L))))</f>
        <v/>
      </c>
      <c r="F252" s="100">
        <f ca="1">IF(C252="FIXED",INDIRECT("'NVRAM map'!"&amp;ADDRESS(ROW()+2,COLUMN('NVRAM map'!AM:AM))),"")</f>
        <v>1</v>
      </c>
      <c r="G252" s="99"/>
    </row>
    <row r="253" spans="1:7">
      <c r="A253" s="99" t="str">
        <f ca="1">SUBSTITUTE(UPPER(IF(INDIRECT("'NVRAM map'!"&amp;ADDRESS(ROW()+2,COLUMN('NVRAM map'!AG:AG)))="-",INDIRECT("'NVRAM map'!"&amp;ADDRESS(ROW()+2,COLUMN('NVRAM map'!AS:AS))),INDIRECT("'NVRAM map'!"&amp;ADDRESS(ROW()+2,COLUMN('NVRAM map'!AS:AS)))&amp;"_"&amp;INDIRECT("'NVRAM map'!"&amp;ADDRESS(ROW()+2,COLUMN('NVRAM map'!AG:AG))))),"__","_")</f>
        <v>EE_AFE_DIG1_MADC_EN_CLEAR_EOC</v>
      </c>
      <c r="B253" s="100" t="str">
        <f ca="1">IF(OR(INDIRECT("'NVRAM map'!"&amp;ADDRESS(ROW()+2,COLUMN('NVRAM map'!D:D)))="-",A253="_"),"x","")</f>
        <v/>
      </c>
      <c r="C253" s="100" t="str">
        <f ca="1">IF(B253="x","FIXED",INDIRECT("'NVRAM map'!"&amp;ADDRESS(ROW()+2,COLUMN('NVRAM map'!I:I))))</f>
        <v>FIXED</v>
      </c>
      <c r="D253" s="100" t="str">
        <f ca="1">IF(C253="FIXED","",INDIRECT("'NVRAM map'!"&amp;ADDRESS(ROW()+2,COLUMN('NVRAM map'!K:K))))</f>
        <v/>
      </c>
      <c r="E253" s="100" t="str">
        <f ca="1">IF(C253="FIXED","",INDIRECT("'NVRAM map'!"&amp;ADDRESS(ROW()+2,COLUMN('NVRAM map'!L:L))))</f>
        <v/>
      </c>
      <c r="F253" s="100">
        <f ca="1">IF(C253="FIXED",INDIRECT("'NVRAM map'!"&amp;ADDRESS(ROW()+2,COLUMN('NVRAM map'!AM:AM))),"")</f>
        <v>1</v>
      </c>
      <c r="G253" s="99"/>
    </row>
    <row r="254" spans="1:7">
      <c r="A254" s="99" t="str">
        <f ca="1">SUBSTITUTE(UPPER(IF(INDIRECT("'NVRAM map'!"&amp;ADDRESS(ROW()+2,COLUMN('NVRAM map'!AG:AG)))="-",INDIRECT("'NVRAM map'!"&amp;ADDRESS(ROW()+2,COLUMN('NVRAM map'!AS:AS))),INDIRECT("'NVRAM map'!"&amp;ADDRESS(ROW()+2,COLUMN('NVRAM map'!AS:AS)))&amp;"_"&amp;INDIRECT("'NVRAM map'!"&amp;ADDRESS(ROW()+2,COLUMN('NVRAM map'!AG:AG))))),"__","_")</f>
        <v>EE_AFE_DIG1_MADC_N_BLIND_EOC</v>
      </c>
      <c r="B254" s="100" t="str">
        <f ca="1">IF(OR(INDIRECT("'NVRAM map'!"&amp;ADDRESS(ROW()+2,COLUMN('NVRAM map'!D:D)))="-",A254="_"),"x","")</f>
        <v/>
      </c>
      <c r="C254" s="100" t="str">
        <f ca="1">IF(B254="x","FIXED",INDIRECT("'NVRAM map'!"&amp;ADDRESS(ROW()+2,COLUMN('NVRAM map'!I:I))))</f>
        <v>FIXED</v>
      </c>
      <c r="D254" s="100" t="str">
        <f ca="1">IF(C254="FIXED","",INDIRECT("'NVRAM map'!"&amp;ADDRESS(ROW()+2,COLUMN('NVRAM map'!K:K))))</f>
        <v/>
      </c>
      <c r="E254" s="100" t="str">
        <f ca="1">IF(C254="FIXED","",INDIRECT("'NVRAM map'!"&amp;ADDRESS(ROW()+2,COLUMN('NVRAM map'!L:L))))</f>
        <v/>
      </c>
      <c r="F254" s="100">
        <f ca="1">IF(C254="FIXED",INDIRECT("'NVRAM map'!"&amp;ADDRESS(ROW()+2,COLUMN('NVRAM map'!AM:AM))),"")</f>
        <v>4</v>
      </c>
      <c r="G254" s="99"/>
    </row>
    <row r="255" spans="1:7">
      <c r="A255" s="99" t="str">
        <f ca="1">SUBSTITUTE(UPPER(IF(INDIRECT("'NVRAM map'!"&amp;ADDRESS(ROW()+2,COLUMN('NVRAM map'!AG:AG)))="-",INDIRECT("'NVRAM map'!"&amp;ADDRESS(ROW()+2,COLUMN('NVRAM map'!AS:AS))),INDIRECT("'NVRAM map'!"&amp;ADDRESS(ROW()+2,COLUMN('NVRAM map'!AS:AS)))&amp;"_"&amp;INDIRECT("'NVRAM map'!"&amp;ADDRESS(ROW()+2,COLUMN('NVRAM map'!AG:AG))))),"__","_")</f>
        <v>EE_AFE_DIG1_AFE_DIG1_RESERVED0</v>
      </c>
      <c r="B255" s="100" t="str">
        <f ca="1">IF(OR(INDIRECT("'NVRAM map'!"&amp;ADDRESS(ROW()+2,COLUMN('NVRAM map'!D:D)))="-",A255="_"),"x","")</f>
        <v/>
      </c>
      <c r="C255" s="100" t="str">
        <f ca="1">IF(B255="x","FIXED",INDIRECT("'NVRAM map'!"&amp;ADDRESS(ROW()+2,COLUMN('NVRAM map'!I:I))))</f>
        <v>FIXED</v>
      </c>
      <c r="D255" s="100" t="str">
        <f ca="1">IF(C255="FIXED","",INDIRECT("'NVRAM map'!"&amp;ADDRESS(ROW()+2,COLUMN('NVRAM map'!K:K))))</f>
        <v/>
      </c>
      <c r="E255" s="100" t="str">
        <f ca="1">IF(C255="FIXED","",INDIRECT("'NVRAM map'!"&amp;ADDRESS(ROW()+2,COLUMN('NVRAM map'!L:L))))</f>
        <v/>
      </c>
      <c r="F255" s="100">
        <f ca="1">IF(C255="FIXED",INDIRECT("'NVRAM map'!"&amp;ADDRESS(ROW()+2,COLUMN('NVRAM map'!AM:AM))),"")</f>
        <v>0</v>
      </c>
      <c r="G255" s="99"/>
    </row>
    <row r="256" spans="1:7">
      <c r="A256" s="99" t="str">
        <f ca="1">SUBSTITUTE(UPPER(IF(INDIRECT("'NVRAM map'!"&amp;ADDRESS(ROW()+2,COLUMN('NVRAM map'!AG:AG)))="-",INDIRECT("'NVRAM map'!"&amp;ADDRESS(ROW()+2,COLUMN('NVRAM map'!AS:AS))),INDIRECT("'NVRAM map'!"&amp;ADDRESS(ROW()+2,COLUMN('NVRAM map'!AS:AS)))&amp;"_"&amp;INDIRECT("'NVRAM map'!"&amp;ADDRESS(ROW()+2,COLUMN('NVRAM map'!AG:AG))))),"__","_")</f>
        <v>EE_AFE_DIG1_MADC_FORCE_CHOP_INT</v>
      </c>
      <c r="B256" s="100" t="str">
        <f ca="1">IF(OR(INDIRECT("'NVRAM map'!"&amp;ADDRESS(ROW()+2,COLUMN('NVRAM map'!D:D)))="-",A256="_"),"x","")</f>
        <v/>
      </c>
      <c r="C256" s="100" t="str">
        <f ca="1">IF(B256="x","FIXED",INDIRECT("'NVRAM map'!"&amp;ADDRESS(ROW()+2,COLUMN('NVRAM map'!I:I))))</f>
        <v>FIXED</v>
      </c>
      <c r="D256" s="100" t="str">
        <f ca="1">IF(C256="FIXED","",INDIRECT("'NVRAM map'!"&amp;ADDRESS(ROW()+2,COLUMN('NVRAM map'!K:K))))</f>
        <v/>
      </c>
      <c r="E256" s="100" t="str">
        <f ca="1">IF(C256="FIXED","",INDIRECT("'NVRAM map'!"&amp;ADDRESS(ROW()+2,COLUMN('NVRAM map'!L:L))))</f>
        <v/>
      </c>
      <c r="F256" s="100">
        <f ca="1">IF(C256="FIXED",INDIRECT("'NVRAM map'!"&amp;ADDRESS(ROW()+2,COLUMN('NVRAM map'!AM:AM))),"")</f>
        <v>0</v>
      </c>
      <c r="G256" s="99"/>
    </row>
    <row r="257" spans="1:7">
      <c r="A257" s="99" t="str">
        <f ca="1">SUBSTITUTE(UPPER(IF(INDIRECT("'NVRAM map'!"&amp;ADDRESS(ROW()+2,COLUMN('NVRAM map'!AG:AG)))="-",INDIRECT("'NVRAM map'!"&amp;ADDRESS(ROW()+2,COLUMN('NVRAM map'!AS:AS))),INDIRECT("'NVRAM map'!"&amp;ADDRESS(ROW()+2,COLUMN('NVRAM map'!AS:AS)))&amp;"_"&amp;INDIRECT("'NVRAM map'!"&amp;ADDRESS(ROW()+2,COLUMN('NVRAM map'!AG:AG))))),"__","_")</f>
        <v>EE_AFE_DIG1_MADC_N_CHOP_INT</v>
      </c>
      <c r="B257" s="100" t="str">
        <f ca="1">IF(OR(INDIRECT("'NVRAM map'!"&amp;ADDRESS(ROW()+2,COLUMN('NVRAM map'!D:D)))="-",A257="_"),"x","")</f>
        <v/>
      </c>
      <c r="C257" s="100" t="str">
        <f ca="1">IF(B257="x","FIXED",INDIRECT("'NVRAM map'!"&amp;ADDRESS(ROW()+2,COLUMN('NVRAM map'!I:I))))</f>
        <v>FIXED</v>
      </c>
      <c r="D257" s="100" t="str">
        <f ca="1">IF(C257="FIXED","",INDIRECT("'NVRAM map'!"&amp;ADDRESS(ROW()+2,COLUMN('NVRAM map'!K:K))))</f>
        <v/>
      </c>
      <c r="E257" s="100" t="str">
        <f ca="1">IF(C257="FIXED","",INDIRECT("'NVRAM map'!"&amp;ADDRESS(ROW()+2,COLUMN('NVRAM map'!L:L))))</f>
        <v/>
      </c>
      <c r="F257" s="100">
        <f ca="1">IF(C257="FIXED",INDIRECT("'NVRAM map'!"&amp;ADDRESS(ROW()+2,COLUMN('NVRAM map'!AM:AM))),"")</f>
        <v>15</v>
      </c>
      <c r="G257" s="99"/>
    </row>
    <row r="258" spans="1:7">
      <c r="A258" s="99" t="str">
        <f ca="1">SUBSTITUTE(UPPER(IF(INDIRECT("'NVRAM map'!"&amp;ADDRESS(ROW()+2,COLUMN('NVRAM map'!AG:AG)))="-",INDIRECT("'NVRAM map'!"&amp;ADDRESS(ROW()+2,COLUMN('NVRAM map'!AS:AS))),INDIRECT("'NVRAM map'!"&amp;ADDRESS(ROW()+2,COLUMN('NVRAM map'!AS:AS)))&amp;"_"&amp;INDIRECT("'NVRAM map'!"&amp;ADDRESS(ROW()+2,COLUMN('NVRAM map'!AG:AG))))),"__","_")</f>
        <v>EE_MM0_HR</v>
      </c>
      <c r="B258" s="100" t="str">
        <f ca="1">IF(OR(INDIRECT("'NVRAM map'!"&amp;ADDRESS(ROW()+2,COLUMN('NVRAM map'!D:D)))="-",A258="_"),"x","")</f>
        <v>x</v>
      </c>
      <c r="C258" s="100" t="str">
        <f ca="1">IF(B258="x","FIXED",INDIRECT("'NVRAM map'!"&amp;ADDRESS(ROW()+2,COLUMN('NVRAM map'!I:I))))</f>
        <v>FIXED</v>
      </c>
      <c r="D258" s="100" t="str">
        <f ca="1">IF(C258="FIXED","",INDIRECT("'NVRAM map'!"&amp;ADDRESS(ROW()+2,COLUMN('NVRAM map'!K:K))))</f>
        <v/>
      </c>
      <c r="E258" s="100" t="str">
        <f ca="1">IF(C258="FIXED","",INDIRECT("'NVRAM map'!"&amp;ADDRESS(ROW()+2,COLUMN('NVRAM map'!L:L))))</f>
        <v/>
      </c>
      <c r="F258" s="100">
        <f ca="1">IF(C258="FIXED",INDIRECT("'NVRAM map'!"&amp;ADDRESS(ROW()+2,COLUMN('NVRAM map'!AM:AM))),"")</f>
        <v>0</v>
      </c>
      <c r="G258" s="99"/>
    </row>
    <row r="259" spans="1:7">
      <c r="A259" s="99" t="str">
        <f ca="1">SUBSTITUTE(UPPER(IF(INDIRECT("'NVRAM map'!"&amp;ADDRESS(ROW()+2,COLUMN('NVRAM map'!AG:AG)))="-",INDIRECT("'NVRAM map'!"&amp;ADDRESS(ROW()+2,COLUMN('NVRAM map'!AS:AS))),INDIRECT("'NVRAM map'!"&amp;ADDRESS(ROW()+2,COLUMN('NVRAM map'!AS:AS)))&amp;"_"&amp;INDIRECT("'NVRAM map'!"&amp;ADDRESS(ROW()+2,COLUMN('NVRAM map'!AG:AG))))),"__","_")</f>
        <v>EE_MM0_HR_MM0_HR</v>
      </c>
      <c r="B259" s="100" t="str">
        <f ca="1">IF(OR(INDIRECT("'NVRAM map'!"&amp;ADDRESS(ROW()+2,COLUMN('NVRAM map'!D:D)))="-",A259="_"),"x","")</f>
        <v/>
      </c>
      <c r="C259" s="100" t="str">
        <f ca="1">IF(B259="x","FIXED",INDIRECT("'NVRAM map'!"&amp;ADDRESS(ROW()+2,COLUMN('NVRAM map'!I:I))))</f>
        <v>TRIMMED</v>
      </c>
      <c r="D259" s="100">
        <f ca="1">IF(C259="FIXED","",INDIRECT("'NVRAM map'!"&amp;ADDRESS(ROW()+2,COLUMN('NVRAM map'!K:K))))</f>
        <v>-32768</v>
      </c>
      <c r="E259" s="100">
        <f ca="1">IF(C259="FIXED","",INDIRECT("'NVRAM map'!"&amp;ADDRESS(ROW()+2,COLUMN('NVRAM map'!L:L))))</f>
        <v>32767</v>
      </c>
      <c r="F259" s="100" t="str">
        <f ca="1">IF(C259="FIXED",INDIRECT("'NVRAM map'!"&amp;ADDRESS(ROW()+2,COLUMN('NVRAM map'!AM:AM))),"")</f>
        <v/>
      </c>
      <c r="G259" s="99"/>
    </row>
    <row r="260" spans="1:7">
      <c r="A260" s="99" t="str">
        <f ca="1">SUBSTITUTE(UPPER(IF(INDIRECT("'NVRAM map'!"&amp;ADDRESS(ROW()+2,COLUMN('NVRAM map'!AG:AG)))="-",INDIRECT("'NVRAM map'!"&amp;ADDRESS(ROW()+2,COLUMN('NVRAM map'!AS:AS))),INDIRECT("'NVRAM map'!"&amp;ADDRESS(ROW()+2,COLUMN('NVRAM map'!AS:AS)))&amp;"_"&amp;INDIRECT("'NVRAM map'!"&amp;ADDRESS(ROW()+2,COLUMN('NVRAM map'!AG:AG))))),"__","_")</f>
        <v>EE_MM1_HR</v>
      </c>
      <c r="B260" s="100" t="str">
        <f ca="1">IF(OR(INDIRECT("'NVRAM map'!"&amp;ADDRESS(ROW()+2,COLUMN('NVRAM map'!D:D)))="-",A260="_"),"x","")</f>
        <v>x</v>
      </c>
      <c r="C260" s="100" t="str">
        <f ca="1">IF(B260="x","FIXED",INDIRECT("'NVRAM map'!"&amp;ADDRESS(ROW()+2,COLUMN('NVRAM map'!I:I))))</f>
        <v>FIXED</v>
      </c>
      <c r="D260" s="100" t="str">
        <f ca="1">IF(C260="FIXED","",INDIRECT("'NVRAM map'!"&amp;ADDRESS(ROW()+2,COLUMN('NVRAM map'!K:K))))</f>
        <v/>
      </c>
      <c r="E260" s="100" t="str">
        <f ca="1">IF(C260="FIXED","",INDIRECT("'NVRAM map'!"&amp;ADDRESS(ROW()+2,COLUMN('NVRAM map'!L:L))))</f>
        <v/>
      </c>
      <c r="F260" s="100">
        <f ca="1">IF(C260="FIXED",INDIRECT("'NVRAM map'!"&amp;ADDRESS(ROW()+2,COLUMN('NVRAM map'!AM:AM))),"")</f>
        <v>0</v>
      </c>
      <c r="G260" s="99"/>
    </row>
    <row r="261" spans="1:7">
      <c r="A261" s="99" t="str">
        <f ca="1">SUBSTITUTE(UPPER(IF(INDIRECT("'NVRAM map'!"&amp;ADDRESS(ROW()+2,COLUMN('NVRAM map'!AG:AG)))="-",INDIRECT("'NVRAM map'!"&amp;ADDRESS(ROW()+2,COLUMN('NVRAM map'!AS:AS))),INDIRECT("'NVRAM map'!"&amp;ADDRESS(ROW()+2,COLUMN('NVRAM map'!AS:AS)))&amp;"_"&amp;INDIRECT("'NVRAM map'!"&amp;ADDRESS(ROW()+2,COLUMN('NVRAM map'!AG:AG))))),"__","_")</f>
        <v>EE_MM1_HR_MM1_HR</v>
      </c>
      <c r="B261" s="100" t="str">
        <f ca="1">IF(OR(INDIRECT("'NVRAM map'!"&amp;ADDRESS(ROW()+2,COLUMN('NVRAM map'!D:D)))="-",A261="_"),"x","")</f>
        <v/>
      </c>
      <c r="C261" s="100" t="str">
        <f ca="1">IF(B261="x","FIXED",INDIRECT("'NVRAM map'!"&amp;ADDRESS(ROW()+2,COLUMN('NVRAM map'!I:I))))</f>
        <v>TRIMMED</v>
      </c>
      <c r="D261" s="100">
        <f ca="1">IF(C261="FIXED","",INDIRECT("'NVRAM map'!"&amp;ADDRESS(ROW()+2,COLUMN('NVRAM map'!K:K))))</f>
        <v>-32768</v>
      </c>
      <c r="E261" s="100">
        <f ca="1">IF(C261="FIXED","",INDIRECT("'NVRAM map'!"&amp;ADDRESS(ROW()+2,COLUMN('NVRAM map'!L:L))))</f>
        <v>32767</v>
      </c>
      <c r="F261" s="100" t="str">
        <f ca="1">IF(C261="FIXED",INDIRECT("'NVRAM map'!"&amp;ADDRESS(ROW()+2,COLUMN('NVRAM map'!AM:AM))),"")</f>
        <v/>
      </c>
      <c r="G261" s="99"/>
    </row>
    <row r="262" spans="1:7">
      <c r="A262" s="99" t="str">
        <f ca="1">SUBSTITUTE(UPPER(IF(INDIRECT("'NVRAM map'!"&amp;ADDRESS(ROW()+2,COLUMN('NVRAM map'!AG:AG)))="-",INDIRECT("'NVRAM map'!"&amp;ADDRESS(ROW()+2,COLUMN('NVRAM map'!AS:AS))),INDIRECT("'NVRAM map'!"&amp;ADDRESS(ROW()+2,COLUMN('NVRAM map'!AS:AS)))&amp;"_"&amp;INDIRECT("'NVRAM map'!"&amp;ADDRESS(ROW()+2,COLUMN('NVRAM map'!AG:AG))))),"__","_")</f>
        <v>EE_MM2_HR</v>
      </c>
      <c r="B262" s="100" t="str">
        <f ca="1">IF(OR(INDIRECT("'NVRAM map'!"&amp;ADDRESS(ROW()+2,COLUMN('NVRAM map'!D:D)))="-",A262="_"),"x","")</f>
        <v>x</v>
      </c>
      <c r="C262" s="100" t="str">
        <f ca="1">IF(B262="x","FIXED",INDIRECT("'NVRAM map'!"&amp;ADDRESS(ROW()+2,COLUMN('NVRAM map'!I:I))))</f>
        <v>FIXED</v>
      </c>
      <c r="D262" s="100" t="str">
        <f ca="1">IF(C262="FIXED","",INDIRECT("'NVRAM map'!"&amp;ADDRESS(ROW()+2,COLUMN('NVRAM map'!K:K))))</f>
        <v/>
      </c>
      <c r="E262" s="100" t="str">
        <f ca="1">IF(C262="FIXED","",INDIRECT("'NVRAM map'!"&amp;ADDRESS(ROW()+2,COLUMN('NVRAM map'!L:L))))</f>
        <v/>
      </c>
      <c r="F262" s="100">
        <f ca="1">IF(C262="FIXED",INDIRECT("'NVRAM map'!"&amp;ADDRESS(ROW()+2,COLUMN('NVRAM map'!AM:AM))),"")</f>
        <v>0</v>
      </c>
      <c r="G262" s="99"/>
    </row>
    <row r="263" spans="1:7">
      <c r="A263" s="99" t="str">
        <f ca="1">SUBSTITUTE(UPPER(IF(INDIRECT("'NVRAM map'!"&amp;ADDRESS(ROW()+2,COLUMN('NVRAM map'!AG:AG)))="-",INDIRECT("'NVRAM map'!"&amp;ADDRESS(ROW()+2,COLUMN('NVRAM map'!AS:AS))),INDIRECT("'NVRAM map'!"&amp;ADDRESS(ROW()+2,COLUMN('NVRAM map'!AS:AS)))&amp;"_"&amp;INDIRECT("'NVRAM map'!"&amp;ADDRESS(ROW()+2,COLUMN('NVRAM map'!AG:AG))))),"__","_")</f>
        <v>EE_MM2_HR_MM2_HR</v>
      </c>
      <c r="B263" s="100" t="str">
        <f ca="1">IF(OR(INDIRECT("'NVRAM map'!"&amp;ADDRESS(ROW()+2,COLUMN('NVRAM map'!D:D)))="-",A263="_"),"x","")</f>
        <v/>
      </c>
      <c r="C263" s="100" t="str">
        <f ca="1">IF(B263="x","FIXED",INDIRECT("'NVRAM map'!"&amp;ADDRESS(ROW()+2,COLUMN('NVRAM map'!I:I))))</f>
        <v>TRIMMED</v>
      </c>
      <c r="D263" s="100">
        <f ca="1">IF(C263="FIXED","",INDIRECT("'NVRAM map'!"&amp;ADDRESS(ROW()+2,COLUMN('NVRAM map'!K:K))))</f>
        <v>-32768</v>
      </c>
      <c r="E263" s="100">
        <f ca="1">IF(C263="FIXED","",INDIRECT("'NVRAM map'!"&amp;ADDRESS(ROW()+2,COLUMN('NVRAM map'!L:L))))</f>
        <v>32767</v>
      </c>
      <c r="F263" s="100" t="str">
        <f ca="1">IF(C263="FIXED",INDIRECT("'NVRAM map'!"&amp;ADDRESS(ROW()+2,COLUMN('NVRAM map'!AM:AM))),"")</f>
        <v/>
      </c>
      <c r="G263" s="99"/>
    </row>
    <row r="264" spans="1:7">
      <c r="A264" s="99" t="str">
        <f ca="1">SUBSTITUTE(UPPER(IF(INDIRECT("'NVRAM map'!"&amp;ADDRESS(ROW()+2,COLUMN('NVRAM map'!AG:AG)))="-",INDIRECT("'NVRAM map'!"&amp;ADDRESS(ROW()+2,COLUMN('NVRAM map'!AS:AS))),INDIRECT("'NVRAM map'!"&amp;ADDRESS(ROW()+2,COLUMN('NVRAM map'!AS:AS)))&amp;"_"&amp;INDIRECT("'NVRAM map'!"&amp;ADDRESS(ROW()+2,COLUMN('NVRAM map'!AG:AG))))),"__","_")</f>
        <v>EE_MM3_HR</v>
      </c>
      <c r="B264" s="100" t="str">
        <f ca="1">IF(OR(INDIRECT("'NVRAM map'!"&amp;ADDRESS(ROW()+2,COLUMN('NVRAM map'!D:D)))="-",A264="_"),"x","")</f>
        <v>x</v>
      </c>
      <c r="C264" s="100" t="str">
        <f ca="1">IF(B264="x","FIXED",INDIRECT("'NVRAM map'!"&amp;ADDRESS(ROW()+2,COLUMN('NVRAM map'!I:I))))</f>
        <v>FIXED</v>
      </c>
      <c r="D264" s="100" t="str">
        <f ca="1">IF(C264="FIXED","",INDIRECT("'NVRAM map'!"&amp;ADDRESS(ROW()+2,COLUMN('NVRAM map'!K:K))))</f>
        <v/>
      </c>
      <c r="E264" s="100" t="str">
        <f ca="1">IF(C264="FIXED","",INDIRECT("'NVRAM map'!"&amp;ADDRESS(ROW()+2,COLUMN('NVRAM map'!L:L))))</f>
        <v/>
      </c>
      <c r="F264" s="100">
        <f ca="1">IF(C264="FIXED",INDIRECT("'NVRAM map'!"&amp;ADDRESS(ROW()+2,COLUMN('NVRAM map'!AM:AM))),"")</f>
        <v>0</v>
      </c>
      <c r="G264" s="99"/>
    </row>
    <row r="265" spans="1:7">
      <c r="A265" s="99" t="str">
        <f ca="1">SUBSTITUTE(UPPER(IF(INDIRECT("'NVRAM map'!"&amp;ADDRESS(ROW()+2,COLUMN('NVRAM map'!AG:AG)))="-",INDIRECT("'NVRAM map'!"&amp;ADDRESS(ROW()+2,COLUMN('NVRAM map'!AS:AS))),INDIRECT("'NVRAM map'!"&amp;ADDRESS(ROW()+2,COLUMN('NVRAM map'!AS:AS)))&amp;"_"&amp;INDIRECT("'NVRAM map'!"&amp;ADDRESS(ROW()+2,COLUMN('NVRAM map'!AG:AG))))),"__","_")</f>
        <v>EE_MM3_HR_MM3_HR</v>
      </c>
      <c r="B265" s="100" t="str">
        <f ca="1">IF(OR(INDIRECT("'NVRAM map'!"&amp;ADDRESS(ROW()+2,COLUMN('NVRAM map'!D:D)))="-",A265="_"),"x","")</f>
        <v/>
      </c>
      <c r="C265" s="100" t="str">
        <f ca="1">IF(B265="x","FIXED",INDIRECT("'NVRAM map'!"&amp;ADDRESS(ROW()+2,COLUMN('NVRAM map'!I:I))))</f>
        <v>TRIMMED</v>
      </c>
      <c r="D265" s="100">
        <f ca="1">IF(C265="FIXED","",INDIRECT("'NVRAM map'!"&amp;ADDRESS(ROW()+2,COLUMN('NVRAM map'!K:K))))</f>
        <v>-32768</v>
      </c>
      <c r="E265" s="100">
        <f ca="1">IF(C265="FIXED","",INDIRECT("'NVRAM map'!"&amp;ADDRESS(ROW()+2,COLUMN('NVRAM map'!L:L))))</f>
        <v>32767</v>
      </c>
      <c r="F265" s="100" t="str">
        <f ca="1">IF(C265="FIXED",INDIRECT("'NVRAM map'!"&amp;ADDRESS(ROW()+2,COLUMN('NVRAM map'!AM:AM))),"")</f>
        <v/>
      </c>
      <c r="G265" s="99"/>
    </row>
    <row r="266" spans="1:7">
      <c r="A266" s="99" t="str">
        <f ca="1">SUBSTITUTE(UPPER(IF(INDIRECT("'NVRAM map'!"&amp;ADDRESS(ROW()+2,COLUMN('NVRAM map'!AG:AG)))="-",INDIRECT("'NVRAM map'!"&amp;ADDRESS(ROW()+2,COLUMN('NVRAM map'!AS:AS))),INDIRECT("'NVRAM map'!"&amp;ADDRESS(ROW()+2,COLUMN('NVRAM map'!AS:AS)))&amp;"_"&amp;INDIRECT("'NVRAM map'!"&amp;ADDRESS(ROW()+2,COLUMN('NVRAM map'!AG:AG))))),"__","_")</f>
        <v>EE_MM0_LR</v>
      </c>
      <c r="B266" s="100" t="str">
        <f ca="1">IF(OR(INDIRECT("'NVRAM map'!"&amp;ADDRESS(ROW()+2,COLUMN('NVRAM map'!D:D)))="-",A266="_"),"x","")</f>
        <v>x</v>
      </c>
      <c r="C266" s="100" t="str">
        <f ca="1">IF(B266="x","FIXED",INDIRECT("'NVRAM map'!"&amp;ADDRESS(ROW()+2,COLUMN('NVRAM map'!I:I))))</f>
        <v>FIXED</v>
      </c>
      <c r="D266" s="100" t="str">
        <f ca="1">IF(C266="FIXED","",INDIRECT("'NVRAM map'!"&amp;ADDRESS(ROW()+2,COLUMN('NVRAM map'!K:K))))</f>
        <v/>
      </c>
      <c r="E266" s="100" t="str">
        <f ca="1">IF(C266="FIXED","",INDIRECT("'NVRAM map'!"&amp;ADDRESS(ROW()+2,COLUMN('NVRAM map'!L:L))))</f>
        <v/>
      </c>
      <c r="F266" s="100">
        <f ca="1">IF(C266="FIXED",INDIRECT("'NVRAM map'!"&amp;ADDRESS(ROW()+2,COLUMN('NVRAM map'!AM:AM))),"")</f>
        <v>0</v>
      </c>
      <c r="G266" s="99"/>
    </row>
    <row r="267" spans="1:7">
      <c r="A267" s="99" t="str">
        <f ca="1">SUBSTITUTE(UPPER(IF(INDIRECT("'NVRAM map'!"&amp;ADDRESS(ROW()+2,COLUMN('NVRAM map'!AG:AG)))="-",INDIRECT("'NVRAM map'!"&amp;ADDRESS(ROW()+2,COLUMN('NVRAM map'!AS:AS))),INDIRECT("'NVRAM map'!"&amp;ADDRESS(ROW()+2,COLUMN('NVRAM map'!AS:AS)))&amp;"_"&amp;INDIRECT("'NVRAM map'!"&amp;ADDRESS(ROW()+2,COLUMN('NVRAM map'!AG:AG))))),"__","_")</f>
        <v>EE_MM0_LR_MM0_LR</v>
      </c>
      <c r="B267" s="100" t="str">
        <f ca="1">IF(OR(INDIRECT("'NVRAM map'!"&amp;ADDRESS(ROW()+2,COLUMN('NVRAM map'!D:D)))="-",A267="_"),"x","")</f>
        <v/>
      </c>
      <c r="C267" s="100" t="str">
        <f ca="1">IF(B267="x","FIXED",INDIRECT("'NVRAM map'!"&amp;ADDRESS(ROW()+2,COLUMN('NVRAM map'!I:I))))</f>
        <v>TRIMMED</v>
      </c>
      <c r="D267" s="100">
        <f ca="1">IF(C267="FIXED","",INDIRECT("'NVRAM map'!"&amp;ADDRESS(ROW()+2,COLUMN('NVRAM map'!K:K))))</f>
        <v>-32768</v>
      </c>
      <c r="E267" s="100">
        <f ca="1">IF(C267="FIXED","",INDIRECT("'NVRAM map'!"&amp;ADDRESS(ROW()+2,COLUMN('NVRAM map'!L:L))))</f>
        <v>32767</v>
      </c>
      <c r="F267" s="100" t="str">
        <f ca="1">IF(C267="FIXED",INDIRECT("'NVRAM map'!"&amp;ADDRESS(ROW()+2,COLUMN('NVRAM map'!AM:AM))),"")</f>
        <v/>
      </c>
      <c r="G267" s="99"/>
    </row>
    <row r="268" spans="1:7">
      <c r="A268" s="99" t="str">
        <f ca="1">SUBSTITUTE(UPPER(IF(INDIRECT("'NVRAM map'!"&amp;ADDRESS(ROW()+2,COLUMN('NVRAM map'!AG:AG)))="-",INDIRECT("'NVRAM map'!"&amp;ADDRESS(ROW()+2,COLUMN('NVRAM map'!AS:AS))),INDIRECT("'NVRAM map'!"&amp;ADDRESS(ROW()+2,COLUMN('NVRAM map'!AS:AS)))&amp;"_"&amp;INDIRECT("'NVRAM map'!"&amp;ADDRESS(ROW()+2,COLUMN('NVRAM map'!AG:AG))))),"__","_")</f>
        <v>EE_MM1_LR</v>
      </c>
      <c r="B268" s="100" t="str">
        <f ca="1">IF(OR(INDIRECT("'NVRAM map'!"&amp;ADDRESS(ROW()+2,COLUMN('NVRAM map'!D:D)))="-",A268="_"),"x","")</f>
        <v>x</v>
      </c>
      <c r="C268" s="100" t="str">
        <f ca="1">IF(B268="x","FIXED",INDIRECT("'NVRAM map'!"&amp;ADDRESS(ROW()+2,COLUMN('NVRAM map'!I:I))))</f>
        <v>FIXED</v>
      </c>
      <c r="D268" s="100" t="str">
        <f ca="1">IF(C268="FIXED","",INDIRECT("'NVRAM map'!"&amp;ADDRESS(ROW()+2,COLUMN('NVRAM map'!K:K))))</f>
        <v/>
      </c>
      <c r="E268" s="100" t="str">
        <f ca="1">IF(C268="FIXED","",INDIRECT("'NVRAM map'!"&amp;ADDRESS(ROW()+2,COLUMN('NVRAM map'!L:L))))</f>
        <v/>
      </c>
      <c r="F268" s="100">
        <f ca="1">IF(C268="FIXED",INDIRECT("'NVRAM map'!"&amp;ADDRESS(ROW()+2,COLUMN('NVRAM map'!AM:AM))),"")</f>
        <v>0</v>
      </c>
      <c r="G268" s="99"/>
    </row>
    <row r="269" spans="1:7">
      <c r="A269" s="99" t="str">
        <f ca="1">SUBSTITUTE(UPPER(IF(INDIRECT("'NVRAM map'!"&amp;ADDRESS(ROW()+2,COLUMN('NVRAM map'!AG:AG)))="-",INDIRECT("'NVRAM map'!"&amp;ADDRESS(ROW()+2,COLUMN('NVRAM map'!AS:AS))),INDIRECT("'NVRAM map'!"&amp;ADDRESS(ROW()+2,COLUMN('NVRAM map'!AS:AS)))&amp;"_"&amp;INDIRECT("'NVRAM map'!"&amp;ADDRESS(ROW()+2,COLUMN('NVRAM map'!AG:AG))))),"__","_")</f>
        <v>EE_MM1_LR_MM1_LR</v>
      </c>
      <c r="B269" s="100" t="str">
        <f ca="1">IF(OR(INDIRECT("'NVRAM map'!"&amp;ADDRESS(ROW()+2,COLUMN('NVRAM map'!D:D)))="-",A269="_"),"x","")</f>
        <v/>
      </c>
      <c r="C269" s="100" t="str">
        <f ca="1">IF(B269="x","FIXED",INDIRECT("'NVRAM map'!"&amp;ADDRESS(ROW()+2,COLUMN('NVRAM map'!I:I))))</f>
        <v>TRIMMED</v>
      </c>
      <c r="D269" s="100">
        <f ca="1">IF(C269="FIXED","",INDIRECT("'NVRAM map'!"&amp;ADDRESS(ROW()+2,COLUMN('NVRAM map'!K:K))))</f>
        <v>-32768</v>
      </c>
      <c r="E269" s="100">
        <f ca="1">IF(C269="FIXED","",INDIRECT("'NVRAM map'!"&amp;ADDRESS(ROW()+2,COLUMN('NVRAM map'!L:L))))</f>
        <v>32767</v>
      </c>
      <c r="F269" s="100" t="str">
        <f ca="1">IF(C269="FIXED",INDIRECT("'NVRAM map'!"&amp;ADDRESS(ROW()+2,COLUMN('NVRAM map'!AM:AM))),"")</f>
        <v/>
      </c>
      <c r="G269" s="99"/>
    </row>
    <row r="270" spans="1:7">
      <c r="A270" s="99" t="str">
        <f ca="1">SUBSTITUTE(UPPER(IF(INDIRECT("'NVRAM map'!"&amp;ADDRESS(ROW()+2,COLUMN('NVRAM map'!AG:AG)))="-",INDIRECT("'NVRAM map'!"&amp;ADDRESS(ROW()+2,COLUMN('NVRAM map'!AS:AS))),INDIRECT("'NVRAM map'!"&amp;ADDRESS(ROW()+2,COLUMN('NVRAM map'!AS:AS)))&amp;"_"&amp;INDIRECT("'NVRAM map'!"&amp;ADDRESS(ROW()+2,COLUMN('NVRAM map'!AG:AG))))),"__","_")</f>
        <v>EE_MM2_LR</v>
      </c>
      <c r="B270" s="100" t="str">
        <f ca="1">IF(OR(INDIRECT("'NVRAM map'!"&amp;ADDRESS(ROW()+2,COLUMN('NVRAM map'!D:D)))="-",A270="_"),"x","")</f>
        <v>x</v>
      </c>
      <c r="C270" s="100" t="str">
        <f ca="1">IF(B270="x","FIXED",INDIRECT("'NVRAM map'!"&amp;ADDRESS(ROW()+2,COLUMN('NVRAM map'!I:I))))</f>
        <v>FIXED</v>
      </c>
      <c r="D270" s="100" t="str">
        <f ca="1">IF(C270="FIXED","",INDIRECT("'NVRAM map'!"&amp;ADDRESS(ROW()+2,COLUMN('NVRAM map'!K:K))))</f>
        <v/>
      </c>
      <c r="E270" s="100" t="str">
        <f ca="1">IF(C270="FIXED","",INDIRECT("'NVRAM map'!"&amp;ADDRESS(ROW()+2,COLUMN('NVRAM map'!L:L))))</f>
        <v/>
      </c>
      <c r="F270" s="100">
        <f ca="1">IF(C270="FIXED",INDIRECT("'NVRAM map'!"&amp;ADDRESS(ROW()+2,COLUMN('NVRAM map'!AM:AM))),"")</f>
        <v>0</v>
      </c>
      <c r="G270" s="99"/>
    </row>
    <row r="271" spans="1:7">
      <c r="A271" s="99" t="str">
        <f ca="1">SUBSTITUTE(UPPER(IF(INDIRECT("'NVRAM map'!"&amp;ADDRESS(ROW()+2,COLUMN('NVRAM map'!AG:AG)))="-",INDIRECT("'NVRAM map'!"&amp;ADDRESS(ROW()+2,COLUMN('NVRAM map'!AS:AS))),INDIRECT("'NVRAM map'!"&amp;ADDRESS(ROW()+2,COLUMN('NVRAM map'!AS:AS)))&amp;"_"&amp;INDIRECT("'NVRAM map'!"&amp;ADDRESS(ROW()+2,COLUMN('NVRAM map'!AG:AG))))),"__","_")</f>
        <v>EE_MM2_LR_MM2_LR</v>
      </c>
      <c r="B271" s="100" t="str">
        <f ca="1">IF(OR(INDIRECT("'NVRAM map'!"&amp;ADDRESS(ROW()+2,COLUMN('NVRAM map'!D:D)))="-",A271="_"),"x","")</f>
        <v/>
      </c>
      <c r="C271" s="100" t="str">
        <f ca="1">IF(B271="x","FIXED",INDIRECT("'NVRAM map'!"&amp;ADDRESS(ROW()+2,COLUMN('NVRAM map'!I:I))))</f>
        <v>TRIMMED</v>
      </c>
      <c r="D271" s="100">
        <f ca="1">IF(C271="FIXED","",INDIRECT("'NVRAM map'!"&amp;ADDRESS(ROW()+2,COLUMN('NVRAM map'!K:K))))</f>
        <v>-32768</v>
      </c>
      <c r="E271" s="100">
        <f ca="1">IF(C271="FIXED","",INDIRECT("'NVRAM map'!"&amp;ADDRESS(ROW()+2,COLUMN('NVRAM map'!L:L))))</f>
        <v>32767</v>
      </c>
      <c r="F271" s="100" t="str">
        <f ca="1">IF(C271="FIXED",INDIRECT("'NVRAM map'!"&amp;ADDRESS(ROW()+2,COLUMN('NVRAM map'!AM:AM))),"")</f>
        <v/>
      </c>
      <c r="G271" s="99"/>
    </row>
    <row r="272" spans="1:7">
      <c r="A272" s="99" t="str">
        <f ca="1">SUBSTITUTE(UPPER(IF(INDIRECT("'NVRAM map'!"&amp;ADDRESS(ROW()+2,COLUMN('NVRAM map'!AG:AG)))="-",INDIRECT("'NVRAM map'!"&amp;ADDRESS(ROW()+2,COLUMN('NVRAM map'!AS:AS))),INDIRECT("'NVRAM map'!"&amp;ADDRESS(ROW()+2,COLUMN('NVRAM map'!AS:AS)))&amp;"_"&amp;INDIRECT("'NVRAM map'!"&amp;ADDRESS(ROW()+2,COLUMN('NVRAM map'!AG:AG))))),"__","_")</f>
        <v>EE_MM3_LR</v>
      </c>
      <c r="B272" s="100" t="str">
        <f ca="1">IF(OR(INDIRECT("'NVRAM map'!"&amp;ADDRESS(ROW()+2,COLUMN('NVRAM map'!D:D)))="-",A272="_"),"x","")</f>
        <v>x</v>
      </c>
      <c r="C272" s="100" t="str">
        <f ca="1">IF(B272="x","FIXED",INDIRECT("'NVRAM map'!"&amp;ADDRESS(ROW()+2,COLUMN('NVRAM map'!I:I))))</f>
        <v>FIXED</v>
      </c>
      <c r="D272" s="100" t="str">
        <f ca="1">IF(C272="FIXED","",INDIRECT("'NVRAM map'!"&amp;ADDRESS(ROW()+2,COLUMN('NVRAM map'!K:K))))</f>
        <v/>
      </c>
      <c r="E272" s="100" t="str">
        <f ca="1">IF(C272="FIXED","",INDIRECT("'NVRAM map'!"&amp;ADDRESS(ROW()+2,COLUMN('NVRAM map'!L:L))))</f>
        <v/>
      </c>
      <c r="F272" s="100">
        <f ca="1">IF(C272="FIXED",INDIRECT("'NVRAM map'!"&amp;ADDRESS(ROW()+2,COLUMN('NVRAM map'!AM:AM))),"")</f>
        <v>0</v>
      </c>
      <c r="G272" s="99"/>
    </row>
    <row r="273" spans="1:7">
      <c r="A273" s="99" t="str">
        <f ca="1">SUBSTITUTE(UPPER(IF(INDIRECT("'NVRAM map'!"&amp;ADDRESS(ROW()+2,COLUMN('NVRAM map'!AG:AG)))="-",INDIRECT("'NVRAM map'!"&amp;ADDRESS(ROW()+2,COLUMN('NVRAM map'!AS:AS))),INDIRECT("'NVRAM map'!"&amp;ADDRESS(ROW()+2,COLUMN('NVRAM map'!AS:AS)))&amp;"_"&amp;INDIRECT("'NVRAM map'!"&amp;ADDRESS(ROW()+2,COLUMN('NVRAM map'!AG:AG))))),"__","_")</f>
        <v>EE_MM3_LR_MM3_LR</v>
      </c>
      <c r="B273" s="100" t="str">
        <f ca="1">IF(OR(INDIRECT("'NVRAM map'!"&amp;ADDRESS(ROW()+2,COLUMN('NVRAM map'!D:D)))="-",A273="_"),"x","")</f>
        <v/>
      </c>
      <c r="C273" s="100" t="str">
        <f ca="1">IF(B273="x","FIXED",INDIRECT("'NVRAM map'!"&amp;ADDRESS(ROW()+2,COLUMN('NVRAM map'!I:I))))</f>
        <v>TRIMMED</v>
      </c>
      <c r="D273" s="100">
        <f ca="1">IF(C273="FIXED","",INDIRECT("'NVRAM map'!"&amp;ADDRESS(ROW()+2,COLUMN('NVRAM map'!K:K))))</f>
        <v>-32768</v>
      </c>
      <c r="E273" s="100">
        <f ca="1">IF(C273="FIXED","",INDIRECT("'NVRAM map'!"&amp;ADDRESS(ROW()+2,COLUMN('NVRAM map'!L:L))))</f>
        <v>32767</v>
      </c>
      <c r="F273" s="100" t="str">
        <f ca="1">IF(C273="FIXED",INDIRECT("'NVRAM map'!"&amp;ADDRESS(ROW()+2,COLUMN('NVRAM map'!AM:AM))),"")</f>
        <v/>
      </c>
      <c r="G273" s="99"/>
    </row>
    <row r="274" spans="1:7">
      <c r="A274" s="99" t="str">
        <f ca="1">SUBSTITUTE(UPPER(IF(INDIRECT("'NVRAM map'!"&amp;ADDRESS(ROW()+2,COLUMN('NVRAM map'!AG:AG)))="-",INDIRECT("'NVRAM map'!"&amp;ADDRESS(ROW()+2,COLUMN('NVRAM map'!AS:AS))),INDIRECT("'NVRAM map'!"&amp;ADDRESS(ROW()+2,COLUMN('NVRAM map'!AS:AS)))&amp;"_"&amp;INDIRECT("'NVRAM map'!"&amp;ADDRESS(ROW()+2,COLUMN('NVRAM map'!AG:AG))))),"__","_")</f>
        <v>EE_RP0</v>
      </c>
      <c r="B274" s="100" t="str">
        <f ca="1">IF(OR(INDIRECT("'NVRAM map'!"&amp;ADDRESS(ROW()+2,COLUMN('NVRAM map'!D:D)))="-",A274="_"),"x","")</f>
        <v>x</v>
      </c>
      <c r="C274" s="100" t="str">
        <f ca="1">IF(B274="x","FIXED",INDIRECT("'NVRAM map'!"&amp;ADDRESS(ROW()+2,COLUMN('NVRAM map'!I:I))))</f>
        <v>FIXED</v>
      </c>
      <c r="D274" s="100" t="str">
        <f ca="1">IF(C274="FIXED","",INDIRECT("'NVRAM map'!"&amp;ADDRESS(ROW()+2,COLUMN('NVRAM map'!K:K))))</f>
        <v/>
      </c>
      <c r="E274" s="100" t="str">
        <f ca="1">IF(C274="FIXED","",INDIRECT("'NVRAM map'!"&amp;ADDRESS(ROW()+2,COLUMN('NVRAM map'!L:L))))</f>
        <v/>
      </c>
      <c r="F274" s="100">
        <f ca="1">IF(C274="FIXED",INDIRECT("'NVRAM map'!"&amp;ADDRESS(ROW()+2,COLUMN('NVRAM map'!AM:AM))),"")</f>
        <v>0</v>
      </c>
      <c r="G274" s="99"/>
    </row>
    <row r="275" spans="1:7">
      <c r="A275" s="99" t="str">
        <f ca="1">SUBSTITUTE(UPPER(IF(INDIRECT("'NVRAM map'!"&amp;ADDRESS(ROW()+2,COLUMN('NVRAM map'!AG:AG)))="-",INDIRECT("'NVRAM map'!"&amp;ADDRESS(ROW()+2,COLUMN('NVRAM map'!AS:AS))),INDIRECT("'NVRAM map'!"&amp;ADDRESS(ROW()+2,COLUMN('NVRAM map'!AS:AS)))&amp;"_"&amp;INDIRECT("'NVRAM map'!"&amp;ADDRESS(ROW()+2,COLUMN('NVRAM map'!AG:AG))))),"__","_")</f>
        <v>EE_RP0_RP0</v>
      </c>
      <c r="B275" s="100" t="str">
        <f ca="1">IF(OR(INDIRECT("'NVRAM map'!"&amp;ADDRESS(ROW()+2,COLUMN('NVRAM map'!D:D)))="-",A275="_"),"x","")</f>
        <v/>
      </c>
      <c r="C275" s="100" t="str">
        <f ca="1">IF(B275="x","FIXED",INDIRECT("'NVRAM map'!"&amp;ADDRESS(ROW()+2,COLUMN('NVRAM map'!I:I))))</f>
        <v>TRIMMED</v>
      </c>
      <c r="D275" s="100">
        <f ca="1">IF(C275="FIXED","",INDIRECT("'NVRAM map'!"&amp;ADDRESS(ROW()+2,COLUMN('NVRAM map'!K:K))))</f>
        <v>-32768</v>
      </c>
      <c r="E275" s="100">
        <f ca="1">IF(C275="FIXED","",INDIRECT("'NVRAM map'!"&amp;ADDRESS(ROW()+2,COLUMN('NVRAM map'!L:L))))</f>
        <v>32767</v>
      </c>
      <c r="F275" s="100" t="str">
        <f ca="1">IF(C275="FIXED",INDIRECT("'NVRAM map'!"&amp;ADDRESS(ROW()+2,COLUMN('NVRAM map'!AM:AM))),"")</f>
        <v/>
      </c>
      <c r="G275" s="99"/>
    </row>
    <row r="276" spans="1:7">
      <c r="A276" s="99" t="str">
        <f ca="1">SUBSTITUTE(UPPER(IF(INDIRECT("'NVRAM map'!"&amp;ADDRESS(ROW()+2,COLUMN('NVRAM map'!AG:AG)))="-",INDIRECT("'NVRAM map'!"&amp;ADDRESS(ROW()+2,COLUMN('NVRAM map'!AS:AS))),INDIRECT("'NVRAM map'!"&amp;ADDRESS(ROW()+2,COLUMN('NVRAM map'!AS:AS)))&amp;"_"&amp;INDIRECT("'NVRAM map'!"&amp;ADDRESS(ROW()+2,COLUMN('NVRAM map'!AG:AG))))),"__","_")</f>
        <v>EE_RP1</v>
      </c>
      <c r="B276" s="100" t="str">
        <f ca="1">IF(OR(INDIRECT("'NVRAM map'!"&amp;ADDRESS(ROW()+2,COLUMN('NVRAM map'!D:D)))="-",A276="_"),"x","")</f>
        <v>x</v>
      </c>
      <c r="C276" s="100" t="str">
        <f ca="1">IF(B276="x","FIXED",INDIRECT("'NVRAM map'!"&amp;ADDRESS(ROW()+2,COLUMN('NVRAM map'!I:I))))</f>
        <v>FIXED</v>
      </c>
      <c r="D276" s="100" t="str">
        <f ca="1">IF(C276="FIXED","",INDIRECT("'NVRAM map'!"&amp;ADDRESS(ROW()+2,COLUMN('NVRAM map'!K:K))))</f>
        <v/>
      </c>
      <c r="E276" s="100" t="str">
        <f ca="1">IF(C276="FIXED","",INDIRECT("'NVRAM map'!"&amp;ADDRESS(ROW()+2,COLUMN('NVRAM map'!L:L))))</f>
        <v/>
      </c>
      <c r="F276" s="100">
        <f ca="1">IF(C276="FIXED",INDIRECT("'NVRAM map'!"&amp;ADDRESS(ROW()+2,COLUMN('NVRAM map'!AM:AM))),"")</f>
        <v>0</v>
      </c>
      <c r="G276" s="99"/>
    </row>
    <row r="277" spans="1:7">
      <c r="A277" s="99" t="str">
        <f ca="1">SUBSTITUTE(UPPER(IF(INDIRECT("'NVRAM map'!"&amp;ADDRESS(ROW()+2,COLUMN('NVRAM map'!AG:AG)))="-",INDIRECT("'NVRAM map'!"&amp;ADDRESS(ROW()+2,COLUMN('NVRAM map'!AS:AS))),INDIRECT("'NVRAM map'!"&amp;ADDRESS(ROW()+2,COLUMN('NVRAM map'!AS:AS)))&amp;"_"&amp;INDIRECT("'NVRAM map'!"&amp;ADDRESS(ROW()+2,COLUMN('NVRAM map'!AG:AG))))),"__","_")</f>
        <v>EE_RP1_RP1</v>
      </c>
      <c r="B277" s="100" t="str">
        <f ca="1">IF(OR(INDIRECT("'NVRAM map'!"&amp;ADDRESS(ROW()+2,COLUMN('NVRAM map'!D:D)))="-",A277="_"),"x","")</f>
        <v/>
      </c>
      <c r="C277" s="100" t="str">
        <f ca="1">IF(B277="x","FIXED",INDIRECT("'NVRAM map'!"&amp;ADDRESS(ROW()+2,COLUMN('NVRAM map'!I:I))))</f>
        <v>TRIMMED</v>
      </c>
      <c r="D277" s="100">
        <f ca="1">IF(C277="FIXED","",INDIRECT("'NVRAM map'!"&amp;ADDRESS(ROW()+2,COLUMN('NVRAM map'!K:K))))</f>
        <v>-32768</v>
      </c>
      <c r="E277" s="100">
        <f ca="1">IF(C277="FIXED","",INDIRECT("'NVRAM map'!"&amp;ADDRESS(ROW()+2,COLUMN('NVRAM map'!L:L))))</f>
        <v>32767</v>
      </c>
      <c r="F277" s="100" t="str">
        <f ca="1">IF(C277="FIXED",INDIRECT("'NVRAM map'!"&amp;ADDRESS(ROW()+2,COLUMN('NVRAM map'!AM:AM))),"")</f>
        <v/>
      </c>
      <c r="G277" s="99"/>
    </row>
    <row r="278" spans="1:7">
      <c r="A278" s="99" t="str">
        <f ca="1">SUBSTITUTE(UPPER(IF(INDIRECT("'NVRAM map'!"&amp;ADDRESS(ROW()+2,COLUMN('NVRAM map'!AG:AG)))="-",INDIRECT("'NVRAM map'!"&amp;ADDRESS(ROW()+2,COLUMN('NVRAM map'!AS:AS))),INDIRECT("'NVRAM map'!"&amp;ADDRESS(ROW()+2,COLUMN('NVRAM map'!AS:AS)))&amp;"_"&amp;INDIRECT("'NVRAM map'!"&amp;ADDRESS(ROW()+2,COLUMN('NVRAM map'!AG:AG))))),"__","_")</f>
        <v>EE_RP2</v>
      </c>
      <c r="B278" s="100" t="str">
        <f ca="1">IF(OR(INDIRECT("'NVRAM map'!"&amp;ADDRESS(ROW()+2,COLUMN('NVRAM map'!D:D)))="-",A278="_"),"x","")</f>
        <v>x</v>
      </c>
      <c r="C278" s="100" t="str">
        <f ca="1">IF(B278="x","FIXED",INDIRECT("'NVRAM map'!"&amp;ADDRESS(ROW()+2,COLUMN('NVRAM map'!I:I))))</f>
        <v>FIXED</v>
      </c>
      <c r="D278" s="100" t="str">
        <f ca="1">IF(C278="FIXED","",INDIRECT("'NVRAM map'!"&amp;ADDRESS(ROW()+2,COLUMN('NVRAM map'!K:K))))</f>
        <v/>
      </c>
      <c r="E278" s="100" t="str">
        <f ca="1">IF(C278="FIXED","",INDIRECT("'NVRAM map'!"&amp;ADDRESS(ROW()+2,COLUMN('NVRAM map'!L:L))))</f>
        <v/>
      </c>
      <c r="F278" s="100">
        <f ca="1">IF(C278="FIXED",INDIRECT("'NVRAM map'!"&amp;ADDRESS(ROW()+2,COLUMN('NVRAM map'!AM:AM))),"")</f>
        <v>0</v>
      </c>
      <c r="G278" s="99"/>
    </row>
    <row r="279" spans="1:7">
      <c r="A279" s="99" t="str">
        <f ca="1">SUBSTITUTE(UPPER(IF(INDIRECT("'NVRAM map'!"&amp;ADDRESS(ROW()+2,COLUMN('NVRAM map'!AG:AG)))="-",INDIRECT("'NVRAM map'!"&amp;ADDRESS(ROW()+2,COLUMN('NVRAM map'!AS:AS))),INDIRECT("'NVRAM map'!"&amp;ADDRESS(ROW()+2,COLUMN('NVRAM map'!AS:AS)))&amp;"_"&amp;INDIRECT("'NVRAM map'!"&amp;ADDRESS(ROW()+2,COLUMN('NVRAM map'!AG:AG))))),"__","_")</f>
        <v>EE_RP2_RP2</v>
      </c>
      <c r="B279" s="100" t="str">
        <f ca="1">IF(OR(INDIRECT("'NVRAM map'!"&amp;ADDRESS(ROW()+2,COLUMN('NVRAM map'!D:D)))="-",A279="_"),"x","")</f>
        <v/>
      </c>
      <c r="C279" s="100" t="str">
        <f ca="1">IF(B279="x","FIXED",INDIRECT("'NVRAM map'!"&amp;ADDRESS(ROW()+2,COLUMN('NVRAM map'!I:I))))</f>
        <v>TRIMMED</v>
      </c>
      <c r="D279" s="100">
        <f ca="1">IF(C279="FIXED","",INDIRECT("'NVRAM map'!"&amp;ADDRESS(ROW()+2,COLUMN('NVRAM map'!K:K))))</f>
        <v>-32768</v>
      </c>
      <c r="E279" s="100">
        <f ca="1">IF(C279="FIXED","",INDIRECT("'NVRAM map'!"&amp;ADDRESS(ROW()+2,COLUMN('NVRAM map'!L:L))))</f>
        <v>32767</v>
      </c>
      <c r="F279" s="100" t="str">
        <f ca="1">IF(C279="FIXED",INDIRECT("'NVRAM map'!"&amp;ADDRESS(ROW()+2,COLUMN('NVRAM map'!AM:AM))),"")</f>
        <v/>
      </c>
      <c r="G279" s="99"/>
    </row>
    <row r="280" spans="1:7">
      <c r="A280" s="99" t="str">
        <f ca="1">SUBSTITUTE(UPPER(IF(INDIRECT("'NVRAM map'!"&amp;ADDRESS(ROW()+2,COLUMN('NVRAM map'!AG:AG)))="-",INDIRECT("'NVRAM map'!"&amp;ADDRESS(ROW()+2,COLUMN('NVRAM map'!AS:AS))),INDIRECT("'NVRAM map'!"&amp;ADDRESS(ROW()+2,COLUMN('NVRAM map'!AS:AS)))&amp;"_"&amp;INDIRECT("'NVRAM map'!"&amp;ADDRESS(ROW()+2,COLUMN('NVRAM map'!AG:AG))))),"__","_")</f>
        <v>EE_RP3</v>
      </c>
      <c r="B280" s="100" t="str">
        <f ca="1">IF(OR(INDIRECT("'NVRAM map'!"&amp;ADDRESS(ROW()+2,COLUMN('NVRAM map'!D:D)))="-",A280="_"),"x","")</f>
        <v>x</v>
      </c>
      <c r="C280" s="100" t="str">
        <f ca="1">IF(B280="x","FIXED",INDIRECT("'NVRAM map'!"&amp;ADDRESS(ROW()+2,COLUMN('NVRAM map'!I:I))))</f>
        <v>FIXED</v>
      </c>
      <c r="D280" s="100" t="str">
        <f ca="1">IF(C280="FIXED","",INDIRECT("'NVRAM map'!"&amp;ADDRESS(ROW()+2,COLUMN('NVRAM map'!K:K))))</f>
        <v/>
      </c>
      <c r="E280" s="100" t="str">
        <f ca="1">IF(C280="FIXED","",INDIRECT("'NVRAM map'!"&amp;ADDRESS(ROW()+2,COLUMN('NVRAM map'!L:L))))</f>
        <v/>
      </c>
      <c r="F280" s="100">
        <f ca="1">IF(C280="FIXED",INDIRECT("'NVRAM map'!"&amp;ADDRESS(ROW()+2,COLUMN('NVRAM map'!AM:AM))),"")</f>
        <v>0</v>
      </c>
      <c r="G280" s="99"/>
    </row>
    <row r="281" spans="1:7">
      <c r="A281" s="99" t="str">
        <f ca="1">SUBSTITUTE(UPPER(IF(INDIRECT("'NVRAM map'!"&amp;ADDRESS(ROW()+2,COLUMN('NVRAM map'!AG:AG)))="-",INDIRECT("'NVRAM map'!"&amp;ADDRESS(ROW()+2,COLUMN('NVRAM map'!AS:AS))),INDIRECT("'NVRAM map'!"&amp;ADDRESS(ROW()+2,COLUMN('NVRAM map'!AS:AS)))&amp;"_"&amp;INDIRECT("'NVRAM map'!"&amp;ADDRESS(ROW()+2,COLUMN('NVRAM map'!AG:AG))))),"__","_")</f>
        <v>EE_RP3_RP3</v>
      </c>
      <c r="B281" s="100" t="str">
        <f ca="1">IF(OR(INDIRECT("'NVRAM map'!"&amp;ADDRESS(ROW()+2,COLUMN('NVRAM map'!D:D)))="-",A281="_"),"x","")</f>
        <v/>
      </c>
      <c r="C281" s="100" t="str">
        <f ca="1">IF(B281="x","FIXED",INDIRECT("'NVRAM map'!"&amp;ADDRESS(ROW()+2,COLUMN('NVRAM map'!I:I))))</f>
        <v>TRIMMED</v>
      </c>
      <c r="D281" s="100">
        <f ca="1">IF(C281="FIXED","",INDIRECT("'NVRAM map'!"&amp;ADDRESS(ROW()+2,COLUMN('NVRAM map'!K:K))))</f>
        <v>-32768</v>
      </c>
      <c r="E281" s="100">
        <f ca="1">IF(C281="FIXED","",INDIRECT("'NVRAM map'!"&amp;ADDRESS(ROW()+2,COLUMN('NVRAM map'!L:L))))</f>
        <v>32767</v>
      </c>
      <c r="F281" s="100" t="str">
        <f ca="1">IF(C281="FIXED",INDIRECT("'NVRAM map'!"&amp;ADDRESS(ROW()+2,COLUMN('NVRAM map'!AM:AM))),"")</f>
        <v/>
      </c>
      <c r="G281" s="99"/>
    </row>
    <row r="282" spans="1:7">
      <c r="A282" s="99" t="str">
        <f ca="1">SUBSTITUTE(UPPER(IF(INDIRECT("'NVRAM map'!"&amp;ADDRESS(ROW()+2,COLUMN('NVRAM map'!AG:AG)))="-",INDIRECT("'NVRAM map'!"&amp;ADDRESS(ROW()+2,COLUMN('NVRAM map'!AS:AS))),INDIRECT("'NVRAM map'!"&amp;ADDRESS(ROW()+2,COLUMN('NVRAM map'!AS:AS)))&amp;"_"&amp;INDIRECT("'NVRAM map'!"&amp;ADDRESS(ROW()+2,COLUMN('NVRAM map'!AG:AG))))),"__","_")</f>
        <v>EE_ANA_DIAG0</v>
      </c>
      <c r="B282" s="100" t="str">
        <f ca="1">IF(OR(INDIRECT("'NVRAM map'!"&amp;ADDRESS(ROW()+2,COLUMN('NVRAM map'!D:D)))="-",A282="_"),"x","")</f>
        <v>x</v>
      </c>
      <c r="C282" s="100" t="str">
        <f ca="1">IF(B282="x","FIXED",INDIRECT("'NVRAM map'!"&amp;ADDRESS(ROW()+2,COLUMN('NVRAM map'!I:I))))</f>
        <v>FIXED</v>
      </c>
      <c r="D282" s="100" t="str">
        <f ca="1">IF(C282="FIXED","",INDIRECT("'NVRAM map'!"&amp;ADDRESS(ROW()+2,COLUMN('NVRAM map'!K:K))))</f>
        <v/>
      </c>
      <c r="E282" s="100" t="str">
        <f ca="1">IF(C282="FIXED","",INDIRECT("'NVRAM map'!"&amp;ADDRESS(ROW()+2,COLUMN('NVRAM map'!L:L))))</f>
        <v/>
      </c>
      <c r="F282" s="100">
        <f ca="1">IF(C282="FIXED",INDIRECT("'NVRAM map'!"&amp;ADDRESS(ROW()+2,COLUMN('NVRAM map'!AM:AM))),"")</f>
        <v>0</v>
      </c>
      <c r="G282" s="99"/>
    </row>
    <row r="283" spans="1:7">
      <c r="A283" s="99" t="str">
        <f ca="1">SUBSTITUTE(UPPER(IF(INDIRECT("'NVRAM map'!"&amp;ADDRESS(ROW()+2,COLUMN('NVRAM map'!AG:AG)))="-",INDIRECT("'NVRAM map'!"&amp;ADDRESS(ROW()+2,COLUMN('NVRAM map'!AS:AS))),INDIRECT("'NVRAM map'!"&amp;ADDRESS(ROW()+2,COLUMN('NVRAM map'!AS:AS)))&amp;"_"&amp;INDIRECT("'NVRAM map'!"&amp;ADDRESS(ROW()+2,COLUMN('NVRAM map'!AG:AG))))),"__","_")</f>
        <v>EE_ANA_DIAG0_VANA_BASE</v>
      </c>
      <c r="B283" s="100" t="str">
        <f ca="1">IF(OR(INDIRECT("'NVRAM map'!"&amp;ADDRESS(ROW()+2,COLUMN('NVRAM map'!D:D)))="-",A283="_"),"x","")</f>
        <v/>
      </c>
      <c r="C283" s="100" t="str">
        <f ca="1">IF(B283="x","FIXED",INDIRECT("'NVRAM map'!"&amp;ADDRESS(ROW()+2,COLUMN('NVRAM map'!I:I))))</f>
        <v>TRIMMED</v>
      </c>
      <c r="D283" s="100">
        <f ca="1">IF(C283="FIXED","",INDIRECT("'NVRAM map'!"&amp;ADDRESS(ROW()+2,COLUMN('NVRAM map'!K:K))))</f>
        <v>-256</v>
      </c>
      <c r="E283" s="100">
        <f ca="1">IF(C283="FIXED","",INDIRECT("'NVRAM map'!"&amp;ADDRESS(ROW()+2,COLUMN('NVRAM map'!L:L))))</f>
        <v>255</v>
      </c>
      <c r="F283" s="100" t="str">
        <f ca="1">IF(C283="FIXED",INDIRECT("'NVRAM map'!"&amp;ADDRESS(ROW()+2,COLUMN('NVRAM map'!AM:AM))),"")</f>
        <v/>
      </c>
      <c r="G283" s="99"/>
    </row>
    <row r="284" spans="1:7">
      <c r="A284" s="99" t="str">
        <f ca="1">SUBSTITUTE(UPPER(IF(INDIRECT("'NVRAM map'!"&amp;ADDRESS(ROW()+2,COLUMN('NVRAM map'!AG:AG)))="-",INDIRECT("'NVRAM map'!"&amp;ADDRESS(ROW()+2,COLUMN('NVRAM map'!AS:AS))),INDIRECT("'NVRAM map'!"&amp;ADDRESS(ROW()+2,COLUMN('NVRAM map'!AS:AS)))&amp;"_"&amp;INDIRECT("'NVRAM map'!"&amp;ADDRESS(ROW()+2,COLUMN('NVRAM map'!AG:AG))))),"__","_")</f>
        <v>EE_ANA_DIAG0_VANA_THRD</v>
      </c>
      <c r="B284" s="100" t="str">
        <f ca="1">IF(OR(INDIRECT("'NVRAM map'!"&amp;ADDRESS(ROW()+2,COLUMN('NVRAM map'!D:D)))="-",A284="_"),"x","")</f>
        <v/>
      </c>
      <c r="C284" s="100" t="str">
        <f ca="1">IF(B284="x","FIXED",INDIRECT("'NVRAM map'!"&amp;ADDRESS(ROW()+2,COLUMN('NVRAM map'!I:I))))</f>
        <v>FIXED</v>
      </c>
      <c r="D284" s="100" t="str">
        <f ca="1">IF(C284="FIXED","",INDIRECT("'NVRAM map'!"&amp;ADDRESS(ROW()+2,COLUMN('NVRAM map'!K:K))))</f>
        <v/>
      </c>
      <c r="E284" s="100" t="str">
        <f ca="1">IF(C284="FIXED","",INDIRECT("'NVRAM map'!"&amp;ADDRESS(ROW()+2,COLUMN('NVRAM map'!L:L))))</f>
        <v/>
      </c>
      <c r="F284" s="100">
        <f ca="1">IF(C284="FIXED",INDIRECT("'NVRAM map'!"&amp;ADDRESS(ROW()+2,COLUMN('NVRAM map'!AM:AM))),"")</f>
        <v>15</v>
      </c>
      <c r="G284" s="99"/>
    </row>
    <row r="285" spans="1:7">
      <c r="A285" s="99" t="str">
        <f ca="1">SUBSTITUTE(UPPER(IF(INDIRECT("'NVRAM map'!"&amp;ADDRESS(ROW()+2,COLUMN('NVRAM map'!AG:AG)))="-",INDIRECT("'NVRAM map'!"&amp;ADDRESS(ROW()+2,COLUMN('NVRAM map'!AS:AS))),INDIRECT("'NVRAM map'!"&amp;ADDRESS(ROW()+2,COLUMN('NVRAM map'!AS:AS)))&amp;"_"&amp;INDIRECT("'NVRAM map'!"&amp;ADDRESS(ROW()+2,COLUMN('NVRAM map'!AG:AG))))),"__","_")</f>
        <v>EE_ANA_DIAG1</v>
      </c>
      <c r="B285" s="100" t="str">
        <f ca="1">IF(OR(INDIRECT("'NVRAM map'!"&amp;ADDRESS(ROW()+2,COLUMN('NVRAM map'!D:D)))="-",A285="_"),"x","")</f>
        <v>x</v>
      </c>
      <c r="C285" s="100" t="str">
        <f ca="1">IF(B285="x","FIXED",INDIRECT("'NVRAM map'!"&amp;ADDRESS(ROW()+2,COLUMN('NVRAM map'!I:I))))</f>
        <v>FIXED</v>
      </c>
      <c r="D285" s="100" t="str">
        <f ca="1">IF(C285="FIXED","",INDIRECT("'NVRAM map'!"&amp;ADDRESS(ROW()+2,COLUMN('NVRAM map'!K:K))))</f>
        <v/>
      </c>
      <c r="E285" s="100" t="str">
        <f ca="1">IF(C285="FIXED","",INDIRECT("'NVRAM map'!"&amp;ADDRESS(ROW()+2,COLUMN('NVRAM map'!L:L))))</f>
        <v/>
      </c>
      <c r="F285" s="100">
        <f ca="1">IF(C285="FIXED",INDIRECT("'NVRAM map'!"&amp;ADDRESS(ROW()+2,COLUMN('NVRAM map'!AM:AM))),"")</f>
        <v>0</v>
      </c>
      <c r="G285" s="99"/>
    </row>
    <row r="286" spans="1:7">
      <c r="A286" s="99" t="str">
        <f ca="1">SUBSTITUTE(UPPER(IF(INDIRECT("'NVRAM map'!"&amp;ADDRESS(ROW()+2,COLUMN('NVRAM map'!AG:AG)))="-",INDIRECT("'NVRAM map'!"&amp;ADDRESS(ROW()+2,COLUMN('NVRAM map'!AS:AS))),INDIRECT("'NVRAM map'!"&amp;ADDRESS(ROW()+2,COLUMN('NVRAM map'!AS:AS)))&amp;"_"&amp;INDIRECT("'NVRAM map'!"&amp;ADDRESS(ROW()+2,COLUMN('NVRAM map'!AG:AG))))),"__","_")</f>
        <v>EE_ANA_DIAG1_RREF_BASE</v>
      </c>
      <c r="B286" s="100" t="str">
        <f ca="1">IF(OR(INDIRECT("'NVRAM map'!"&amp;ADDRESS(ROW()+2,COLUMN('NVRAM map'!D:D)))="-",A286="_"),"x","")</f>
        <v/>
      </c>
      <c r="C286" s="100" t="str">
        <f ca="1">IF(B286="x","FIXED",INDIRECT("'NVRAM map'!"&amp;ADDRESS(ROW()+2,COLUMN('NVRAM map'!I:I))))</f>
        <v>TRIMMED</v>
      </c>
      <c r="D286" s="100">
        <f ca="1">IF(C286="FIXED","",INDIRECT("'NVRAM map'!"&amp;ADDRESS(ROW()+2,COLUMN('NVRAM map'!K:K))))</f>
        <v>-256</v>
      </c>
      <c r="E286" s="100">
        <f ca="1">IF(C286="FIXED","",INDIRECT("'NVRAM map'!"&amp;ADDRESS(ROW()+2,COLUMN('NVRAM map'!L:L))))</f>
        <v>255</v>
      </c>
      <c r="F286" s="100" t="str">
        <f ca="1">IF(C286="FIXED",INDIRECT("'NVRAM map'!"&amp;ADDRESS(ROW()+2,COLUMN('NVRAM map'!AM:AM))),"")</f>
        <v/>
      </c>
      <c r="G286" s="99"/>
    </row>
    <row r="287" spans="1:7">
      <c r="A287" s="99" t="str">
        <f ca="1">SUBSTITUTE(UPPER(IF(INDIRECT("'NVRAM map'!"&amp;ADDRESS(ROW()+2,COLUMN('NVRAM map'!AG:AG)))="-",INDIRECT("'NVRAM map'!"&amp;ADDRESS(ROW()+2,COLUMN('NVRAM map'!AS:AS))),INDIRECT("'NVRAM map'!"&amp;ADDRESS(ROW()+2,COLUMN('NVRAM map'!AS:AS)))&amp;"_"&amp;INDIRECT("'NVRAM map'!"&amp;ADDRESS(ROW()+2,COLUMN('NVRAM map'!AG:AG))))),"__","_")</f>
        <v>EE_ANA_DIAG1_RREF_THRD</v>
      </c>
      <c r="B287" s="100" t="str">
        <f ca="1">IF(OR(INDIRECT("'NVRAM map'!"&amp;ADDRESS(ROW()+2,COLUMN('NVRAM map'!D:D)))="-",A287="_"),"x","")</f>
        <v/>
      </c>
      <c r="C287" s="100" t="str">
        <f ca="1">IF(B287="x","FIXED",INDIRECT("'NVRAM map'!"&amp;ADDRESS(ROW()+2,COLUMN('NVRAM map'!I:I))))</f>
        <v>FIXED</v>
      </c>
      <c r="D287" s="100" t="str">
        <f ca="1">IF(C287="FIXED","",INDIRECT("'NVRAM map'!"&amp;ADDRESS(ROW()+2,COLUMN('NVRAM map'!K:K))))</f>
        <v/>
      </c>
      <c r="E287" s="100" t="str">
        <f ca="1">IF(C287="FIXED","",INDIRECT("'NVRAM map'!"&amp;ADDRESS(ROW()+2,COLUMN('NVRAM map'!L:L))))</f>
        <v/>
      </c>
      <c r="F287" s="100">
        <f ca="1">IF(C287="FIXED",INDIRECT("'NVRAM map'!"&amp;ADDRESS(ROW()+2,COLUMN('NVRAM map'!AM:AM))),"")</f>
        <v>58</v>
      </c>
      <c r="G287" s="99"/>
    </row>
    <row r="288" spans="1:7">
      <c r="A288" s="99" t="str">
        <f ca="1">SUBSTITUTE(UPPER(IF(INDIRECT("'NVRAM map'!"&amp;ADDRESS(ROW()+2,COLUMN('NVRAM map'!AG:AG)))="-",INDIRECT("'NVRAM map'!"&amp;ADDRESS(ROW()+2,COLUMN('NVRAM map'!AS:AS))),INDIRECT("'NVRAM map'!"&amp;ADDRESS(ROW()+2,COLUMN('NVRAM map'!AS:AS)))&amp;"_"&amp;INDIRECT("'NVRAM map'!"&amp;ADDRESS(ROW()+2,COLUMN('NVRAM map'!AG:AG))))),"__","_")</f>
        <v>EE_VZERO_THRD</v>
      </c>
      <c r="B288" s="100" t="str">
        <f ca="1">IF(OR(INDIRECT("'NVRAM map'!"&amp;ADDRESS(ROW()+2,COLUMN('NVRAM map'!D:D)))="-",A288="_"),"x","")</f>
        <v>x</v>
      </c>
      <c r="C288" s="100" t="str">
        <f ca="1">IF(B288="x","FIXED",INDIRECT("'NVRAM map'!"&amp;ADDRESS(ROW()+2,COLUMN('NVRAM map'!I:I))))</f>
        <v>FIXED</v>
      </c>
      <c r="D288" s="100" t="str">
        <f ca="1">IF(C288="FIXED","",INDIRECT("'NVRAM map'!"&amp;ADDRESS(ROW()+2,COLUMN('NVRAM map'!K:K))))</f>
        <v/>
      </c>
      <c r="E288" s="100" t="str">
        <f ca="1">IF(C288="FIXED","",INDIRECT("'NVRAM map'!"&amp;ADDRESS(ROW()+2,COLUMN('NVRAM map'!L:L))))</f>
        <v/>
      </c>
      <c r="F288" s="100">
        <f ca="1">IF(C288="FIXED",INDIRECT("'NVRAM map'!"&amp;ADDRESS(ROW()+2,COLUMN('NVRAM map'!AM:AM))),"")</f>
        <v>0</v>
      </c>
      <c r="G288" s="99"/>
    </row>
    <row r="289" spans="1:7">
      <c r="A289" s="99" t="str">
        <f ca="1">SUBSTITUTE(UPPER(IF(INDIRECT("'NVRAM map'!"&amp;ADDRESS(ROW()+2,COLUMN('NVRAM map'!AG:AG)))="-",INDIRECT("'NVRAM map'!"&amp;ADDRESS(ROW()+2,COLUMN('NVRAM map'!AS:AS))),INDIRECT("'NVRAM map'!"&amp;ADDRESS(ROW()+2,COLUMN('NVRAM map'!AS:AS)))&amp;"_"&amp;INDIRECT("'NVRAM map'!"&amp;ADDRESS(ROW()+2,COLUMN('NVRAM map'!AG:AG))))),"__","_")</f>
        <v>EE_VZERO_THRD_VIRT_REF_TMEMS_DIAG_THRD</v>
      </c>
      <c r="B289" s="100" t="str">
        <f ca="1">IF(OR(INDIRECT("'NVRAM map'!"&amp;ADDRESS(ROW()+2,COLUMN('NVRAM map'!D:D)))="-",A289="_"),"x","")</f>
        <v/>
      </c>
      <c r="C289" s="100" t="str">
        <f ca="1">IF(B289="x","FIXED",INDIRECT("'NVRAM map'!"&amp;ADDRESS(ROW()+2,COLUMN('NVRAM map'!I:I))))</f>
        <v>FIXED</v>
      </c>
      <c r="D289" s="100" t="str">
        <f ca="1">IF(C289="FIXED","",INDIRECT("'NVRAM map'!"&amp;ADDRESS(ROW()+2,COLUMN('NVRAM map'!K:K))))</f>
        <v/>
      </c>
      <c r="E289" s="100" t="str">
        <f ca="1">IF(C289="FIXED","",INDIRECT("'NVRAM map'!"&amp;ADDRESS(ROW()+2,COLUMN('NVRAM map'!L:L))))</f>
        <v/>
      </c>
      <c r="F289" s="100">
        <f ca="1">IF(C289="FIXED",INDIRECT("'NVRAM map'!"&amp;ADDRESS(ROW()+2,COLUMN('NVRAM map'!AM:AM))),"")</f>
        <v>0</v>
      </c>
      <c r="G289" s="99"/>
    </row>
    <row r="290" spans="1:7">
      <c r="A290" s="99" t="str">
        <f ca="1">SUBSTITUTE(UPPER(IF(INDIRECT("'NVRAM map'!"&amp;ADDRESS(ROW()+2,COLUMN('NVRAM map'!AG:AG)))="-",INDIRECT("'NVRAM map'!"&amp;ADDRESS(ROW()+2,COLUMN('NVRAM map'!AS:AS))),INDIRECT("'NVRAM map'!"&amp;ADDRESS(ROW()+2,COLUMN('NVRAM map'!AS:AS)))&amp;"_"&amp;INDIRECT("'NVRAM map'!"&amp;ADDRESS(ROW()+2,COLUMN('NVRAM map'!AG:AG))))),"__","_")</f>
        <v>EE_VZERO_THRD_VZERO_THRD</v>
      </c>
      <c r="B290" s="100" t="str">
        <f ca="1">IF(OR(INDIRECT("'NVRAM map'!"&amp;ADDRESS(ROW()+2,COLUMN('NVRAM map'!D:D)))="-",A290="_"),"x","")</f>
        <v/>
      </c>
      <c r="C290" s="100" t="str">
        <f ca="1">IF(B290="x","FIXED",INDIRECT("'NVRAM map'!"&amp;ADDRESS(ROW()+2,COLUMN('NVRAM map'!I:I))))</f>
        <v>TRIMMED</v>
      </c>
      <c r="D290" s="100">
        <f ca="1">IF(C290="FIXED","",INDIRECT("'NVRAM map'!"&amp;ADDRESS(ROW()+2,COLUMN('NVRAM map'!K:K))))</f>
        <v>0</v>
      </c>
      <c r="E290" s="100">
        <f ca="1">IF(C290="FIXED","",INDIRECT("'NVRAM map'!"&amp;ADDRESS(ROW()+2,COLUMN('NVRAM map'!L:L))))</f>
        <v>255</v>
      </c>
      <c r="F290" s="100" t="str">
        <f ca="1">IF(C290="FIXED",INDIRECT("'NVRAM map'!"&amp;ADDRESS(ROW()+2,COLUMN('NVRAM map'!AM:AM))),"")</f>
        <v/>
      </c>
      <c r="G290" s="99"/>
    </row>
    <row r="291" spans="1:7">
      <c r="A291" s="99" t="str">
        <f ca="1">SUBSTITUTE(UPPER(IF(INDIRECT("'NVRAM map'!"&amp;ADDRESS(ROW()+2,COLUMN('NVRAM map'!AG:AG)))="-",INDIRECT("'NVRAM map'!"&amp;ADDRESS(ROW()+2,COLUMN('NVRAM map'!AS:AS))),INDIRECT("'NVRAM map'!"&amp;ADDRESS(ROW()+2,COLUMN('NVRAM map'!AS:AS)))&amp;"_"&amp;INDIRECT("'NVRAM map'!"&amp;ADDRESS(ROW()+2,COLUMN('NVRAM map'!AG:AG))))),"__","_")</f>
        <v>EE_VIRT_REF_TDIE</v>
      </c>
      <c r="B291" s="100" t="str">
        <f ca="1">IF(OR(INDIRECT("'NVRAM map'!"&amp;ADDRESS(ROW()+2,COLUMN('NVRAM map'!D:D)))="-",A291="_"),"x","")</f>
        <v>x</v>
      </c>
      <c r="C291" s="100" t="str">
        <f ca="1">IF(B291="x","FIXED",INDIRECT("'NVRAM map'!"&amp;ADDRESS(ROW()+2,COLUMN('NVRAM map'!I:I))))</f>
        <v>FIXED</v>
      </c>
      <c r="D291" s="100" t="str">
        <f ca="1">IF(C291="FIXED","",INDIRECT("'NVRAM map'!"&amp;ADDRESS(ROW()+2,COLUMN('NVRAM map'!K:K))))</f>
        <v/>
      </c>
      <c r="E291" s="100" t="str">
        <f ca="1">IF(C291="FIXED","",INDIRECT("'NVRAM map'!"&amp;ADDRESS(ROW()+2,COLUMN('NVRAM map'!L:L))))</f>
        <v/>
      </c>
      <c r="F291" s="100">
        <f ca="1">IF(C291="FIXED",INDIRECT("'NVRAM map'!"&amp;ADDRESS(ROW()+2,COLUMN('NVRAM map'!AM:AM))),"")</f>
        <v>0</v>
      </c>
      <c r="G291" s="99"/>
    </row>
    <row r="292" spans="1:7">
      <c r="A292" s="99" t="str">
        <f ca="1">SUBSTITUTE(UPPER(IF(INDIRECT("'NVRAM map'!"&amp;ADDRESS(ROW()+2,COLUMN('NVRAM map'!AG:AG)))="-",INDIRECT("'NVRAM map'!"&amp;ADDRESS(ROW()+2,COLUMN('NVRAM map'!AS:AS))),INDIRECT("'NVRAM map'!"&amp;ADDRESS(ROW()+2,COLUMN('NVRAM map'!AS:AS)))&amp;"_"&amp;INDIRECT("'NVRAM map'!"&amp;ADDRESS(ROW()+2,COLUMN('NVRAM map'!AG:AG))))),"__","_")</f>
        <v>EE_VIRT_REF_TDIE_VIRT_REF_TDIE_DIAG_BASE</v>
      </c>
      <c r="B292" s="100" t="str">
        <f ca="1">IF(OR(INDIRECT("'NVRAM map'!"&amp;ADDRESS(ROW()+2,COLUMN('NVRAM map'!D:D)))="-",A292="_"),"x","")</f>
        <v/>
      </c>
      <c r="C292" s="100" t="str">
        <f ca="1">IF(B292="x","FIXED",INDIRECT("'NVRAM map'!"&amp;ADDRESS(ROW()+2,COLUMN('NVRAM map'!I:I))))</f>
        <v>TRIMMED</v>
      </c>
      <c r="D292" s="100">
        <f ca="1">IF(C292="FIXED","",INDIRECT("'NVRAM map'!"&amp;ADDRESS(ROW()+2,COLUMN('NVRAM map'!K:K))))</f>
        <v>-256</v>
      </c>
      <c r="E292" s="100">
        <f ca="1">IF(C292="FIXED","",INDIRECT("'NVRAM map'!"&amp;ADDRESS(ROW()+2,COLUMN('NVRAM map'!L:L))))</f>
        <v>255</v>
      </c>
      <c r="F292" s="100" t="str">
        <f ca="1">IF(C292="FIXED",INDIRECT("'NVRAM map'!"&amp;ADDRESS(ROW()+2,COLUMN('NVRAM map'!AM:AM))),"")</f>
        <v/>
      </c>
      <c r="G292" s="99"/>
    </row>
    <row r="293" spans="1:7">
      <c r="A293" s="99" t="str">
        <f ca="1">SUBSTITUTE(UPPER(IF(INDIRECT("'NVRAM map'!"&amp;ADDRESS(ROW()+2,COLUMN('NVRAM map'!AG:AG)))="-",INDIRECT("'NVRAM map'!"&amp;ADDRESS(ROW()+2,COLUMN('NVRAM map'!AS:AS))),INDIRECT("'NVRAM map'!"&amp;ADDRESS(ROW()+2,COLUMN('NVRAM map'!AS:AS)))&amp;"_"&amp;INDIRECT("'NVRAM map'!"&amp;ADDRESS(ROW()+2,COLUMN('NVRAM map'!AG:AG))))),"__","_")</f>
        <v>EE_VIRT_REF_TDIE_VIRT_REF_TDIE_DIAG_THRD</v>
      </c>
      <c r="B293" s="100" t="str">
        <f ca="1">IF(OR(INDIRECT("'NVRAM map'!"&amp;ADDRESS(ROW()+2,COLUMN('NVRAM map'!D:D)))="-",A293="_"),"x","")</f>
        <v/>
      </c>
      <c r="C293" s="100" t="str">
        <f ca="1">IF(B293="x","FIXED",INDIRECT("'NVRAM map'!"&amp;ADDRESS(ROW()+2,COLUMN('NVRAM map'!I:I))))</f>
        <v>FIXED</v>
      </c>
      <c r="D293" s="100" t="str">
        <f ca="1">IF(C293="FIXED","",INDIRECT("'NVRAM map'!"&amp;ADDRESS(ROW()+2,COLUMN('NVRAM map'!K:K))))</f>
        <v/>
      </c>
      <c r="E293" s="100" t="str">
        <f ca="1">IF(C293="FIXED","",INDIRECT("'NVRAM map'!"&amp;ADDRESS(ROW()+2,COLUMN('NVRAM map'!L:L))))</f>
        <v/>
      </c>
      <c r="F293" s="100">
        <f ca="1">IF(C293="FIXED",INDIRECT("'NVRAM map'!"&amp;ADDRESS(ROW()+2,COLUMN('NVRAM map'!AM:AM))),"")</f>
        <v>32</v>
      </c>
      <c r="G293" s="99"/>
    </row>
    <row r="294" spans="1:7">
      <c r="A294" s="99" t="str">
        <f ca="1">SUBSTITUTE(UPPER(IF(INDIRECT("'NVRAM map'!"&amp;ADDRESS(ROW()+2,COLUMN('NVRAM map'!AG:AG)))="-",INDIRECT("'NVRAM map'!"&amp;ADDRESS(ROW()+2,COLUMN('NVRAM map'!AS:AS))),INDIRECT("'NVRAM map'!"&amp;ADDRESS(ROW()+2,COLUMN('NVRAM map'!AS:AS)))&amp;"_"&amp;INDIRECT("'NVRAM map'!"&amp;ADDRESS(ROW()+2,COLUMN('NVRAM map'!AG:AG))))),"__","_")</f>
        <v>EE_RPOLY_THRD</v>
      </c>
      <c r="B294" s="100" t="str">
        <f ca="1">IF(OR(INDIRECT("'NVRAM map'!"&amp;ADDRESS(ROW()+2,COLUMN('NVRAM map'!D:D)))="-",A294="_"),"x","")</f>
        <v>x</v>
      </c>
      <c r="C294" s="100" t="str">
        <f ca="1">IF(B294="x","FIXED",INDIRECT("'NVRAM map'!"&amp;ADDRESS(ROW()+2,COLUMN('NVRAM map'!I:I))))</f>
        <v>FIXED</v>
      </c>
      <c r="D294" s="100" t="str">
        <f ca="1">IF(C294="FIXED","",INDIRECT("'NVRAM map'!"&amp;ADDRESS(ROW()+2,COLUMN('NVRAM map'!K:K))))</f>
        <v/>
      </c>
      <c r="E294" s="100" t="str">
        <f ca="1">IF(C294="FIXED","",INDIRECT("'NVRAM map'!"&amp;ADDRESS(ROW()+2,COLUMN('NVRAM map'!L:L))))</f>
        <v/>
      </c>
      <c r="F294" s="100">
        <f ca="1">IF(C294="FIXED",INDIRECT("'NVRAM map'!"&amp;ADDRESS(ROW()+2,COLUMN('NVRAM map'!AM:AM))),"")</f>
        <v>0</v>
      </c>
      <c r="G294" s="99"/>
    </row>
    <row r="295" spans="1:7">
      <c r="A295" s="99" t="str">
        <f ca="1">SUBSTITUTE(UPPER(IF(INDIRECT("'NVRAM map'!"&amp;ADDRESS(ROW()+2,COLUMN('NVRAM map'!AG:AG)))="-",INDIRECT("'NVRAM map'!"&amp;ADDRESS(ROW()+2,COLUMN('NVRAM map'!AS:AS))),INDIRECT("'NVRAM map'!"&amp;ADDRESS(ROW()+2,COLUMN('NVRAM map'!AS:AS)))&amp;"_"&amp;INDIRECT("'NVRAM map'!"&amp;ADDRESS(ROW()+2,COLUMN('NVRAM map'!AG:AG))))),"__","_")</f>
        <v>EE_RPOLY_THRD_RPOLY_BASE</v>
      </c>
      <c r="B295" s="100" t="str">
        <f ca="1">IF(OR(INDIRECT("'NVRAM map'!"&amp;ADDRESS(ROW()+2,COLUMN('NVRAM map'!D:D)))="-",A295="_"),"x","")</f>
        <v/>
      </c>
      <c r="C295" s="100" t="str">
        <f ca="1">IF(B295="x","FIXED",INDIRECT("'NVRAM map'!"&amp;ADDRESS(ROW()+2,COLUMN('NVRAM map'!I:I))))</f>
        <v>TRIMMED</v>
      </c>
      <c r="D295" s="100">
        <f ca="1">IF(C295="FIXED","",INDIRECT("'NVRAM map'!"&amp;ADDRESS(ROW()+2,COLUMN('NVRAM map'!K:K))))</f>
        <v>-256</v>
      </c>
      <c r="E295" s="100">
        <f ca="1">IF(C295="FIXED","",INDIRECT("'NVRAM map'!"&amp;ADDRESS(ROW()+2,COLUMN('NVRAM map'!L:L))))</f>
        <v>255</v>
      </c>
      <c r="F295" s="100" t="str">
        <f ca="1">IF(C295="FIXED",INDIRECT("'NVRAM map'!"&amp;ADDRESS(ROW()+2,COLUMN('NVRAM map'!AM:AM))),"")</f>
        <v/>
      </c>
      <c r="G295" s="99"/>
    </row>
    <row r="296" spans="1:7">
      <c r="A296" s="99" t="str">
        <f ca="1">SUBSTITUTE(UPPER(IF(INDIRECT("'NVRAM map'!"&amp;ADDRESS(ROW()+2,COLUMN('NVRAM map'!AG:AG)))="-",INDIRECT("'NVRAM map'!"&amp;ADDRESS(ROW()+2,COLUMN('NVRAM map'!AS:AS))),INDIRECT("'NVRAM map'!"&amp;ADDRESS(ROW()+2,COLUMN('NVRAM map'!AS:AS)))&amp;"_"&amp;INDIRECT("'NVRAM map'!"&amp;ADDRESS(ROW()+2,COLUMN('NVRAM map'!AG:AG))))),"__","_")</f>
        <v>EE_RPOLY_THRD_RPOLY_THRD</v>
      </c>
      <c r="B296" s="100" t="str">
        <f ca="1">IF(OR(INDIRECT("'NVRAM map'!"&amp;ADDRESS(ROW()+2,COLUMN('NVRAM map'!D:D)))="-",A296="_"),"x","")</f>
        <v/>
      </c>
      <c r="C296" s="100" t="str">
        <f ca="1">IF(B296="x","FIXED",INDIRECT("'NVRAM map'!"&amp;ADDRESS(ROW()+2,COLUMN('NVRAM map'!I:I))))</f>
        <v>FIXED</v>
      </c>
      <c r="D296" s="100" t="str">
        <f ca="1">IF(C296="FIXED","",INDIRECT("'NVRAM map'!"&amp;ADDRESS(ROW()+2,COLUMN('NVRAM map'!K:K))))</f>
        <v/>
      </c>
      <c r="E296" s="100" t="str">
        <f ca="1">IF(C296="FIXED","",INDIRECT("'NVRAM map'!"&amp;ADDRESS(ROW()+2,COLUMN('NVRAM map'!L:L))))</f>
        <v/>
      </c>
      <c r="F296" s="100">
        <f ca="1">IF(C296="FIXED",INDIRECT("'NVRAM map'!"&amp;ADDRESS(ROW()+2,COLUMN('NVRAM map'!AM:AM))),"")</f>
        <v>40</v>
      </c>
      <c r="G296" s="99"/>
    </row>
    <row r="297" spans="1:7">
      <c r="A297" s="99" t="str">
        <f ca="1">SUBSTITUTE(UPPER(IF(INDIRECT("'NVRAM map'!"&amp;ADDRESS(ROW()+2,COLUMN('NVRAM map'!AG:AG)))="-",INDIRECT("'NVRAM map'!"&amp;ADDRESS(ROW()+2,COLUMN('NVRAM map'!AS:AS))),INDIRECT("'NVRAM map'!"&amp;ADDRESS(ROW()+2,COLUMN('NVRAM map'!AS:AS)))&amp;"_"&amp;INDIRECT("'NVRAM map'!"&amp;ADDRESS(ROW()+2,COLUMN('NVRAM map'!AG:AG))))),"__","_")</f>
        <v>EE_TRACEABILITY_CP</v>
      </c>
      <c r="B297" s="100" t="str">
        <f ca="1">IF(OR(INDIRECT("'NVRAM map'!"&amp;ADDRESS(ROW()+2,COLUMN('NVRAM map'!D:D)))="-",A297="_"),"x","")</f>
        <v>x</v>
      </c>
      <c r="C297" s="100" t="str">
        <f ca="1">IF(B297="x","FIXED",INDIRECT("'NVRAM map'!"&amp;ADDRESS(ROW()+2,COLUMN('NVRAM map'!I:I))))</f>
        <v>FIXED</v>
      </c>
      <c r="D297" s="100" t="str">
        <f ca="1">IF(C297="FIXED","",INDIRECT("'NVRAM map'!"&amp;ADDRESS(ROW()+2,COLUMN('NVRAM map'!K:K))))</f>
        <v/>
      </c>
      <c r="E297" s="100" t="str">
        <f ca="1">IF(C297="FIXED","",INDIRECT("'NVRAM map'!"&amp;ADDRESS(ROW()+2,COLUMN('NVRAM map'!L:L))))</f>
        <v/>
      </c>
      <c r="F297" s="100">
        <f ca="1">IF(C297="FIXED",INDIRECT("'NVRAM map'!"&amp;ADDRESS(ROW()+2,COLUMN('NVRAM map'!AM:AM))),"")</f>
        <v>0</v>
      </c>
      <c r="G297" s="99"/>
    </row>
    <row r="298" spans="1:7">
      <c r="A298" s="99" t="str">
        <f ca="1">SUBSTITUTE(UPPER(IF(INDIRECT("'NVRAM map'!"&amp;ADDRESS(ROW()+2,COLUMN('NVRAM map'!AG:AG)))="-",INDIRECT("'NVRAM map'!"&amp;ADDRESS(ROW()+2,COLUMN('NVRAM map'!AS:AS))),INDIRECT("'NVRAM map'!"&amp;ADDRESS(ROW()+2,COLUMN('NVRAM map'!AS:AS)))&amp;"_"&amp;INDIRECT("'NVRAM map'!"&amp;ADDRESS(ROW()+2,COLUMN('NVRAM map'!AG:AG))))),"__","_")</f>
        <v>EE_TRACEABILITY_CP_TRACEABILITY_CP</v>
      </c>
      <c r="B298" s="100" t="str">
        <f ca="1">IF(OR(INDIRECT("'NVRAM map'!"&amp;ADDRESS(ROW()+2,COLUMN('NVRAM map'!D:D)))="-",A298="_"),"x","")</f>
        <v/>
      </c>
      <c r="C298" s="100" t="str">
        <f ca="1">IF(B298="x","FIXED",INDIRECT("'NVRAM map'!"&amp;ADDRESS(ROW()+2,COLUMN('NVRAM map'!I:I))))</f>
        <v>ID</v>
      </c>
      <c r="D298" s="100">
        <f ca="1">IF(C298="FIXED","",INDIRECT("'NVRAM map'!"&amp;ADDRESS(ROW()+2,COLUMN('NVRAM map'!K:K))))</f>
        <v>0</v>
      </c>
      <c r="E298" s="100">
        <f ca="1">IF(C298="FIXED","",INDIRECT("'NVRAM map'!"&amp;ADDRESS(ROW()+2,COLUMN('NVRAM map'!L:L))))</f>
        <v>65535</v>
      </c>
      <c r="F298" s="100" t="str">
        <f ca="1">IF(C298="FIXED",INDIRECT("'NVRAM map'!"&amp;ADDRESS(ROW()+2,COLUMN('NVRAM map'!AM:AM))),"")</f>
        <v/>
      </c>
      <c r="G298" s="99"/>
    </row>
    <row r="299" spans="1:7">
      <c r="A299" s="99" t="str">
        <f ca="1">SUBSTITUTE(UPPER(IF(INDIRECT("'NVRAM map'!"&amp;ADDRESS(ROW()+2,COLUMN('NVRAM map'!AG:AG)))="-",INDIRECT("'NVRAM map'!"&amp;ADDRESS(ROW()+2,COLUMN('NVRAM map'!AS:AS))),INDIRECT("'NVRAM map'!"&amp;ADDRESS(ROW()+2,COLUMN('NVRAM map'!AS:AS)))&amp;"_"&amp;INDIRECT("'NVRAM map'!"&amp;ADDRESS(ROW()+2,COLUMN('NVRAM map'!AG:AG))))),"__","_")</f>
        <v>EE_MLX_ID0_CP</v>
      </c>
      <c r="B299" s="100" t="str">
        <f ca="1">IF(OR(INDIRECT("'NVRAM map'!"&amp;ADDRESS(ROW()+2,COLUMN('NVRAM map'!D:D)))="-",A299="_"),"x","")</f>
        <v>x</v>
      </c>
      <c r="C299" s="100" t="str">
        <f ca="1">IF(B299="x","FIXED",INDIRECT("'NVRAM map'!"&amp;ADDRESS(ROW()+2,COLUMN('NVRAM map'!I:I))))</f>
        <v>FIXED</v>
      </c>
      <c r="D299" s="100" t="str">
        <f ca="1">IF(C299="FIXED","",INDIRECT("'NVRAM map'!"&amp;ADDRESS(ROW()+2,COLUMN('NVRAM map'!K:K))))</f>
        <v/>
      </c>
      <c r="E299" s="100" t="str">
        <f ca="1">IF(C299="FIXED","",INDIRECT("'NVRAM map'!"&amp;ADDRESS(ROW()+2,COLUMN('NVRAM map'!L:L))))</f>
        <v/>
      </c>
      <c r="F299" s="100">
        <f ca="1">IF(C299="FIXED",INDIRECT("'NVRAM map'!"&amp;ADDRESS(ROW()+2,COLUMN('NVRAM map'!AM:AM))),"")</f>
        <v>0</v>
      </c>
      <c r="G299" s="99"/>
    </row>
    <row r="300" spans="1:7">
      <c r="A300" s="99" t="str">
        <f ca="1">SUBSTITUTE(UPPER(IF(INDIRECT("'NVRAM map'!"&amp;ADDRESS(ROW()+2,COLUMN('NVRAM map'!AG:AG)))="-",INDIRECT("'NVRAM map'!"&amp;ADDRESS(ROW()+2,COLUMN('NVRAM map'!AS:AS))),INDIRECT("'NVRAM map'!"&amp;ADDRESS(ROW()+2,COLUMN('NVRAM map'!AS:AS)))&amp;"_"&amp;INDIRECT("'NVRAM map'!"&amp;ADDRESS(ROW()+2,COLUMN('NVRAM map'!AG:AG))))),"__","_")</f>
        <v>EE_MLX_ID0_CP_MLX_ID0_CP</v>
      </c>
      <c r="B300" s="100" t="str">
        <f ca="1">IF(OR(INDIRECT("'NVRAM map'!"&amp;ADDRESS(ROW()+2,COLUMN('NVRAM map'!D:D)))="-",A300="_"),"x","")</f>
        <v/>
      </c>
      <c r="C300" s="100" t="str">
        <f ca="1">IF(B300="x","FIXED",INDIRECT("'NVRAM map'!"&amp;ADDRESS(ROW()+2,COLUMN('NVRAM map'!I:I))))</f>
        <v>ID</v>
      </c>
      <c r="D300" s="100">
        <f ca="1">IF(C300="FIXED","",INDIRECT("'NVRAM map'!"&amp;ADDRESS(ROW()+2,COLUMN('NVRAM map'!K:K))))</f>
        <v>0</v>
      </c>
      <c r="E300" s="100">
        <f ca="1">IF(C300="FIXED","",INDIRECT("'NVRAM map'!"&amp;ADDRESS(ROW()+2,COLUMN('NVRAM map'!L:L))))</f>
        <v>65535</v>
      </c>
      <c r="F300" s="100" t="str">
        <f ca="1">IF(C300="FIXED",INDIRECT("'NVRAM map'!"&amp;ADDRESS(ROW()+2,COLUMN('NVRAM map'!AM:AM))),"")</f>
        <v/>
      </c>
      <c r="G300" s="99"/>
    </row>
    <row r="301" spans="1:7">
      <c r="A301" s="99" t="str">
        <f ca="1">SUBSTITUTE(UPPER(IF(INDIRECT("'NVRAM map'!"&amp;ADDRESS(ROW()+2,COLUMN('NVRAM map'!AG:AG)))="-",INDIRECT("'NVRAM map'!"&amp;ADDRESS(ROW()+2,COLUMN('NVRAM map'!AS:AS))),INDIRECT("'NVRAM map'!"&amp;ADDRESS(ROW()+2,COLUMN('NVRAM map'!AS:AS)))&amp;"_"&amp;INDIRECT("'NVRAM map'!"&amp;ADDRESS(ROW()+2,COLUMN('NVRAM map'!AG:AG))))),"__","_")</f>
        <v>EE_MLX_ID1_CP</v>
      </c>
      <c r="B301" s="100" t="str">
        <f ca="1">IF(OR(INDIRECT("'NVRAM map'!"&amp;ADDRESS(ROW()+2,COLUMN('NVRAM map'!D:D)))="-",A301="_"),"x","")</f>
        <v>x</v>
      </c>
      <c r="C301" s="100" t="str">
        <f ca="1">IF(B301="x","FIXED",INDIRECT("'NVRAM map'!"&amp;ADDRESS(ROW()+2,COLUMN('NVRAM map'!I:I))))</f>
        <v>FIXED</v>
      </c>
      <c r="D301" s="100" t="str">
        <f ca="1">IF(C301="FIXED","",INDIRECT("'NVRAM map'!"&amp;ADDRESS(ROW()+2,COLUMN('NVRAM map'!K:K))))</f>
        <v/>
      </c>
      <c r="E301" s="100" t="str">
        <f ca="1">IF(C301="FIXED","",INDIRECT("'NVRAM map'!"&amp;ADDRESS(ROW()+2,COLUMN('NVRAM map'!L:L))))</f>
        <v/>
      </c>
      <c r="F301" s="100">
        <f ca="1">IF(C301="FIXED",INDIRECT("'NVRAM map'!"&amp;ADDRESS(ROW()+2,COLUMN('NVRAM map'!AM:AM))),"")</f>
        <v>0</v>
      </c>
      <c r="G301" s="99"/>
    </row>
    <row r="302" spans="1:7">
      <c r="A302" s="99" t="str">
        <f ca="1">SUBSTITUTE(UPPER(IF(INDIRECT("'NVRAM map'!"&amp;ADDRESS(ROW()+2,COLUMN('NVRAM map'!AG:AG)))="-",INDIRECT("'NVRAM map'!"&amp;ADDRESS(ROW()+2,COLUMN('NVRAM map'!AS:AS))),INDIRECT("'NVRAM map'!"&amp;ADDRESS(ROW()+2,COLUMN('NVRAM map'!AS:AS)))&amp;"_"&amp;INDIRECT("'NVRAM map'!"&amp;ADDRESS(ROW()+2,COLUMN('NVRAM map'!AG:AG))))),"__","_")</f>
        <v>EE_MLX_ID1_CP_MLX_ID1_CP</v>
      </c>
      <c r="B302" s="100" t="str">
        <f ca="1">IF(OR(INDIRECT("'NVRAM map'!"&amp;ADDRESS(ROW()+2,COLUMN('NVRAM map'!D:D)))="-",A302="_"),"x","")</f>
        <v/>
      </c>
      <c r="C302" s="100" t="str">
        <f ca="1">IF(B302="x","FIXED",INDIRECT("'NVRAM map'!"&amp;ADDRESS(ROW()+2,COLUMN('NVRAM map'!I:I))))</f>
        <v>ID</v>
      </c>
      <c r="D302" s="100">
        <f ca="1">IF(C302="FIXED","",INDIRECT("'NVRAM map'!"&amp;ADDRESS(ROW()+2,COLUMN('NVRAM map'!K:K))))</f>
        <v>0</v>
      </c>
      <c r="E302" s="100">
        <f ca="1">IF(C302="FIXED","",INDIRECT("'NVRAM map'!"&amp;ADDRESS(ROW()+2,COLUMN('NVRAM map'!L:L))))</f>
        <v>65535</v>
      </c>
      <c r="F302" s="100" t="str">
        <f ca="1">IF(C302="FIXED",INDIRECT("'NVRAM map'!"&amp;ADDRESS(ROW()+2,COLUMN('NVRAM map'!AM:AM))),"")</f>
        <v/>
      </c>
      <c r="G302" s="99"/>
    </row>
    <row r="303" spans="1:7">
      <c r="A303" s="99" t="str">
        <f ca="1">SUBSTITUTE(UPPER(IF(INDIRECT("'NVRAM map'!"&amp;ADDRESS(ROW()+2,COLUMN('NVRAM map'!AG:AG)))="-",INDIRECT("'NVRAM map'!"&amp;ADDRESS(ROW()+2,COLUMN('NVRAM map'!AS:AS))),INDIRECT("'NVRAM map'!"&amp;ADDRESS(ROW()+2,COLUMN('NVRAM map'!AS:AS)))&amp;"_"&amp;INDIRECT("'NVRAM map'!"&amp;ADDRESS(ROW()+2,COLUMN('NVRAM map'!AG:AG))))),"__","_")</f>
        <v>EE_MLX_ID2_CP</v>
      </c>
      <c r="B303" s="100" t="str">
        <f ca="1">IF(OR(INDIRECT("'NVRAM map'!"&amp;ADDRESS(ROW()+2,COLUMN('NVRAM map'!D:D)))="-",A303="_"),"x","")</f>
        <v>x</v>
      </c>
      <c r="C303" s="100" t="str">
        <f ca="1">IF(B303="x","FIXED",INDIRECT("'NVRAM map'!"&amp;ADDRESS(ROW()+2,COLUMN('NVRAM map'!I:I))))</f>
        <v>FIXED</v>
      </c>
      <c r="D303" s="100" t="str">
        <f ca="1">IF(C303="FIXED","",INDIRECT("'NVRAM map'!"&amp;ADDRESS(ROW()+2,COLUMN('NVRAM map'!K:K))))</f>
        <v/>
      </c>
      <c r="E303" s="100" t="str">
        <f ca="1">IF(C303="FIXED","",INDIRECT("'NVRAM map'!"&amp;ADDRESS(ROW()+2,COLUMN('NVRAM map'!L:L))))</f>
        <v/>
      </c>
      <c r="F303" s="100">
        <f ca="1">IF(C303="FIXED",INDIRECT("'NVRAM map'!"&amp;ADDRESS(ROW()+2,COLUMN('NVRAM map'!AM:AM))),"")</f>
        <v>0</v>
      </c>
      <c r="G303" s="99"/>
    </row>
    <row r="304" spans="1:7">
      <c r="A304" s="99" t="str">
        <f ca="1">SUBSTITUTE(UPPER(IF(INDIRECT("'NVRAM map'!"&amp;ADDRESS(ROW()+2,COLUMN('NVRAM map'!AG:AG)))="-",INDIRECT("'NVRAM map'!"&amp;ADDRESS(ROW()+2,COLUMN('NVRAM map'!AS:AS))),INDIRECT("'NVRAM map'!"&amp;ADDRESS(ROW()+2,COLUMN('NVRAM map'!AS:AS)))&amp;"_"&amp;INDIRECT("'NVRAM map'!"&amp;ADDRESS(ROW()+2,COLUMN('NVRAM map'!AG:AG))))),"__","_")</f>
        <v>EE_MLX_ID2_CP_MLX_ID2_CP</v>
      </c>
      <c r="B304" s="100" t="str">
        <f ca="1">IF(OR(INDIRECT("'NVRAM map'!"&amp;ADDRESS(ROW()+2,COLUMN('NVRAM map'!D:D)))="-",A304="_"),"x","")</f>
        <v/>
      </c>
      <c r="C304" s="100" t="str">
        <f ca="1">IF(B304="x","FIXED",INDIRECT("'NVRAM map'!"&amp;ADDRESS(ROW()+2,COLUMN('NVRAM map'!I:I))))</f>
        <v>ID</v>
      </c>
      <c r="D304" s="100">
        <f ca="1">IF(C304="FIXED","",INDIRECT("'NVRAM map'!"&amp;ADDRESS(ROW()+2,COLUMN('NVRAM map'!K:K))))</f>
        <v>0</v>
      </c>
      <c r="E304" s="100">
        <f ca="1">IF(C304="FIXED","",INDIRECT("'NVRAM map'!"&amp;ADDRESS(ROW()+2,COLUMN('NVRAM map'!L:L))))</f>
        <v>65535</v>
      </c>
      <c r="F304" s="100" t="str">
        <f ca="1">IF(C304="FIXED",INDIRECT("'NVRAM map'!"&amp;ADDRESS(ROW()+2,COLUMN('NVRAM map'!AM:AM))),"")</f>
        <v/>
      </c>
      <c r="G304" s="99"/>
    </row>
    <row r="305" spans="1:7">
      <c r="A305" s="99" t="str">
        <f ca="1">SUBSTITUTE(UPPER(IF(INDIRECT("'NVRAM map'!"&amp;ADDRESS(ROW()+2,COLUMN('NVRAM map'!AG:AG)))="-",INDIRECT("'NVRAM map'!"&amp;ADDRESS(ROW()+2,COLUMN('NVRAM map'!AS:AS))),INDIRECT("'NVRAM map'!"&amp;ADDRESS(ROW()+2,COLUMN('NVRAM map'!AS:AS)))&amp;"_"&amp;INDIRECT("'NVRAM map'!"&amp;ADDRESS(ROW()+2,COLUMN('NVRAM map'!AG:AG))))),"__","_")</f>
        <v>EE_TRACEABILITY</v>
      </c>
      <c r="B305" s="100" t="str">
        <f ca="1">IF(OR(INDIRECT("'NVRAM map'!"&amp;ADDRESS(ROW()+2,COLUMN('NVRAM map'!D:D)))="-",A305="_"),"x","")</f>
        <v>x</v>
      </c>
      <c r="C305" s="100" t="str">
        <f ca="1">IF(B305="x","FIXED",INDIRECT("'NVRAM map'!"&amp;ADDRESS(ROW()+2,COLUMN('NVRAM map'!I:I))))</f>
        <v>FIXED</v>
      </c>
      <c r="D305" s="100" t="str">
        <f ca="1">IF(C305="FIXED","",INDIRECT("'NVRAM map'!"&amp;ADDRESS(ROW()+2,COLUMN('NVRAM map'!K:K))))</f>
        <v/>
      </c>
      <c r="E305" s="100" t="str">
        <f ca="1">IF(C305="FIXED","",INDIRECT("'NVRAM map'!"&amp;ADDRESS(ROW()+2,COLUMN('NVRAM map'!L:L))))</f>
        <v/>
      </c>
      <c r="F305" s="100">
        <f ca="1">IF(C305="FIXED",INDIRECT("'NVRAM map'!"&amp;ADDRESS(ROW()+2,COLUMN('NVRAM map'!AM:AM))),"")</f>
        <v>0</v>
      </c>
      <c r="G305" s="99"/>
    </row>
    <row r="306" spans="1:7">
      <c r="A306" s="99" t="str">
        <f ca="1">SUBSTITUTE(UPPER(IF(INDIRECT("'NVRAM map'!"&amp;ADDRESS(ROW()+2,COLUMN('NVRAM map'!AG:AG)))="-",INDIRECT("'NVRAM map'!"&amp;ADDRESS(ROW()+2,COLUMN('NVRAM map'!AS:AS))),INDIRECT("'NVRAM map'!"&amp;ADDRESS(ROW()+2,COLUMN('NVRAM map'!AS:AS)))&amp;"_"&amp;INDIRECT("'NVRAM map'!"&amp;ADDRESS(ROW()+2,COLUMN('NVRAM map'!AG:AG))))),"__","_")</f>
        <v>EE_TRACEABILITY_TRACEABILITY</v>
      </c>
      <c r="B306" s="100" t="str">
        <f ca="1">IF(OR(INDIRECT("'NVRAM map'!"&amp;ADDRESS(ROW()+2,COLUMN('NVRAM map'!D:D)))="-",A306="_"),"x","")</f>
        <v/>
      </c>
      <c r="C306" s="100" t="str">
        <f ca="1">IF(B306="x","FIXED",INDIRECT("'NVRAM map'!"&amp;ADDRESS(ROW()+2,COLUMN('NVRAM map'!I:I))))</f>
        <v>ID</v>
      </c>
      <c r="D306" s="100">
        <f ca="1">IF(C306="FIXED","",INDIRECT("'NVRAM map'!"&amp;ADDRESS(ROW()+2,COLUMN('NVRAM map'!K:K))))</f>
        <v>0</v>
      </c>
      <c r="E306" s="100">
        <f ca="1">IF(C306="FIXED","",INDIRECT("'NVRAM map'!"&amp;ADDRESS(ROW()+2,COLUMN('NVRAM map'!L:L))))</f>
        <v>65535</v>
      </c>
      <c r="F306" s="100" t="str">
        <f ca="1">IF(C306="FIXED",INDIRECT("'NVRAM map'!"&amp;ADDRESS(ROW()+2,COLUMN('NVRAM map'!AM:AM))),"")</f>
        <v/>
      </c>
      <c r="G306" s="99"/>
    </row>
    <row r="307" spans="1:7">
      <c r="A307" s="99" t="str">
        <f ca="1">SUBSTITUTE(UPPER(IF(INDIRECT("'NVRAM map'!"&amp;ADDRESS(ROW()+2,COLUMN('NVRAM map'!AG:AG)))="-",INDIRECT("'NVRAM map'!"&amp;ADDRESS(ROW()+2,COLUMN('NVRAM map'!AS:AS))),INDIRECT("'NVRAM map'!"&amp;ADDRESS(ROW()+2,COLUMN('NVRAM map'!AS:AS)))&amp;"_"&amp;INDIRECT("'NVRAM map'!"&amp;ADDRESS(ROW()+2,COLUMN('NVRAM map'!AG:AG))))),"__","_")</f>
        <v>EE_MLX_ID0</v>
      </c>
      <c r="B307" s="100" t="str">
        <f ca="1">IF(OR(INDIRECT("'NVRAM map'!"&amp;ADDRESS(ROW()+2,COLUMN('NVRAM map'!D:D)))="-",A307="_"),"x","")</f>
        <v>x</v>
      </c>
      <c r="C307" s="100" t="str">
        <f ca="1">IF(B307="x","FIXED",INDIRECT("'NVRAM map'!"&amp;ADDRESS(ROW()+2,COLUMN('NVRAM map'!I:I))))</f>
        <v>FIXED</v>
      </c>
      <c r="D307" s="100" t="str">
        <f ca="1">IF(C307="FIXED","",INDIRECT("'NVRAM map'!"&amp;ADDRESS(ROW()+2,COLUMN('NVRAM map'!K:K))))</f>
        <v/>
      </c>
      <c r="E307" s="100" t="str">
        <f ca="1">IF(C307="FIXED","",INDIRECT("'NVRAM map'!"&amp;ADDRESS(ROW()+2,COLUMN('NVRAM map'!L:L))))</f>
        <v/>
      </c>
      <c r="F307" s="100">
        <f ca="1">IF(C307="FIXED",INDIRECT("'NVRAM map'!"&amp;ADDRESS(ROW()+2,COLUMN('NVRAM map'!AM:AM))),"")</f>
        <v>0</v>
      </c>
      <c r="G307" s="99"/>
    </row>
    <row r="308" spans="1:7">
      <c r="A308" s="99" t="str">
        <f ca="1">SUBSTITUTE(UPPER(IF(INDIRECT("'NVRAM map'!"&amp;ADDRESS(ROW()+2,COLUMN('NVRAM map'!AG:AG)))="-",INDIRECT("'NVRAM map'!"&amp;ADDRESS(ROW()+2,COLUMN('NVRAM map'!AS:AS))),INDIRECT("'NVRAM map'!"&amp;ADDRESS(ROW()+2,COLUMN('NVRAM map'!AS:AS)))&amp;"_"&amp;INDIRECT("'NVRAM map'!"&amp;ADDRESS(ROW()+2,COLUMN('NVRAM map'!AG:AG))))),"__","_")</f>
        <v>EE_MLX_ID0_YPOS</v>
      </c>
      <c r="B308" s="100" t="str">
        <f ca="1">IF(OR(INDIRECT("'NVRAM map'!"&amp;ADDRESS(ROW()+2,COLUMN('NVRAM map'!D:D)))="-",A308="_"),"x","")</f>
        <v/>
      </c>
      <c r="C308" s="100" t="str">
        <f ca="1">IF(B308="x","FIXED",INDIRECT("'NVRAM map'!"&amp;ADDRESS(ROW()+2,COLUMN('NVRAM map'!I:I))))</f>
        <v>ID</v>
      </c>
      <c r="D308" s="100">
        <f ca="1">IF(C308="FIXED","",INDIRECT("'NVRAM map'!"&amp;ADDRESS(ROW()+2,COLUMN('NVRAM map'!K:K))))</f>
        <v>0</v>
      </c>
      <c r="E308" s="100">
        <f ca="1">IF(C308="FIXED","",INDIRECT("'NVRAM map'!"&amp;ADDRESS(ROW()+2,COLUMN('NVRAM map'!L:L))))</f>
        <v>255</v>
      </c>
      <c r="F308" s="100" t="str">
        <f ca="1">IF(C308="FIXED",INDIRECT("'NVRAM map'!"&amp;ADDRESS(ROW()+2,COLUMN('NVRAM map'!AM:AM))),"")</f>
        <v/>
      </c>
      <c r="G308" s="99"/>
    </row>
    <row r="309" spans="1:7">
      <c r="A309" s="99" t="str">
        <f ca="1">SUBSTITUTE(UPPER(IF(INDIRECT("'NVRAM map'!"&amp;ADDRESS(ROW()+2,COLUMN('NVRAM map'!AG:AG)))="-",INDIRECT("'NVRAM map'!"&amp;ADDRESS(ROW()+2,COLUMN('NVRAM map'!AS:AS))),INDIRECT("'NVRAM map'!"&amp;ADDRESS(ROW()+2,COLUMN('NVRAM map'!AS:AS)))&amp;"_"&amp;INDIRECT("'NVRAM map'!"&amp;ADDRESS(ROW()+2,COLUMN('NVRAM map'!AG:AG))))),"__","_")</f>
        <v>EE_MLX_ID0_XPOS</v>
      </c>
      <c r="B309" s="100" t="str">
        <f ca="1">IF(OR(INDIRECT("'NVRAM map'!"&amp;ADDRESS(ROW()+2,COLUMN('NVRAM map'!D:D)))="-",A309="_"),"x","")</f>
        <v/>
      </c>
      <c r="C309" s="100" t="str">
        <f ca="1">IF(B309="x","FIXED",INDIRECT("'NVRAM map'!"&amp;ADDRESS(ROW()+2,COLUMN('NVRAM map'!I:I))))</f>
        <v>ID</v>
      </c>
      <c r="D309" s="100">
        <f ca="1">IF(C309="FIXED","",INDIRECT("'NVRAM map'!"&amp;ADDRESS(ROW()+2,COLUMN('NVRAM map'!K:K))))</f>
        <v>0</v>
      </c>
      <c r="E309" s="100">
        <f ca="1">IF(C309="FIXED","",INDIRECT("'NVRAM map'!"&amp;ADDRESS(ROW()+2,COLUMN('NVRAM map'!L:L))))</f>
        <v>255</v>
      </c>
      <c r="F309" s="100" t="str">
        <f ca="1">IF(C309="FIXED",INDIRECT("'NVRAM map'!"&amp;ADDRESS(ROW()+2,COLUMN('NVRAM map'!AM:AM))),"")</f>
        <v/>
      </c>
      <c r="G309" s="99"/>
    </row>
    <row r="310" spans="1:7">
      <c r="A310" s="99" t="str">
        <f ca="1">SUBSTITUTE(UPPER(IF(INDIRECT("'NVRAM map'!"&amp;ADDRESS(ROW()+2,COLUMN('NVRAM map'!AG:AG)))="-",INDIRECT("'NVRAM map'!"&amp;ADDRESS(ROW()+2,COLUMN('NVRAM map'!AS:AS))),INDIRECT("'NVRAM map'!"&amp;ADDRESS(ROW()+2,COLUMN('NVRAM map'!AS:AS)))&amp;"_"&amp;INDIRECT("'NVRAM map'!"&amp;ADDRESS(ROW()+2,COLUMN('NVRAM map'!AG:AG))))),"__","_")</f>
        <v>EE_MLX_ID1</v>
      </c>
      <c r="B310" s="100" t="str">
        <f ca="1">IF(OR(INDIRECT("'NVRAM map'!"&amp;ADDRESS(ROW()+2,COLUMN('NVRAM map'!D:D)))="-",A310="_"),"x","")</f>
        <v>x</v>
      </c>
      <c r="C310" s="100" t="str">
        <f ca="1">IF(B310="x","FIXED",INDIRECT("'NVRAM map'!"&amp;ADDRESS(ROW()+2,COLUMN('NVRAM map'!I:I))))</f>
        <v>FIXED</v>
      </c>
      <c r="D310" s="100" t="str">
        <f ca="1">IF(C310="FIXED","",INDIRECT("'NVRAM map'!"&amp;ADDRESS(ROW()+2,COLUMN('NVRAM map'!K:K))))</f>
        <v/>
      </c>
      <c r="E310" s="100" t="str">
        <f ca="1">IF(C310="FIXED","",INDIRECT("'NVRAM map'!"&amp;ADDRESS(ROW()+2,COLUMN('NVRAM map'!L:L))))</f>
        <v/>
      </c>
      <c r="F310" s="100">
        <f ca="1">IF(C310="FIXED",INDIRECT("'NVRAM map'!"&amp;ADDRESS(ROW()+2,COLUMN('NVRAM map'!AM:AM))),"")</f>
        <v>0</v>
      </c>
      <c r="G310" s="99"/>
    </row>
    <row r="311" spans="1:7">
      <c r="A311" s="99" t="str">
        <f ca="1">SUBSTITUTE(UPPER(IF(INDIRECT("'NVRAM map'!"&amp;ADDRESS(ROW()+2,COLUMN('NVRAM map'!AG:AG)))="-",INDIRECT("'NVRAM map'!"&amp;ADDRESS(ROW()+2,COLUMN('NVRAM map'!AS:AS))),INDIRECT("'NVRAM map'!"&amp;ADDRESS(ROW()+2,COLUMN('NVRAM map'!AS:AS)))&amp;"_"&amp;INDIRECT("'NVRAM map'!"&amp;ADDRESS(ROW()+2,COLUMN('NVRAM map'!AG:AG))))),"__","_")</f>
        <v>EE_MLX_ID1_LOT_LSB</v>
      </c>
      <c r="B311" s="100" t="str">
        <f ca="1">IF(OR(INDIRECT("'NVRAM map'!"&amp;ADDRESS(ROW()+2,COLUMN('NVRAM map'!D:D)))="-",A311="_"),"x","")</f>
        <v/>
      </c>
      <c r="C311" s="100" t="str">
        <f ca="1">IF(B311="x","FIXED",INDIRECT("'NVRAM map'!"&amp;ADDRESS(ROW()+2,COLUMN('NVRAM map'!I:I))))</f>
        <v>ID</v>
      </c>
      <c r="D311" s="100">
        <f ca="1">IF(C311="FIXED","",INDIRECT("'NVRAM map'!"&amp;ADDRESS(ROW()+2,COLUMN('NVRAM map'!K:K))))</f>
        <v>0</v>
      </c>
      <c r="E311" s="100">
        <f ca="1">IF(C311="FIXED","",INDIRECT("'NVRAM map'!"&amp;ADDRESS(ROW()+2,COLUMN('NVRAM map'!L:L))))</f>
        <v>2047</v>
      </c>
      <c r="F311" s="100" t="str">
        <f ca="1">IF(C311="FIXED",INDIRECT("'NVRAM map'!"&amp;ADDRESS(ROW()+2,COLUMN('NVRAM map'!AM:AM))),"")</f>
        <v/>
      </c>
      <c r="G311" s="99"/>
    </row>
    <row r="312" spans="1:7">
      <c r="A312" s="99" t="str">
        <f ca="1">SUBSTITUTE(UPPER(IF(INDIRECT("'NVRAM map'!"&amp;ADDRESS(ROW()+2,COLUMN('NVRAM map'!AG:AG)))="-",INDIRECT("'NVRAM map'!"&amp;ADDRESS(ROW()+2,COLUMN('NVRAM map'!AS:AS))),INDIRECT("'NVRAM map'!"&amp;ADDRESS(ROW()+2,COLUMN('NVRAM map'!AS:AS)))&amp;"_"&amp;INDIRECT("'NVRAM map'!"&amp;ADDRESS(ROW()+2,COLUMN('NVRAM map'!AG:AG))))),"__","_")</f>
        <v>EE_MLX_ID1_WAFER</v>
      </c>
      <c r="B312" s="100" t="str">
        <f ca="1">IF(OR(INDIRECT("'NVRAM map'!"&amp;ADDRESS(ROW()+2,COLUMN('NVRAM map'!D:D)))="-",A312="_"),"x","")</f>
        <v/>
      </c>
      <c r="C312" s="100" t="str">
        <f ca="1">IF(B312="x","FIXED",INDIRECT("'NVRAM map'!"&amp;ADDRESS(ROW()+2,COLUMN('NVRAM map'!I:I))))</f>
        <v>ID</v>
      </c>
      <c r="D312" s="100">
        <f ca="1">IF(C312="FIXED","",INDIRECT("'NVRAM map'!"&amp;ADDRESS(ROW()+2,COLUMN('NVRAM map'!K:K))))</f>
        <v>0</v>
      </c>
      <c r="E312" s="100">
        <f ca="1">IF(C312="FIXED","",INDIRECT("'NVRAM map'!"&amp;ADDRESS(ROW()+2,COLUMN('NVRAM map'!L:L))))</f>
        <v>31</v>
      </c>
      <c r="F312" s="100" t="str">
        <f ca="1">IF(C312="FIXED",INDIRECT("'NVRAM map'!"&amp;ADDRESS(ROW()+2,COLUMN('NVRAM map'!AM:AM))),"")</f>
        <v/>
      </c>
      <c r="G312" s="99"/>
    </row>
    <row r="313" spans="1:7">
      <c r="A313" s="99" t="str">
        <f ca="1">SUBSTITUTE(UPPER(IF(INDIRECT("'NVRAM map'!"&amp;ADDRESS(ROW()+2,COLUMN('NVRAM map'!AG:AG)))="-",INDIRECT("'NVRAM map'!"&amp;ADDRESS(ROW()+2,COLUMN('NVRAM map'!AS:AS))),INDIRECT("'NVRAM map'!"&amp;ADDRESS(ROW()+2,COLUMN('NVRAM map'!AS:AS)))&amp;"_"&amp;INDIRECT("'NVRAM map'!"&amp;ADDRESS(ROW()+2,COLUMN('NVRAM map'!AG:AG))))),"__","_")</f>
        <v>EE_MLX_ID2</v>
      </c>
      <c r="B313" s="100" t="str">
        <f ca="1">IF(OR(INDIRECT("'NVRAM map'!"&amp;ADDRESS(ROW()+2,COLUMN('NVRAM map'!D:D)))="-",A313="_"),"x","")</f>
        <v>x</v>
      </c>
      <c r="C313" s="100" t="str">
        <f ca="1">IF(B313="x","FIXED",INDIRECT("'NVRAM map'!"&amp;ADDRESS(ROW()+2,COLUMN('NVRAM map'!I:I))))</f>
        <v>FIXED</v>
      </c>
      <c r="D313" s="100" t="str">
        <f ca="1">IF(C313="FIXED","",INDIRECT("'NVRAM map'!"&amp;ADDRESS(ROW()+2,COLUMN('NVRAM map'!K:K))))</f>
        <v/>
      </c>
      <c r="E313" s="100" t="str">
        <f ca="1">IF(C313="FIXED","",INDIRECT("'NVRAM map'!"&amp;ADDRESS(ROW()+2,COLUMN('NVRAM map'!L:L))))</f>
        <v/>
      </c>
      <c r="F313" s="100">
        <f ca="1">IF(C313="FIXED",INDIRECT("'NVRAM map'!"&amp;ADDRESS(ROW()+2,COLUMN('NVRAM map'!AM:AM))),"")</f>
        <v>0</v>
      </c>
      <c r="G313" s="99"/>
    </row>
    <row r="314" spans="1:7">
      <c r="A314" s="99" t="str">
        <f ca="1">SUBSTITUTE(UPPER(IF(INDIRECT("'NVRAM map'!"&amp;ADDRESS(ROW()+2,COLUMN('NVRAM map'!AG:AG)))="-",INDIRECT("'NVRAM map'!"&amp;ADDRESS(ROW()+2,COLUMN('NVRAM map'!AS:AS))),INDIRECT("'NVRAM map'!"&amp;ADDRESS(ROW()+2,COLUMN('NVRAM map'!AS:AS)))&amp;"_"&amp;INDIRECT("'NVRAM map'!"&amp;ADDRESS(ROW()+2,COLUMN('NVRAM map'!AG:AG))))),"__","_")</f>
        <v>EE_MLX_ID2_CORDAT</v>
      </c>
      <c r="B314" s="100" t="str">
        <f ca="1">IF(OR(INDIRECT("'NVRAM map'!"&amp;ADDRESS(ROW()+2,COLUMN('NVRAM map'!D:D)))="-",A314="_"),"x","")</f>
        <v/>
      </c>
      <c r="C314" s="100" t="str">
        <f ca="1">IF(B314="x","FIXED",INDIRECT("'NVRAM map'!"&amp;ADDRESS(ROW()+2,COLUMN('NVRAM map'!I:I))))</f>
        <v>ID</v>
      </c>
      <c r="D314" s="100">
        <f ca="1">IF(C314="FIXED","",INDIRECT("'NVRAM map'!"&amp;ADDRESS(ROW()+2,COLUMN('NVRAM map'!K:K))))</f>
        <v>0</v>
      </c>
      <c r="E314" s="100">
        <f ca="1">IF(C314="FIXED","",INDIRECT("'NVRAM map'!"&amp;ADDRESS(ROW()+2,COLUMN('NVRAM map'!L:L))))</f>
        <v>63</v>
      </c>
      <c r="F314" s="100" t="str">
        <f ca="1">IF(C314="FIXED",INDIRECT("'NVRAM map'!"&amp;ADDRESS(ROW()+2,COLUMN('NVRAM map'!AM:AM))),"")</f>
        <v/>
      </c>
      <c r="G314" s="99"/>
    </row>
    <row r="315" spans="1:7">
      <c r="A315" s="99" t="str">
        <f ca="1">SUBSTITUTE(UPPER(IF(INDIRECT("'NVRAM map'!"&amp;ADDRESS(ROW()+2,COLUMN('NVRAM map'!AG:AG)))="-",INDIRECT("'NVRAM map'!"&amp;ADDRESS(ROW()+2,COLUMN('NVRAM map'!AS:AS))),INDIRECT("'NVRAM map'!"&amp;ADDRESS(ROW()+2,COLUMN('NVRAM map'!AS:AS)))&amp;"_"&amp;INDIRECT("'NVRAM map'!"&amp;ADDRESS(ROW()+2,COLUMN('NVRAM map'!AG:AG))))),"__","_")</f>
        <v>EE_MLX_ID2_FAB</v>
      </c>
      <c r="B315" s="100" t="str">
        <f ca="1">IF(OR(INDIRECT("'NVRAM map'!"&amp;ADDRESS(ROW()+2,COLUMN('NVRAM map'!D:D)))="-",A315="_"),"x","")</f>
        <v/>
      </c>
      <c r="C315" s="100" t="str">
        <f ca="1">IF(B315="x","FIXED",INDIRECT("'NVRAM map'!"&amp;ADDRESS(ROW()+2,COLUMN('NVRAM map'!I:I))))</f>
        <v>ID</v>
      </c>
      <c r="D315" s="100">
        <f ca="1">IF(C315="FIXED","",INDIRECT("'NVRAM map'!"&amp;ADDRESS(ROW()+2,COLUMN('NVRAM map'!K:K))))</f>
        <v>0</v>
      </c>
      <c r="E315" s="100">
        <f ca="1">IF(C315="FIXED","",INDIRECT("'NVRAM map'!"&amp;ADDRESS(ROW()+2,COLUMN('NVRAM map'!L:L))))</f>
        <v>15</v>
      </c>
      <c r="F315" s="100" t="str">
        <f ca="1">IF(C315="FIXED",INDIRECT("'NVRAM map'!"&amp;ADDRESS(ROW()+2,COLUMN('NVRAM map'!AM:AM))),"")</f>
        <v/>
      </c>
      <c r="G315" s="99"/>
    </row>
    <row r="316" spans="1:7">
      <c r="A316" s="99" t="str">
        <f ca="1">SUBSTITUTE(UPPER(IF(INDIRECT("'NVRAM map'!"&amp;ADDRESS(ROW()+2,COLUMN('NVRAM map'!AG:AG)))="-",INDIRECT("'NVRAM map'!"&amp;ADDRESS(ROW()+2,COLUMN('NVRAM map'!AS:AS))),INDIRECT("'NVRAM map'!"&amp;ADDRESS(ROW()+2,COLUMN('NVRAM map'!AS:AS)))&amp;"_"&amp;INDIRECT("'NVRAM map'!"&amp;ADDRESS(ROW()+2,COLUMN('NVRAM map'!AG:AG))))),"__","_")</f>
        <v>EE_MLX_ID2_LOT_MSB</v>
      </c>
      <c r="B316" s="100" t="str">
        <f ca="1">IF(OR(INDIRECT("'NVRAM map'!"&amp;ADDRESS(ROW()+2,COLUMN('NVRAM map'!D:D)))="-",A316="_"),"x","")</f>
        <v/>
      </c>
      <c r="C316" s="100" t="str">
        <f ca="1">IF(B316="x","FIXED",INDIRECT("'NVRAM map'!"&amp;ADDRESS(ROW()+2,COLUMN('NVRAM map'!I:I))))</f>
        <v>ID</v>
      </c>
      <c r="D316" s="100">
        <f ca="1">IF(C316="FIXED","",INDIRECT("'NVRAM map'!"&amp;ADDRESS(ROW()+2,COLUMN('NVRAM map'!K:K))))</f>
        <v>0</v>
      </c>
      <c r="E316" s="100">
        <f ca="1">IF(C316="FIXED","",INDIRECT("'NVRAM map'!"&amp;ADDRESS(ROW()+2,COLUMN('NVRAM map'!L:L))))</f>
        <v>63</v>
      </c>
      <c r="F316" s="100" t="str">
        <f ca="1">IF(C316="FIXED",INDIRECT("'NVRAM map'!"&amp;ADDRESS(ROW()+2,COLUMN('NVRAM map'!AM:AM))),"")</f>
        <v/>
      </c>
      <c r="G316" s="99"/>
    </row>
  </sheetData>
  <pageMargins left="0.7" right="0.7" top="0.75" bottom="0.75" header="0.51180555555555496" footer="0.51180555555555496"/>
  <pageSetup paperSize="9"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EEA9B-F310-4366-ADFD-616A1335CFC5}">
  <dimension ref="A1:R70"/>
  <sheetViews>
    <sheetView workbookViewId="0">
      <selection activeCell="T17" sqref="T17"/>
    </sheetView>
  </sheetViews>
  <sheetFormatPr defaultRowHeight="15"/>
  <cols>
    <col min="1" max="1" width="17.140625" customWidth="1"/>
    <col min="2" max="2" width="24.42578125" customWidth="1"/>
    <col min="3" max="3" width="28.85546875" customWidth="1"/>
    <col min="12" max="12" width="55" customWidth="1"/>
    <col min="13" max="13" width="3.140625" customWidth="1"/>
    <col min="17" max="17" width="12.42578125" customWidth="1"/>
  </cols>
  <sheetData>
    <row r="1" spans="1:18" s="171" customFormat="1">
      <c r="A1" s="169" t="s">
        <v>747</v>
      </c>
      <c r="B1" s="169" t="s">
        <v>1</v>
      </c>
    </row>
    <row r="2" spans="1:18" s="171" customFormat="1">
      <c r="A2" s="170" t="s">
        <v>743</v>
      </c>
      <c r="B2" s="171" t="s">
        <v>748</v>
      </c>
    </row>
    <row r="3" spans="1:18" s="171" customFormat="1">
      <c r="A3" s="170" t="s">
        <v>744</v>
      </c>
      <c r="B3" s="171" t="s">
        <v>749</v>
      </c>
    </row>
    <row r="4" spans="1:18" s="171" customFormat="1">
      <c r="A4" s="170" t="s">
        <v>745</v>
      </c>
      <c r="B4" s="171" t="s">
        <v>750</v>
      </c>
    </row>
    <row r="5" spans="1:18" s="171" customFormat="1">
      <c r="A5" s="170" t="s">
        <v>746</v>
      </c>
      <c r="B5" s="171" t="s">
        <v>751</v>
      </c>
    </row>
    <row r="6" spans="1:18" s="171" customFormat="1">
      <c r="A6" s="172" t="s">
        <v>765</v>
      </c>
      <c r="B6" s="171" t="s">
        <v>766</v>
      </c>
    </row>
    <row r="7" spans="1:18" s="171" customFormat="1"/>
    <row r="8" spans="1:18" s="171" customFormat="1"/>
    <row r="9" spans="1:18" ht="30">
      <c r="N9" s="168" t="s">
        <v>743</v>
      </c>
      <c r="O9" s="168" t="s">
        <v>744</v>
      </c>
      <c r="P9" s="168" t="s">
        <v>745</v>
      </c>
      <c r="Q9" s="168" t="s">
        <v>746</v>
      </c>
      <c r="R9" s="168" t="s">
        <v>765</v>
      </c>
    </row>
    <row r="10" spans="1:18">
      <c r="A10" s="146" t="s">
        <v>64</v>
      </c>
      <c r="B10" s="146" t="s">
        <v>116</v>
      </c>
      <c r="C10" s="137" t="s">
        <v>58</v>
      </c>
      <c r="D10" s="144" t="s">
        <v>310</v>
      </c>
      <c r="E10" s="138">
        <v>16</v>
      </c>
      <c r="F10" s="138">
        <v>0</v>
      </c>
      <c r="G10" s="138">
        <v>0</v>
      </c>
      <c r="H10" s="138" t="s">
        <v>58</v>
      </c>
      <c r="I10" s="151" t="str">
        <f t="shared" ref="I10:I41" si="0">IF(C10&lt;&gt;"-","["&amp;AD10&amp;":"&amp;AE10&amp;"]","-")</f>
        <v>-</v>
      </c>
      <c r="J10" s="151">
        <f t="shared" ref="J10:J70" si="1">IF(G10,-K10-1,0)</f>
        <v>0</v>
      </c>
      <c r="K10" s="151">
        <f t="shared" ref="K10:K70" si="2">IF(G10,FLOOR((2^E10-1)/2,1),2^E10-1)</f>
        <v>65535</v>
      </c>
      <c r="L10" s="152" t="s">
        <v>117</v>
      </c>
      <c r="M10" s="28"/>
      <c r="N10" t="s">
        <v>58</v>
      </c>
      <c r="O10" s="171" t="s">
        <v>58</v>
      </c>
      <c r="P10" s="171" t="s">
        <v>58</v>
      </c>
      <c r="Q10" t="s">
        <v>58</v>
      </c>
      <c r="R10" s="171" t="s">
        <v>58</v>
      </c>
    </row>
    <row r="11" spans="1:18">
      <c r="A11" s="155" t="str">
        <f t="shared" ref="A11:A70" ca="1" si="3">INDIRECT(ADDRESS(ROW()-1,COLUMN()))</f>
        <v>CUST</v>
      </c>
      <c r="B11" s="155" t="s">
        <v>58</v>
      </c>
      <c r="C11" s="156" t="str">
        <f>RIGHT(B10,LEN(B10)-3)</f>
        <v>PATCH0_I</v>
      </c>
      <c r="D11" s="163" t="str">
        <f ca="1">INDIRECT(ADDRESS(ROW()-1,COLUMN()))</f>
        <v>0x1050</v>
      </c>
      <c r="E11" s="163">
        <v>16</v>
      </c>
      <c r="F11" s="163">
        <v>0</v>
      </c>
      <c r="G11" s="163">
        <v>0</v>
      </c>
      <c r="H11" s="163" t="s">
        <v>68</v>
      </c>
      <c r="I11" s="151" t="str">
        <f t="shared" si="0"/>
        <v>[:]</v>
      </c>
      <c r="J11" s="151">
        <f t="shared" si="1"/>
        <v>0</v>
      </c>
      <c r="K11" s="151">
        <f t="shared" si="2"/>
        <v>65535</v>
      </c>
      <c r="L11" s="58" t="s">
        <v>117</v>
      </c>
      <c r="M11" s="28"/>
      <c r="N11">
        <v>8577</v>
      </c>
      <c r="O11">
        <v>16619</v>
      </c>
      <c r="P11">
        <v>20715</v>
      </c>
      <c r="Q11">
        <v>24577</v>
      </c>
      <c r="R11">
        <v>2047</v>
      </c>
    </row>
    <row r="12" spans="1:18">
      <c r="A12" s="146" t="str">
        <f t="shared" ca="1" si="3"/>
        <v>CUST</v>
      </c>
      <c r="B12" s="146" t="s">
        <v>118</v>
      </c>
      <c r="C12" s="137" t="s">
        <v>58</v>
      </c>
      <c r="D12" s="144" t="str">
        <f ca="1">"0x"&amp;DEC2HEX(HEX2DEC(RIGHT(INDIRECT(ADDRESS(ROW()-1,COLUMN())),4))+2,4)</f>
        <v>0x1052</v>
      </c>
      <c r="E12" s="138">
        <v>16</v>
      </c>
      <c r="F12" s="138">
        <v>0</v>
      </c>
      <c r="G12" s="138">
        <v>0</v>
      </c>
      <c r="H12" s="138" t="s">
        <v>58</v>
      </c>
      <c r="I12" s="151" t="str">
        <f t="shared" si="0"/>
        <v>-</v>
      </c>
      <c r="J12" s="151">
        <f t="shared" si="1"/>
        <v>0</v>
      </c>
      <c r="K12" s="151">
        <f t="shared" si="2"/>
        <v>65535</v>
      </c>
      <c r="L12" s="152" t="s">
        <v>119</v>
      </c>
      <c r="M12" s="28"/>
      <c r="N12" t="s">
        <v>58</v>
      </c>
      <c r="O12" s="171" t="s">
        <v>58</v>
      </c>
      <c r="P12" s="171" t="s">
        <v>58</v>
      </c>
      <c r="Q12" t="s">
        <v>58</v>
      </c>
      <c r="R12" s="171" t="s">
        <v>58</v>
      </c>
    </row>
    <row r="13" spans="1:18">
      <c r="A13" s="155" t="str">
        <f t="shared" ca="1" si="3"/>
        <v>CUST</v>
      </c>
      <c r="B13" s="155" t="s">
        <v>58</v>
      </c>
      <c r="C13" s="156" t="str">
        <f>RIGHT(B12,LEN(B12)-3)</f>
        <v>PATCH0_A</v>
      </c>
      <c r="D13" s="163" t="str">
        <f ca="1">INDIRECT(ADDRESS(ROW()-1,COLUMN()))</f>
        <v>0x1052</v>
      </c>
      <c r="E13" s="163">
        <v>16</v>
      </c>
      <c r="F13" s="163">
        <v>0</v>
      </c>
      <c r="G13" s="163">
        <v>0</v>
      </c>
      <c r="H13" s="163" t="s">
        <v>68</v>
      </c>
      <c r="I13" s="151" t="str">
        <f t="shared" si="0"/>
        <v>[:]</v>
      </c>
      <c r="J13" s="151">
        <f t="shared" si="1"/>
        <v>0</v>
      </c>
      <c r="K13" s="151">
        <f t="shared" si="2"/>
        <v>65535</v>
      </c>
      <c r="L13" s="58" t="s">
        <v>119</v>
      </c>
      <c r="M13" s="28"/>
      <c r="N13">
        <v>16951</v>
      </c>
      <c r="O13">
        <v>16493</v>
      </c>
      <c r="P13">
        <v>12349</v>
      </c>
      <c r="Q13">
        <v>14359</v>
      </c>
      <c r="R13">
        <v>8929</v>
      </c>
    </row>
    <row r="14" spans="1:18">
      <c r="A14" s="146" t="str">
        <f t="shared" ca="1" si="3"/>
        <v>CUST</v>
      </c>
      <c r="B14" s="146" t="s">
        <v>120</v>
      </c>
      <c r="C14" s="137" t="s">
        <v>58</v>
      </c>
      <c r="D14" s="144" t="str">
        <f ca="1">"0x"&amp;DEC2HEX(HEX2DEC(RIGHT(INDIRECT(ADDRESS(ROW()-1,COLUMN())),4))+2,4)</f>
        <v>0x1054</v>
      </c>
      <c r="E14" s="138">
        <v>16</v>
      </c>
      <c r="F14" s="138">
        <v>0</v>
      </c>
      <c r="G14" s="138">
        <v>0</v>
      </c>
      <c r="H14" s="138" t="s">
        <v>58</v>
      </c>
      <c r="I14" s="151" t="str">
        <f t="shared" si="0"/>
        <v>-</v>
      </c>
      <c r="J14" s="151">
        <f>IF(G14,-K14-1,0)</f>
        <v>0</v>
      </c>
      <c r="K14" s="151">
        <f>IF(G14,FLOOR((2^E14-1)/2,1),2^E14-1)</f>
        <v>65535</v>
      </c>
      <c r="L14" s="152" t="s">
        <v>121</v>
      </c>
      <c r="M14" s="28"/>
      <c r="N14" t="s">
        <v>58</v>
      </c>
      <c r="O14" s="171" t="s">
        <v>58</v>
      </c>
      <c r="P14" s="171" t="s">
        <v>58</v>
      </c>
      <c r="Q14" t="s">
        <v>58</v>
      </c>
      <c r="R14" s="171" t="s">
        <v>58</v>
      </c>
    </row>
    <row r="15" spans="1:18">
      <c r="A15" s="155" t="str">
        <f t="shared" ca="1" si="3"/>
        <v>CUST</v>
      </c>
      <c r="B15" s="155" t="s">
        <v>58</v>
      </c>
      <c r="C15" s="156" t="str">
        <f>RIGHT(B14,LEN(B14)-3)</f>
        <v>PATCH1_I</v>
      </c>
      <c r="D15" s="163" t="str">
        <f ca="1">INDIRECT(ADDRESS(ROW()-1,COLUMN()))</f>
        <v>0x1054</v>
      </c>
      <c r="E15" s="163">
        <v>16</v>
      </c>
      <c r="F15" s="163">
        <v>0</v>
      </c>
      <c r="G15" s="163">
        <v>0</v>
      </c>
      <c r="H15" s="163" t="s">
        <v>68</v>
      </c>
      <c r="I15" s="151" t="str">
        <f t="shared" si="0"/>
        <v>[:]</v>
      </c>
      <c r="J15" s="151">
        <f>IF(G15,-K15-1,0)</f>
        <v>0</v>
      </c>
      <c r="K15" s="151">
        <f>IF(G15,FLOOR((2^E15-1)/2,1),2^E15-1)</f>
        <v>65535</v>
      </c>
      <c r="L15" s="58" t="s">
        <v>121</v>
      </c>
      <c r="M15" s="28"/>
      <c r="N15">
        <v>0</v>
      </c>
      <c r="O15">
        <v>2432</v>
      </c>
      <c r="P15">
        <v>24022</v>
      </c>
      <c r="Q15" t="s">
        <v>58</v>
      </c>
      <c r="R15" s="171" t="s">
        <v>58</v>
      </c>
    </row>
    <row r="16" spans="1:18">
      <c r="A16" s="146" t="str">
        <f t="shared" ca="1" si="3"/>
        <v>CUST</v>
      </c>
      <c r="B16" s="146" t="s">
        <v>122</v>
      </c>
      <c r="C16" s="137" t="s">
        <v>58</v>
      </c>
      <c r="D16" s="144" t="str">
        <f ca="1">"0x"&amp;DEC2HEX(HEX2DEC(RIGHT(INDIRECT(ADDRESS(ROW()-1,COLUMN())),4))+2,4)</f>
        <v>0x1056</v>
      </c>
      <c r="E16" s="138">
        <v>16</v>
      </c>
      <c r="F16" s="138">
        <v>0</v>
      </c>
      <c r="G16" s="138">
        <v>0</v>
      </c>
      <c r="H16" s="138" t="s">
        <v>58</v>
      </c>
      <c r="I16" s="151" t="str">
        <f t="shared" si="0"/>
        <v>-</v>
      </c>
      <c r="J16" s="151">
        <f>IF(G16,-K16-1,0)</f>
        <v>0</v>
      </c>
      <c r="K16" s="151">
        <f>IF(G16,FLOOR((2^E16-1)/2,1),2^E16-1)</f>
        <v>65535</v>
      </c>
      <c r="L16" s="152" t="s">
        <v>123</v>
      </c>
      <c r="M16" s="28"/>
      <c r="N16" t="s">
        <v>58</v>
      </c>
      <c r="O16" s="171" t="s">
        <v>58</v>
      </c>
      <c r="P16" s="171" t="s">
        <v>58</v>
      </c>
      <c r="Q16" t="s">
        <v>58</v>
      </c>
      <c r="R16" s="171" t="s">
        <v>58</v>
      </c>
    </row>
    <row r="17" spans="1:18">
      <c r="A17" s="155" t="str">
        <f t="shared" ca="1" si="3"/>
        <v>CUST</v>
      </c>
      <c r="B17" s="155" t="s">
        <v>58</v>
      </c>
      <c r="C17" s="156" t="str">
        <f>RIGHT(B16,LEN(B16)-3)</f>
        <v>PATCH1_A</v>
      </c>
      <c r="D17" s="163" t="str">
        <f ca="1">INDIRECT(ADDRESS(ROW()-1,COLUMN()))</f>
        <v>0x1056</v>
      </c>
      <c r="E17" s="163">
        <v>16</v>
      </c>
      <c r="F17" s="163">
        <v>0</v>
      </c>
      <c r="G17" s="163">
        <v>0</v>
      </c>
      <c r="H17" s="163" t="s">
        <v>68</v>
      </c>
      <c r="I17" s="151" t="str">
        <f t="shared" si="0"/>
        <v>[:]</v>
      </c>
      <c r="J17" s="151">
        <f>IF(G17,-K17-1,0)</f>
        <v>0</v>
      </c>
      <c r="K17" s="151">
        <f>IF(G17,FLOOR((2^E17-1)/2,1),2^E17-1)</f>
        <v>65535</v>
      </c>
      <c r="L17" s="58" t="s">
        <v>123</v>
      </c>
      <c r="M17" s="28"/>
      <c r="N17">
        <v>15301</v>
      </c>
      <c r="O17">
        <v>0</v>
      </c>
      <c r="P17">
        <v>12348</v>
      </c>
      <c r="Q17" t="s">
        <v>58</v>
      </c>
      <c r="R17" s="171" t="s">
        <v>58</v>
      </c>
    </row>
    <row r="18" spans="1:18">
      <c r="A18" s="146" t="str">
        <f t="shared" ca="1" si="3"/>
        <v>CUST</v>
      </c>
      <c r="B18" s="146" t="s">
        <v>124</v>
      </c>
      <c r="C18" s="137" t="s">
        <v>58</v>
      </c>
      <c r="D18" s="144" t="str">
        <f ca="1">"0x"&amp;DEC2HEX(HEX2DEC(RIGHT(INDIRECT(ADDRESS(ROW()-1,COLUMN())),4))+2,4)</f>
        <v>0x1058</v>
      </c>
      <c r="E18" s="138">
        <v>16</v>
      </c>
      <c r="F18" s="138">
        <v>0</v>
      </c>
      <c r="G18" s="138">
        <v>0</v>
      </c>
      <c r="H18" s="138" t="s">
        <v>58</v>
      </c>
      <c r="I18" s="151" t="str">
        <f t="shared" si="0"/>
        <v>-</v>
      </c>
      <c r="J18" s="151">
        <f t="shared" si="1"/>
        <v>0</v>
      </c>
      <c r="K18" s="151">
        <f t="shared" si="2"/>
        <v>65535</v>
      </c>
      <c r="L18" s="152" t="s">
        <v>125</v>
      </c>
      <c r="M18" s="28"/>
      <c r="N18" t="s">
        <v>58</v>
      </c>
      <c r="O18" s="171" t="s">
        <v>58</v>
      </c>
      <c r="P18" s="171" t="s">
        <v>58</v>
      </c>
      <c r="Q18" t="s">
        <v>58</v>
      </c>
      <c r="R18" s="171" t="s">
        <v>58</v>
      </c>
    </row>
    <row r="19" spans="1:18">
      <c r="A19" s="155" t="str">
        <f t="shared" ca="1" si="3"/>
        <v>CUST</v>
      </c>
      <c r="B19" s="155" t="s">
        <v>58</v>
      </c>
      <c r="C19" s="156" t="str">
        <f>RIGHT(B18,LEN(B18)-3)</f>
        <v>PATCH_AREA0</v>
      </c>
      <c r="D19" s="163" t="str">
        <f ca="1">INDIRECT(ADDRESS(ROW()-1,COLUMN()))</f>
        <v>0x1058</v>
      </c>
      <c r="E19" s="163">
        <v>16</v>
      </c>
      <c r="F19" s="163">
        <v>0</v>
      </c>
      <c r="G19" s="163">
        <v>0</v>
      </c>
      <c r="H19" s="163" t="s">
        <v>68</v>
      </c>
      <c r="I19" s="151" t="str">
        <f t="shared" si="0"/>
        <v>[:]</v>
      </c>
      <c r="J19" s="151">
        <f t="shared" si="1"/>
        <v>0</v>
      </c>
      <c r="K19" s="151">
        <f t="shared" si="2"/>
        <v>65535</v>
      </c>
      <c r="L19" s="58" t="s">
        <v>125</v>
      </c>
      <c r="M19" s="28"/>
      <c r="N19" s="171" t="s">
        <v>58</v>
      </c>
      <c r="O19">
        <v>32474</v>
      </c>
      <c r="P19">
        <v>22529</v>
      </c>
      <c r="Q19" t="s">
        <v>58</v>
      </c>
      <c r="R19" s="171" t="s">
        <v>58</v>
      </c>
    </row>
    <row r="20" spans="1:18">
      <c r="A20" s="146" t="str">
        <f t="shared" ca="1" si="3"/>
        <v>CUST</v>
      </c>
      <c r="B20" s="146" t="s">
        <v>126</v>
      </c>
      <c r="C20" s="137" t="s">
        <v>58</v>
      </c>
      <c r="D20" s="144" t="str">
        <f ca="1">"0x"&amp;DEC2HEX(HEX2DEC(RIGHT(INDIRECT(ADDRESS(ROW()-1,COLUMN())),4))+2,4)</f>
        <v>0x105A</v>
      </c>
      <c r="E20" s="138">
        <v>16</v>
      </c>
      <c r="F20" s="138">
        <v>0</v>
      </c>
      <c r="G20" s="138">
        <v>0</v>
      </c>
      <c r="H20" s="138" t="s">
        <v>58</v>
      </c>
      <c r="I20" s="151" t="str">
        <f t="shared" si="0"/>
        <v>-</v>
      </c>
      <c r="J20" s="151">
        <f t="shared" si="1"/>
        <v>0</v>
      </c>
      <c r="K20" s="151">
        <f t="shared" si="2"/>
        <v>65535</v>
      </c>
      <c r="L20" s="152" t="s">
        <v>125</v>
      </c>
      <c r="M20" s="28"/>
      <c r="N20" s="171" t="s">
        <v>58</v>
      </c>
      <c r="O20" s="171" t="s">
        <v>58</v>
      </c>
      <c r="P20" s="171" t="s">
        <v>58</v>
      </c>
      <c r="Q20" s="171" t="s">
        <v>58</v>
      </c>
      <c r="R20" s="171" t="s">
        <v>58</v>
      </c>
    </row>
    <row r="21" spans="1:18">
      <c r="A21" s="155" t="str">
        <f t="shared" ca="1" si="3"/>
        <v>CUST</v>
      </c>
      <c r="B21" s="155" t="s">
        <v>58</v>
      </c>
      <c r="C21" s="156" t="str">
        <f>RIGHT(B20,LEN(B20)-3)</f>
        <v>PATCH_AREA1</v>
      </c>
      <c r="D21" s="163" t="str">
        <f ca="1">INDIRECT(ADDRESS(ROW()-1,COLUMN()))</f>
        <v>0x105A</v>
      </c>
      <c r="E21" s="163">
        <v>16</v>
      </c>
      <c r="F21" s="163">
        <v>0</v>
      </c>
      <c r="G21" s="163">
        <v>0</v>
      </c>
      <c r="H21" s="163" t="s">
        <v>68</v>
      </c>
      <c r="I21" s="151" t="str">
        <f t="shared" si="0"/>
        <v>[:]</v>
      </c>
      <c r="J21" s="151">
        <f t="shared" si="1"/>
        <v>0</v>
      </c>
      <c r="K21" s="151">
        <f t="shared" si="2"/>
        <v>65535</v>
      </c>
      <c r="L21" s="58" t="s">
        <v>125</v>
      </c>
      <c r="M21" s="28"/>
      <c r="N21" s="171" t="s">
        <v>58</v>
      </c>
      <c r="O21">
        <v>286</v>
      </c>
      <c r="P21">
        <v>29132</v>
      </c>
      <c r="Q21" t="s">
        <v>58</v>
      </c>
      <c r="R21" s="171" t="s">
        <v>58</v>
      </c>
    </row>
    <row r="22" spans="1:18">
      <c r="A22" s="146" t="str">
        <f t="shared" ca="1" si="3"/>
        <v>CUST</v>
      </c>
      <c r="B22" s="146" t="s">
        <v>127</v>
      </c>
      <c r="C22" s="137" t="s">
        <v>58</v>
      </c>
      <c r="D22" s="144" t="str">
        <f ca="1">"0x"&amp;DEC2HEX(HEX2DEC(RIGHT(INDIRECT(ADDRESS(ROW()-1,COLUMN())),4))+2,4)</f>
        <v>0x105C</v>
      </c>
      <c r="E22" s="138">
        <v>16</v>
      </c>
      <c r="F22" s="138">
        <v>0</v>
      </c>
      <c r="G22" s="138">
        <v>0</v>
      </c>
      <c r="H22" s="138" t="s">
        <v>58</v>
      </c>
      <c r="I22" s="151" t="str">
        <f t="shared" si="0"/>
        <v>-</v>
      </c>
      <c r="J22" s="151">
        <f t="shared" si="1"/>
        <v>0</v>
      </c>
      <c r="K22" s="151">
        <f t="shared" si="2"/>
        <v>65535</v>
      </c>
      <c r="L22" s="152" t="s">
        <v>125</v>
      </c>
      <c r="M22" s="28"/>
      <c r="N22" s="171" t="s">
        <v>58</v>
      </c>
      <c r="O22" s="171" t="s">
        <v>58</v>
      </c>
      <c r="P22" s="171" t="s">
        <v>58</v>
      </c>
      <c r="Q22" s="171" t="s">
        <v>58</v>
      </c>
      <c r="R22" s="171" t="s">
        <v>58</v>
      </c>
    </row>
    <row r="23" spans="1:18">
      <c r="A23" s="155" t="str">
        <f t="shared" ca="1" si="3"/>
        <v>CUST</v>
      </c>
      <c r="B23" s="155" t="s">
        <v>58</v>
      </c>
      <c r="C23" s="156" t="str">
        <f>RIGHT(B22,LEN(B22)-3)</f>
        <v>PATCH_AREA2</v>
      </c>
      <c r="D23" s="163" t="str">
        <f ca="1">INDIRECT(ADDRESS(ROW()-1,COLUMN()))</f>
        <v>0x105C</v>
      </c>
      <c r="E23" s="163">
        <v>16</v>
      </c>
      <c r="F23" s="163">
        <v>0</v>
      </c>
      <c r="G23" s="163">
        <v>0</v>
      </c>
      <c r="H23" s="163" t="s">
        <v>68</v>
      </c>
      <c r="I23" s="151" t="str">
        <f t="shared" si="0"/>
        <v>[:]</v>
      </c>
      <c r="J23" s="151">
        <f t="shared" si="1"/>
        <v>0</v>
      </c>
      <c r="K23" s="151">
        <f t="shared" si="2"/>
        <v>65535</v>
      </c>
      <c r="L23" s="58" t="s">
        <v>125</v>
      </c>
      <c r="M23" s="28"/>
      <c r="N23" s="171" t="s">
        <v>58</v>
      </c>
      <c r="O23">
        <v>30727</v>
      </c>
      <c r="P23">
        <v>0</v>
      </c>
      <c r="Q23" t="s">
        <v>58</v>
      </c>
      <c r="R23" s="171" t="s">
        <v>58</v>
      </c>
    </row>
    <row r="24" spans="1:18">
      <c r="A24" s="146" t="str">
        <f t="shared" ca="1" si="3"/>
        <v>CUST</v>
      </c>
      <c r="B24" s="146" t="s">
        <v>128</v>
      </c>
      <c r="C24" s="137" t="s">
        <v>58</v>
      </c>
      <c r="D24" s="144" t="str">
        <f ca="1">"0x"&amp;DEC2HEX(HEX2DEC(RIGHT(INDIRECT(ADDRESS(ROW()-1,COLUMN())),4))+2,4)</f>
        <v>0x105E</v>
      </c>
      <c r="E24" s="138">
        <v>16</v>
      </c>
      <c r="F24" s="138">
        <v>0</v>
      </c>
      <c r="G24" s="138">
        <v>0</v>
      </c>
      <c r="H24" s="138" t="s">
        <v>58</v>
      </c>
      <c r="I24" s="151" t="str">
        <f t="shared" si="0"/>
        <v>-</v>
      </c>
      <c r="J24" s="151">
        <f t="shared" si="1"/>
        <v>0</v>
      </c>
      <c r="K24" s="151">
        <f t="shared" si="2"/>
        <v>65535</v>
      </c>
      <c r="L24" s="152" t="s">
        <v>125</v>
      </c>
      <c r="M24" s="28"/>
      <c r="N24" s="171" t="s">
        <v>58</v>
      </c>
      <c r="O24" s="171" t="s">
        <v>58</v>
      </c>
      <c r="P24" s="171" t="s">
        <v>58</v>
      </c>
      <c r="Q24" s="171" t="s">
        <v>58</v>
      </c>
      <c r="R24" s="171" t="s">
        <v>58</v>
      </c>
    </row>
    <row r="25" spans="1:18">
      <c r="A25" s="155" t="str">
        <f t="shared" ca="1" si="3"/>
        <v>CUST</v>
      </c>
      <c r="B25" s="155" t="s">
        <v>58</v>
      </c>
      <c r="C25" s="156" t="str">
        <f>RIGHT(B24,LEN(B24)-3)</f>
        <v>PATCH_AREA3</v>
      </c>
      <c r="D25" s="163" t="str">
        <f ca="1">INDIRECT(ADDRESS(ROW()-1,COLUMN()))</f>
        <v>0x105E</v>
      </c>
      <c r="E25" s="163">
        <v>16</v>
      </c>
      <c r="F25" s="163">
        <v>0</v>
      </c>
      <c r="G25" s="163">
        <v>0</v>
      </c>
      <c r="H25" s="163" t="s">
        <v>68</v>
      </c>
      <c r="I25" s="151" t="str">
        <f t="shared" si="0"/>
        <v>[:]</v>
      </c>
      <c r="J25" s="151">
        <f t="shared" si="1"/>
        <v>0</v>
      </c>
      <c r="K25" s="151">
        <f t="shared" si="2"/>
        <v>65535</v>
      </c>
      <c r="L25" s="58" t="s">
        <v>125</v>
      </c>
      <c r="M25" s="28"/>
      <c r="N25" s="171" t="s">
        <v>58</v>
      </c>
      <c r="O25">
        <v>23288</v>
      </c>
      <c r="P25">
        <v>41690</v>
      </c>
      <c r="Q25" t="s">
        <v>58</v>
      </c>
      <c r="R25" s="171" t="s">
        <v>58</v>
      </c>
    </row>
    <row r="26" spans="1:18">
      <c r="A26" s="146" t="str">
        <f t="shared" ca="1" si="3"/>
        <v>CUST</v>
      </c>
      <c r="B26" s="146" t="s">
        <v>129</v>
      </c>
      <c r="C26" s="137" t="s">
        <v>58</v>
      </c>
      <c r="D26" s="144" t="str">
        <f ca="1">"0x"&amp;DEC2HEX(HEX2DEC(RIGHT(INDIRECT(ADDRESS(ROW()-1,COLUMN())),4))+2,4)</f>
        <v>0x1060</v>
      </c>
      <c r="E26" s="138">
        <v>16</v>
      </c>
      <c r="F26" s="138">
        <v>0</v>
      </c>
      <c r="G26" s="138">
        <v>0</v>
      </c>
      <c r="H26" s="138" t="s">
        <v>58</v>
      </c>
      <c r="I26" s="151" t="str">
        <f t="shared" si="0"/>
        <v>-</v>
      </c>
      <c r="J26" s="151">
        <f t="shared" si="1"/>
        <v>0</v>
      </c>
      <c r="K26" s="151">
        <f t="shared" si="2"/>
        <v>65535</v>
      </c>
      <c r="L26" s="152" t="s">
        <v>125</v>
      </c>
      <c r="M26" s="28"/>
      <c r="N26" s="171" t="s">
        <v>58</v>
      </c>
      <c r="O26" s="171" t="s">
        <v>58</v>
      </c>
      <c r="P26" s="171" t="s">
        <v>58</v>
      </c>
      <c r="Q26" t="s">
        <v>58</v>
      </c>
      <c r="R26" s="171" t="s">
        <v>58</v>
      </c>
    </row>
    <row r="27" spans="1:18">
      <c r="A27" s="155" t="str">
        <f t="shared" ca="1" si="3"/>
        <v>CUST</v>
      </c>
      <c r="B27" s="155" t="s">
        <v>58</v>
      </c>
      <c r="C27" s="156" t="str">
        <f>RIGHT(B26,LEN(B26)-3)</f>
        <v>PATCH_AREA4</v>
      </c>
      <c r="D27" s="163" t="str">
        <f ca="1">INDIRECT(ADDRESS(ROW()-1,COLUMN()))</f>
        <v>0x1060</v>
      </c>
      <c r="E27" s="163">
        <v>16</v>
      </c>
      <c r="F27" s="163">
        <v>0</v>
      </c>
      <c r="G27" s="163">
        <v>0</v>
      </c>
      <c r="H27" s="163" t="s">
        <v>68</v>
      </c>
      <c r="I27" s="151" t="str">
        <f t="shared" si="0"/>
        <v>[:]</v>
      </c>
      <c r="J27" s="151">
        <f t="shared" si="1"/>
        <v>0</v>
      </c>
      <c r="K27" s="151">
        <f t="shared" si="2"/>
        <v>65535</v>
      </c>
      <c r="L27" s="58" t="s">
        <v>125</v>
      </c>
      <c r="M27" s="28"/>
      <c r="N27" s="171" t="s">
        <v>58</v>
      </c>
      <c r="O27">
        <v>30730</v>
      </c>
      <c r="P27">
        <v>0</v>
      </c>
      <c r="Q27" t="s">
        <v>58</v>
      </c>
      <c r="R27" s="171" t="s">
        <v>58</v>
      </c>
    </row>
    <row r="28" spans="1:18">
      <c r="A28" s="146" t="str">
        <f t="shared" ca="1" si="3"/>
        <v>CUST</v>
      </c>
      <c r="B28" s="146" t="s">
        <v>130</v>
      </c>
      <c r="C28" s="137" t="s">
        <v>58</v>
      </c>
      <c r="D28" s="144" t="str">
        <f ca="1">"0x"&amp;DEC2HEX(HEX2DEC(RIGHT(INDIRECT(ADDRESS(ROW()-1,COLUMN())),4))+2,4)</f>
        <v>0x1062</v>
      </c>
      <c r="E28" s="138">
        <v>16</v>
      </c>
      <c r="F28" s="138">
        <v>0</v>
      </c>
      <c r="G28" s="138">
        <v>0</v>
      </c>
      <c r="H28" s="138" t="s">
        <v>58</v>
      </c>
      <c r="I28" s="151" t="str">
        <f t="shared" si="0"/>
        <v>-</v>
      </c>
      <c r="J28" s="151">
        <f t="shared" si="1"/>
        <v>0</v>
      </c>
      <c r="K28" s="151">
        <f t="shared" si="2"/>
        <v>65535</v>
      </c>
      <c r="L28" s="152" t="s">
        <v>125</v>
      </c>
      <c r="M28" s="28"/>
      <c r="N28" s="171" t="s">
        <v>58</v>
      </c>
      <c r="O28" s="171" t="s">
        <v>58</v>
      </c>
      <c r="P28" s="171" t="s">
        <v>58</v>
      </c>
      <c r="Q28" t="s">
        <v>58</v>
      </c>
      <c r="R28" s="171" t="s">
        <v>58</v>
      </c>
    </row>
    <row r="29" spans="1:18">
      <c r="A29" s="155" t="str">
        <f t="shared" ca="1" si="3"/>
        <v>CUST</v>
      </c>
      <c r="B29" s="155" t="s">
        <v>58</v>
      </c>
      <c r="C29" s="156" t="str">
        <f>RIGHT(B28,LEN(B28)-3)</f>
        <v>PATCH_AREA5</v>
      </c>
      <c r="D29" s="163" t="str">
        <f ca="1">INDIRECT(ADDRESS(ROW()-1,COLUMN()))</f>
        <v>0x1062</v>
      </c>
      <c r="E29" s="163">
        <v>16</v>
      </c>
      <c r="F29" s="163">
        <v>0</v>
      </c>
      <c r="G29" s="163">
        <v>0</v>
      </c>
      <c r="H29" s="163" t="s">
        <v>68</v>
      </c>
      <c r="I29" s="151" t="str">
        <f t="shared" si="0"/>
        <v>[:]</v>
      </c>
      <c r="J29" s="151">
        <f t="shared" si="1"/>
        <v>0</v>
      </c>
      <c r="K29" s="151">
        <f t="shared" si="2"/>
        <v>65535</v>
      </c>
      <c r="L29" s="58" t="s">
        <v>125</v>
      </c>
      <c r="M29" s="28"/>
      <c r="N29" s="171" t="s">
        <v>58</v>
      </c>
      <c r="O29">
        <v>23288</v>
      </c>
      <c r="P29">
        <v>21706</v>
      </c>
      <c r="Q29" t="s">
        <v>58</v>
      </c>
      <c r="R29" s="171" t="s">
        <v>58</v>
      </c>
    </row>
    <row r="30" spans="1:18">
      <c r="A30" s="146" t="str">
        <f t="shared" ca="1" si="3"/>
        <v>CUST</v>
      </c>
      <c r="B30" s="146" t="s">
        <v>131</v>
      </c>
      <c r="C30" s="137" t="s">
        <v>58</v>
      </c>
      <c r="D30" s="144" t="str">
        <f ca="1">"0x"&amp;DEC2HEX(HEX2DEC(RIGHT(INDIRECT(ADDRESS(ROW()-1,COLUMN())),4))+2,4)</f>
        <v>0x1064</v>
      </c>
      <c r="E30" s="138">
        <v>16</v>
      </c>
      <c r="F30" s="138">
        <v>0</v>
      </c>
      <c r="G30" s="138">
        <v>0</v>
      </c>
      <c r="H30" s="138" t="s">
        <v>58</v>
      </c>
      <c r="I30" s="151" t="str">
        <f t="shared" si="0"/>
        <v>-</v>
      </c>
      <c r="J30" s="151">
        <f t="shared" si="1"/>
        <v>0</v>
      </c>
      <c r="K30" s="151">
        <f t="shared" si="2"/>
        <v>65535</v>
      </c>
      <c r="L30" s="152" t="s">
        <v>125</v>
      </c>
      <c r="M30" s="28"/>
      <c r="N30" s="171" t="s">
        <v>58</v>
      </c>
      <c r="O30" s="171" t="s">
        <v>58</v>
      </c>
      <c r="P30" s="171" t="s">
        <v>58</v>
      </c>
      <c r="Q30" t="s">
        <v>58</v>
      </c>
      <c r="R30" s="171" t="s">
        <v>58</v>
      </c>
    </row>
    <row r="31" spans="1:18">
      <c r="A31" s="155" t="str">
        <f t="shared" ca="1" si="3"/>
        <v>CUST</v>
      </c>
      <c r="B31" s="155" t="s">
        <v>58</v>
      </c>
      <c r="C31" s="156" t="str">
        <f>RIGHT(B30,LEN(B30)-3)</f>
        <v>PATCH_AREA6</v>
      </c>
      <c r="D31" s="163" t="str">
        <f ca="1">INDIRECT(ADDRESS(ROW()-1,COLUMN()))</f>
        <v>0x1064</v>
      </c>
      <c r="E31" s="163">
        <v>16</v>
      </c>
      <c r="F31" s="163">
        <v>0</v>
      </c>
      <c r="G31" s="163">
        <v>0</v>
      </c>
      <c r="H31" s="163" t="s">
        <v>68</v>
      </c>
      <c r="I31" s="151" t="str">
        <f t="shared" si="0"/>
        <v>[:]</v>
      </c>
      <c r="J31" s="151">
        <f t="shared" si="1"/>
        <v>0</v>
      </c>
      <c r="K31" s="151">
        <f t="shared" si="2"/>
        <v>65535</v>
      </c>
      <c r="L31" s="58" t="s">
        <v>125</v>
      </c>
      <c r="M31" s="28"/>
      <c r="N31" s="171" t="s">
        <v>58</v>
      </c>
      <c r="O31">
        <v>30733</v>
      </c>
      <c r="P31">
        <v>8202</v>
      </c>
      <c r="Q31" t="s">
        <v>58</v>
      </c>
      <c r="R31" s="171" t="s">
        <v>58</v>
      </c>
    </row>
    <row r="32" spans="1:18" ht="25.5">
      <c r="A32" s="146" t="str">
        <f t="shared" ca="1" si="3"/>
        <v>CUST</v>
      </c>
      <c r="B32" s="146" t="s">
        <v>471</v>
      </c>
      <c r="C32" s="137" t="s">
        <v>58</v>
      </c>
      <c r="D32" s="144" t="str">
        <f ca="1">"0x"&amp;DEC2HEX(HEX2DEC(RIGHT(INDIRECT(ADDRESS(ROW()-1,COLUMN())),4))+2,4)</f>
        <v>0x1066</v>
      </c>
      <c r="E32" s="138">
        <v>16</v>
      </c>
      <c r="F32" s="138">
        <v>0</v>
      </c>
      <c r="G32" s="138">
        <v>1</v>
      </c>
      <c r="H32" s="138" t="s">
        <v>58</v>
      </c>
      <c r="I32" s="151" t="str">
        <f t="shared" si="0"/>
        <v>-</v>
      </c>
      <c r="J32" s="151">
        <f t="shared" si="1"/>
        <v>-32768</v>
      </c>
      <c r="K32" s="151">
        <f t="shared" si="2"/>
        <v>32767</v>
      </c>
      <c r="L32" s="152" t="s">
        <v>482</v>
      </c>
      <c r="M32" s="28"/>
      <c r="N32" s="171" t="s">
        <v>58</v>
      </c>
      <c r="O32" s="171" t="s">
        <v>58</v>
      </c>
      <c r="P32" s="171" t="s">
        <v>58</v>
      </c>
      <c r="Q32" t="s">
        <v>58</v>
      </c>
      <c r="R32" s="171" t="s">
        <v>58</v>
      </c>
    </row>
    <row r="33" spans="1:18" ht="140.25">
      <c r="A33" s="155" t="str">
        <f t="shared" ca="1" si="3"/>
        <v>CUST</v>
      </c>
      <c r="B33" s="155" t="s">
        <v>58</v>
      </c>
      <c r="C33" s="156" t="str">
        <f>RIGHT(B32,LEN(B32)-3)</f>
        <v>P0_2</v>
      </c>
      <c r="D33" s="163" t="str">
        <f ca="1">INDIRECT(ADDRESS(ROW()-1,COLUMN()))</f>
        <v>0x1066</v>
      </c>
      <c r="E33" s="163">
        <v>16</v>
      </c>
      <c r="F33" s="163">
        <v>0</v>
      </c>
      <c r="G33" s="163">
        <v>1</v>
      </c>
      <c r="H33" s="163" t="s">
        <v>76</v>
      </c>
      <c r="I33" s="151" t="str">
        <f t="shared" si="0"/>
        <v>[:]</v>
      </c>
      <c r="J33" s="151">
        <f t="shared" si="1"/>
        <v>-32768</v>
      </c>
      <c r="K33" s="151">
        <f t="shared" si="2"/>
        <v>32767</v>
      </c>
      <c r="L33" s="159" t="s">
        <v>79</v>
      </c>
      <c r="M33" s="28"/>
      <c r="N33" s="171" t="s">
        <v>58</v>
      </c>
      <c r="O33">
        <v>23288</v>
      </c>
      <c r="P33">
        <v>21706</v>
      </c>
      <c r="Q33" t="s">
        <v>58</v>
      </c>
      <c r="R33" s="171" t="s">
        <v>58</v>
      </c>
    </row>
    <row r="34" spans="1:18" ht="25.5">
      <c r="A34" s="146" t="str">
        <f t="shared" ca="1" si="3"/>
        <v>CUST</v>
      </c>
      <c r="B34" s="146" t="s">
        <v>472</v>
      </c>
      <c r="C34" s="137" t="s">
        <v>58</v>
      </c>
      <c r="D34" s="144" t="str">
        <f ca="1">"0x"&amp;DEC2HEX(HEX2DEC(RIGHT(INDIRECT(ADDRESS(ROW()-1,COLUMN())),4))+2,4)</f>
        <v>0x1068</v>
      </c>
      <c r="E34" s="138">
        <v>16</v>
      </c>
      <c r="F34" s="138">
        <v>0</v>
      </c>
      <c r="G34" s="138">
        <v>1</v>
      </c>
      <c r="H34" s="138" t="s">
        <v>58</v>
      </c>
      <c r="I34" s="151" t="str">
        <f t="shared" si="0"/>
        <v>-</v>
      </c>
      <c r="J34" s="151">
        <f t="shared" si="1"/>
        <v>-32768</v>
      </c>
      <c r="K34" s="151">
        <f t="shared" si="2"/>
        <v>32767</v>
      </c>
      <c r="L34" s="152" t="s">
        <v>483</v>
      </c>
      <c r="M34" s="28"/>
      <c r="N34" s="171" t="s">
        <v>58</v>
      </c>
      <c r="O34" s="171" t="s">
        <v>58</v>
      </c>
      <c r="P34" s="171" t="s">
        <v>58</v>
      </c>
      <c r="Q34" t="s">
        <v>58</v>
      </c>
      <c r="R34" s="171" t="s">
        <v>58</v>
      </c>
    </row>
    <row r="35" spans="1:18" ht="25.5">
      <c r="A35" s="155" t="str">
        <f t="shared" ca="1" si="3"/>
        <v>CUST</v>
      </c>
      <c r="B35" s="155" t="s">
        <v>58</v>
      </c>
      <c r="C35" s="156" t="str">
        <f>RIGHT(B34,LEN(B34)-3)</f>
        <v>A0_2</v>
      </c>
      <c r="D35" s="163" t="str">
        <f ca="1">INDIRECT(ADDRESS(ROW()-1,COLUMN()))</f>
        <v>0x1068</v>
      </c>
      <c r="E35" s="163">
        <v>16</v>
      </c>
      <c r="F35" s="163">
        <v>0</v>
      </c>
      <c r="G35" s="163">
        <v>1</v>
      </c>
      <c r="H35" s="163" t="s">
        <v>76</v>
      </c>
      <c r="I35" s="151" t="str">
        <f t="shared" si="0"/>
        <v>[:]</v>
      </c>
      <c r="J35" s="151">
        <f t="shared" si="1"/>
        <v>-32768</v>
      </c>
      <c r="K35" s="151">
        <f t="shared" si="2"/>
        <v>32767</v>
      </c>
      <c r="L35" s="159" t="s">
        <v>484</v>
      </c>
      <c r="M35" s="28"/>
      <c r="N35" s="171" t="s">
        <v>58</v>
      </c>
      <c r="O35">
        <v>30723</v>
      </c>
      <c r="P35">
        <v>2</v>
      </c>
      <c r="Q35" t="s">
        <v>58</v>
      </c>
      <c r="R35" s="171" t="s">
        <v>58</v>
      </c>
    </row>
    <row r="36" spans="1:18" ht="25.5">
      <c r="A36" s="146" t="str">
        <f t="shared" ca="1" si="3"/>
        <v>CUST</v>
      </c>
      <c r="B36" s="146" t="s">
        <v>473</v>
      </c>
      <c r="C36" s="137" t="s">
        <v>58</v>
      </c>
      <c r="D36" s="144" t="str">
        <f ca="1">"0x"&amp;DEC2HEX(HEX2DEC(RIGHT(INDIRECT(ADDRESS(ROW()-1,COLUMN())),4))+2,4)</f>
        <v>0x106A</v>
      </c>
      <c r="E36" s="138">
        <v>16</v>
      </c>
      <c r="F36" s="138">
        <v>0</v>
      </c>
      <c r="G36" s="138">
        <v>1</v>
      </c>
      <c r="H36" s="138" t="s">
        <v>58</v>
      </c>
      <c r="I36" s="151" t="str">
        <f t="shared" si="0"/>
        <v>-</v>
      </c>
      <c r="J36" s="151">
        <f t="shared" si="1"/>
        <v>-32768</v>
      </c>
      <c r="K36" s="151">
        <f t="shared" si="2"/>
        <v>32767</v>
      </c>
      <c r="L36" s="152" t="s">
        <v>483</v>
      </c>
      <c r="M36" s="28"/>
      <c r="N36" s="171" t="s">
        <v>58</v>
      </c>
      <c r="O36" s="171" t="s">
        <v>58</v>
      </c>
      <c r="P36" s="171" t="s">
        <v>58</v>
      </c>
      <c r="Q36" t="s">
        <v>58</v>
      </c>
      <c r="R36" s="171" t="s">
        <v>58</v>
      </c>
    </row>
    <row r="37" spans="1:18" ht="25.5">
      <c r="A37" s="155" t="str">
        <f t="shared" ca="1" si="3"/>
        <v>CUST</v>
      </c>
      <c r="B37" s="155" t="s">
        <v>58</v>
      </c>
      <c r="C37" s="156" t="str">
        <f>RIGHT(B36,LEN(B36)-3)</f>
        <v>A1_2</v>
      </c>
      <c r="D37" s="163" t="str">
        <f ca="1">INDIRECT(ADDRESS(ROW()-1,COLUMN()))</f>
        <v>0x106A</v>
      </c>
      <c r="E37" s="163">
        <v>16</v>
      </c>
      <c r="F37" s="163">
        <v>0</v>
      </c>
      <c r="G37" s="163">
        <v>1</v>
      </c>
      <c r="H37" s="163" t="s">
        <v>76</v>
      </c>
      <c r="I37" s="151" t="str">
        <f t="shared" si="0"/>
        <v>[:]</v>
      </c>
      <c r="J37" s="151">
        <f t="shared" si="1"/>
        <v>-32768</v>
      </c>
      <c r="K37" s="151">
        <f t="shared" si="2"/>
        <v>32767</v>
      </c>
      <c r="L37" s="159" t="s">
        <v>484</v>
      </c>
      <c r="M37" s="28"/>
      <c r="N37" s="171" t="s">
        <v>58</v>
      </c>
      <c r="O37">
        <v>23288</v>
      </c>
      <c r="P37">
        <v>21706</v>
      </c>
      <c r="Q37" t="s">
        <v>58</v>
      </c>
      <c r="R37" s="171" t="s">
        <v>58</v>
      </c>
    </row>
    <row r="38" spans="1:18" ht="25.5">
      <c r="A38" s="146" t="str">
        <f t="shared" ca="1" si="3"/>
        <v>CUST</v>
      </c>
      <c r="B38" s="146" t="s">
        <v>474</v>
      </c>
      <c r="C38" s="137" t="s">
        <v>58</v>
      </c>
      <c r="D38" s="144" t="str">
        <f ca="1">"0x"&amp;DEC2HEX(HEX2DEC(RIGHT(INDIRECT(ADDRESS(ROW()-1,COLUMN())),4))+2,4)</f>
        <v>0x106C</v>
      </c>
      <c r="E38" s="138">
        <v>16</v>
      </c>
      <c r="F38" s="138">
        <v>0</v>
      </c>
      <c r="G38" s="138">
        <v>1</v>
      </c>
      <c r="H38" s="138" t="s">
        <v>58</v>
      </c>
      <c r="I38" s="151" t="str">
        <f t="shared" si="0"/>
        <v>-</v>
      </c>
      <c r="J38" s="151">
        <f t="shared" si="1"/>
        <v>-32768</v>
      </c>
      <c r="K38" s="151">
        <f t="shared" si="2"/>
        <v>32767</v>
      </c>
      <c r="L38" s="152" t="s">
        <v>483</v>
      </c>
      <c r="M38" s="28"/>
      <c r="N38" s="171" t="s">
        <v>58</v>
      </c>
      <c r="O38" s="171" t="s">
        <v>58</v>
      </c>
      <c r="P38" s="171" t="s">
        <v>58</v>
      </c>
      <c r="Q38" t="s">
        <v>58</v>
      </c>
      <c r="R38" s="171" t="s">
        <v>58</v>
      </c>
    </row>
    <row r="39" spans="1:18" ht="25.5">
      <c r="A39" s="155" t="str">
        <f t="shared" ca="1" si="3"/>
        <v>CUST</v>
      </c>
      <c r="B39" s="155" t="s">
        <v>58</v>
      </c>
      <c r="C39" s="156" t="str">
        <f>RIGHT(B38,LEN(B38)-3)</f>
        <v>A2_2</v>
      </c>
      <c r="D39" s="163" t="str">
        <f ca="1">INDIRECT(ADDRESS(ROW()-1,COLUMN()))</f>
        <v>0x106C</v>
      </c>
      <c r="E39" s="163">
        <v>16</v>
      </c>
      <c r="F39" s="163">
        <v>0</v>
      </c>
      <c r="G39" s="163">
        <v>1</v>
      </c>
      <c r="H39" s="163" t="s">
        <v>76</v>
      </c>
      <c r="I39" s="151" t="str">
        <f t="shared" si="0"/>
        <v>[:]</v>
      </c>
      <c r="J39" s="151">
        <f t="shared" si="1"/>
        <v>-32768</v>
      </c>
      <c r="K39" s="151">
        <f t="shared" si="2"/>
        <v>32767</v>
      </c>
      <c r="L39" s="159" t="s">
        <v>484</v>
      </c>
      <c r="M39" s="28"/>
      <c r="N39" s="171" t="s">
        <v>58</v>
      </c>
      <c r="O39">
        <v>31448</v>
      </c>
      <c r="P39">
        <v>4254</v>
      </c>
      <c r="Q39" t="s">
        <v>58</v>
      </c>
      <c r="R39" s="171" t="s">
        <v>58</v>
      </c>
    </row>
    <row r="40" spans="1:18" ht="25.5">
      <c r="A40" s="146" t="str">
        <f t="shared" ca="1" si="3"/>
        <v>CUST</v>
      </c>
      <c r="B40" s="146" t="s">
        <v>475</v>
      </c>
      <c r="C40" s="137" t="s">
        <v>58</v>
      </c>
      <c r="D40" s="144" t="str">
        <f ca="1">"0x"&amp;DEC2HEX(HEX2DEC(RIGHT(INDIRECT(ADDRESS(ROW()-1,COLUMN())),4))+2,4)</f>
        <v>0x106E</v>
      </c>
      <c r="E40" s="138">
        <v>16</v>
      </c>
      <c r="F40" s="138">
        <v>0</v>
      </c>
      <c r="G40" s="138">
        <v>1</v>
      </c>
      <c r="H40" s="138" t="s">
        <v>58</v>
      </c>
      <c r="I40" s="151" t="str">
        <f t="shared" si="0"/>
        <v>-</v>
      </c>
      <c r="J40" s="151">
        <f t="shared" si="1"/>
        <v>-32768</v>
      </c>
      <c r="K40" s="151">
        <f t="shared" si="2"/>
        <v>32767</v>
      </c>
      <c r="L40" s="152" t="s">
        <v>483</v>
      </c>
      <c r="M40" s="28"/>
      <c r="N40" s="171" t="s">
        <v>58</v>
      </c>
      <c r="O40" s="171" t="s">
        <v>58</v>
      </c>
      <c r="P40" s="171" t="s">
        <v>58</v>
      </c>
      <c r="Q40" t="s">
        <v>58</v>
      </c>
      <c r="R40" s="171" t="s">
        <v>58</v>
      </c>
    </row>
    <row r="41" spans="1:18" ht="25.5">
      <c r="A41" s="155" t="str">
        <f t="shared" ca="1" si="3"/>
        <v>CUST</v>
      </c>
      <c r="B41" s="155" t="s">
        <v>58</v>
      </c>
      <c r="C41" s="156" t="str">
        <f>RIGHT(B40,LEN(B40)-3)</f>
        <v>A3_2</v>
      </c>
      <c r="D41" s="163" t="str">
        <f ca="1">INDIRECT(ADDRESS(ROW()-1,COLUMN()))</f>
        <v>0x106E</v>
      </c>
      <c r="E41" s="163">
        <v>16</v>
      </c>
      <c r="F41" s="163">
        <v>0</v>
      </c>
      <c r="G41" s="163">
        <v>1</v>
      </c>
      <c r="H41" s="163" t="s">
        <v>76</v>
      </c>
      <c r="I41" s="151" t="str">
        <f t="shared" si="0"/>
        <v>[:]</v>
      </c>
      <c r="J41" s="151">
        <f t="shared" si="1"/>
        <v>-32768</v>
      </c>
      <c r="K41" s="151">
        <f t="shared" si="2"/>
        <v>32767</v>
      </c>
      <c r="L41" s="159" t="s">
        <v>484</v>
      </c>
      <c r="M41" s="28"/>
      <c r="N41" s="171" t="s">
        <v>58</v>
      </c>
      <c r="O41">
        <v>4180</v>
      </c>
      <c r="P41">
        <v>33499</v>
      </c>
      <c r="Q41" t="s">
        <v>58</v>
      </c>
      <c r="R41" s="171" t="s">
        <v>58</v>
      </c>
    </row>
    <row r="42" spans="1:18" ht="25.5">
      <c r="A42" s="146" t="str">
        <f t="shared" ca="1" si="3"/>
        <v>CUST</v>
      </c>
      <c r="B42" s="146" t="s">
        <v>476</v>
      </c>
      <c r="C42" s="137" t="s">
        <v>58</v>
      </c>
      <c r="D42" s="144" t="str">
        <f ca="1">"0x"&amp;DEC2HEX(HEX2DEC(RIGHT(INDIRECT(ADDRESS(ROW()-1,COLUMN())),4))+2,4)</f>
        <v>0x1070</v>
      </c>
      <c r="E42" s="138">
        <v>16</v>
      </c>
      <c r="F42" s="138">
        <v>0</v>
      </c>
      <c r="G42" s="138">
        <v>1</v>
      </c>
      <c r="H42" s="138" t="s">
        <v>58</v>
      </c>
      <c r="I42" s="151" t="str">
        <f t="shared" ref="I42:I70" si="4">IF(C42&lt;&gt;"-","["&amp;AD42&amp;":"&amp;AE42&amp;"]","-")</f>
        <v>-</v>
      </c>
      <c r="J42" s="151">
        <f t="shared" si="1"/>
        <v>-32768</v>
      </c>
      <c r="K42" s="151">
        <f t="shared" si="2"/>
        <v>32767</v>
      </c>
      <c r="L42" s="152" t="s">
        <v>483</v>
      </c>
      <c r="M42" s="28"/>
      <c r="N42" s="171" t="s">
        <v>58</v>
      </c>
      <c r="O42" s="171" t="s">
        <v>58</v>
      </c>
      <c r="P42" s="171" t="s">
        <v>58</v>
      </c>
      <c r="Q42" t="s">
        <v>58</v>
      </c>
      <c r="R42" s="171" t="s">
        <v>58</v>
      </c>
    </row>
    <row r="43" spans="1:18" ht="25.5">
      <c r="A43" s="155" t="str">
        <f t="shared" ca="1" si="3"/>
        <v>CUST</v>
      </c>
      <c r="B43" s="155" t="s">
        <v>58</v>
      </c>
      <c r="C43" s="156" t="str">
        <f>RIGHT(B42,LEN(B42)-3)</f>
        <v>B0_2</v>
      </c>
      <c r="D43" s="163" t="str">
        <f ca="1">INDIRECT(ADDRESS(ROW()-1,COLUMN()))</f>
        <v>0x1070</v>
      </c>
      <c r="E43" s="163">
        <v>16</v>
      </c>
      <c r="F43" s="163">
        <v>0</v>
      </c>
      <c r="G43" s="163">
        <v>1</v>
      </c>
      <c r="H43" s="163" t="s">
        <v>76</v>
      </c>
      <c r="I43" s="151" t="str">
        <f t="shared" si="4"/>
        <v>[:]</v>
      </c>
      <c r="J43" s="151">
        <f t="shared" si="1"/>
        <v>-32768</v>
      </c>
      <c r="K43" s="151">
        <f t="shared" si="2"/>
        <v>32767</v>
      </c>
      <c r="L43" s="159" t="s">
        <v>484</v>
      </c>
      <c r="M43" s="28"/>
      <c r="N43" s="171" t="s">
        <v>58</v>
      </c>
      <c r="O43">
        <v>23256</v>
      </c>
      <c r="P43">
        <v>12256</v>
      </c>
      <c r="Q43" t="s">
        <v>58</v>
      </c>
      <c r="R43" s="171" t="s">
        <v>58</v>
      </c>
    </row>
    <row r="44" spans="1:18" ht="25.5">
      <c r="A44" s="146" t="str">
        <f t="shared" ca="1" si="3"/>
        <v>CUST</v>
      </c>
      <c r="B44" s="146" t="s">
        <v>477</v>
      </c>
      <c r="C44" s="137" t="s">
        <v>58</v>
      </c>
      <c r="D44" s="144" t="str">
        <f ca="1">"0x"&amp;DEC2HEX(HEX2DEC(RIGHT(INDIRECT(ADDRESS(ROW()-1,COLUMN())),4))+2,4)</f>
        <v>0x1072</v>
      </c>
      <c r="E44" s="138">
        <v>16</v>
      </c>
      <c r="F44" s="138">
        <v>0</v>
      </c>
      <c r="G44" s="138">
        <v>1</v>
      </c>
      <c r="H44" s="138" t="s">
        <v>58</v>
      </c>
      <c r="I44" s="151" t="str">
        <f t="shared" si="4"/>
        <v>-</v>
      </c>
      <c r="J44" s="151">
        <f t="shared" si="1"/>
        <v>-32768</v>
      </c>
      <c r="K44" s="151">
        <f t="shared" si="2"/>
        <v>32767</v>
      </c>
      <c r="L44" s="152" t="s">
        <v>483</v>
      </c>
      <c r="M44" s="28"/>
      <c r="N44" s="171" t="s">
        <v>58</v>
      </c>
      <c r="O44" s="171" t="s">
        <v>58</v>
      </c>
      <c r="P44" s="171" t="s">
        <v>58</v>
      </c>
      <c r="Q44" t="s">
        <v>58</v>
      </c>
      <c r="R44" s="171" t="s">
        <v>58</v>
      </c>
    </row>
    <row r="45" spans="1:18" ht="25.5">
      <c r="A45" s="155" t="str">
        <f t="shared" ca="1" si="3"/>
        <v>CUST</v>
      </c>
      <c r="B45" s="155" t="s">
        <v>58</v>
      </c>
      <c r="C45" s="156" t="str">
        <f>RIGHT(B44,LEN(B44)-3)</f>
        <v>B1_2</v>
      </c>
      <c r="D45" s="163" t="str">
        <f ca="1">INDIRECT(ADDRESS(ROW()-1,COLUMN()))</f>
        <v>0x1072</v>
      </c>
      <c r="E45" s="163">
        <v>16</v>
      </c>
      <c r="F45" s="163">
        <v>0</v>
      </c>
      <c r="G45" s="163">
        <v>1</v>
      </c>
      <c r="H45" s="163" t="s">
        <v>76</v>
      </c>
      <c r="I45" s="151" t="str">
        <f t="shared" si="4"/>
        <v>[:]</v>
      </c>
      <c r="J45" s="151">
        <f t="shared" si="1"/>
        <v>-32768</v>
      </c>
      <c r="K45" s="151">
        <f t="shared" si="2"/>
        <v>32767</v>
      </c>
      <c r="L45" s="159" t="s">
        <v>484</v>
      </c>
      <c r="M45" s="28"/>
      <c r="N45" s="171" t="s">
        <v>58</v>
      </c>
      <c r="O45">
        <v>198</v>
      </c>
      <c r="P45">
        <v>20999</v>
      </c>
      <c r="Q45" t="s">
        <v>58</v>
      </c>
      <c r="R45" s="171" t="s">
        <v>58</v>
      </c>
    </row>
    <row r="46" spans="1:18" ht="25.5">
      <c r="A46" s="146" t="str">
        <f t="shared" ca="1" si="3"/>
        <v>CUST</v>
      </c>
      <c r="B46" s="146" t="s">
        <v>478</v>
      </c>
      <c r="C46" s="137" t="s">
        <v>58</v>
      </c>
      <c r="D46" s="144" t="str">
        <f ca="1">"0x"&amp;DEC2HEX(HEX2DEC(RIGHT(INDIRECT(ADDRESS(ROW()-1,COLUMN())),4))+2,4)</f>
        <v>0x1074</v>
      </c>
      <c r="E46" s="138">
        <v>16</v>
      </c>
      <c r="F46" s="138">
        <v>0</v>
      </c>
      <c r="G46" s="138">
        <v>1</v>
      </c>
      <c r="H46" s="138" t="s">
        <v>58</v>
      </c>
      <c r="I46" s="151" t="str">
        <f t="shared" si="4"/>
        <v>-</v>
      </c>
      <c r="J46" s="151">
        <f t="shared" si="1"/>
        <v>-32768</v>
      </c>
      <c r="K46" s="151">
        <f t="shared" si="2"/>
        <v>32767</v>
      </c>
      <c r="L46" s="152" t="s">
        <v>483</v>
      </c>
      <c r="M46" s="28"/>
      <c r="N46" s="171" t="s">
        <v>58</v>
      </c>
      <c r="O46" s="171" t="s">
        <v>58</v>
      </c>
      <c r="P46" s="171" t="s">
        <v>58</v>
      </c>
      <c r="Q46" t="s">
        <v>58</v>
      </c>
      <c r="R46" s="171" t="s">
        <v>58</v>
      </c>
    </row>
    <row r="47" spans="1:18" ht="25.5">
      <c r="A47" s="155" t="str">
        <f t="shared" ca="1" si="3"/>
        <v>CUST</v>
      </c>
      <c r="B47" s="155" t="s">
        <v>58</v>
      </c>
      <c r="C47" s="156" t="str">
        <f>RIGHT(B46,LEN(B46)-3)</f>
        <v>B2_2</v>
      </c>
      <c r="D47" s="163" t="str">
        <f ca="1">INDIRECT(ADDRESS(ROW()-1,COLUMN()))</f>
        <v>0x1074</v>
      </c>
      <c r="E47" s="163">
        <v>16</v>
      </c>
      <c r="F47" s="163">
        <v>0</v>
      </c>
      <c r="G47" s="163">
        <v>1</v>
      </c>
      <c r="H47" s="163" t="s">
        <v>76</v>
      </c>
      <c r="I47" s="151" t="str">
        <f t="shared" si="4"/>
        <v>[:]</v>
      </c>
      <c r="J47" s="151">
        <f t="shared" si="1"/>
        <v>-32768</v>
      </c>
      <c r="K47" s="151">
        <f t="shared" si="2"/>
        <v>32767</v>
      </c>
      <c r="L47" s="159" t="s">
        <v>484</v>
      </c>
      <c r="M47" s="28"/>
      <c r="N47" s="171" t="s">
        <v>58</v>
      </c>
      <c r="O47">
        <v>21509</v>
      </c>
      <c r="P47">
        <v>29598</v>
      </c>
      <c r="Q47" t="s">
        <v>58</v>
      </c>
      <c r="R47" s="171" t="s">
        <v>58</v>
      </c>
    </row>
    <row r="48" spans="1:18" ht="25.5">
      <c r="A48" s="146" t="str">
        <f t="shared" ca="1" si="3"/>
        <v>CUST</v>
      </c>
      <c r="B48" s="146" t="s">
        <v>479</v>
      </c>
      <c r="C48" s="137" t="s">
        <v>58</v>
      </c>
      <c r="D48" s="144" t="str">
        <f ca="1">"0x"&amp;DEC2HEX(HEX2DEC(RIGHT(INDIRECT(ADDRESS(ROW()-1,COLUMN())),4))+2,4)</f>
        <v>0x1076</v>
      </c>
      <c r="E48" s="138">
        <v>16</v>
      </c>
      <c r="F48" s="138">
        <v>0</v>
      </c>
      <c r="G48" s="138">
        <v>1</v>
      </c>
      <c r="H48" s="138" t="s">
        <v>58</v>
      </c>
      <c r="I48" s="151" t="str">
        <f t="shared" si="4"/>
        <v>-</v>
      </c>
      <c r="J48" s="151">
        <f t="shared" si="1"/>
        <v>-32768</v>
      </c>
      <c r="K48" s="151">
        <f t="shared" si="2"/>
        <v>32767</v>
      </c>
      <c r="L48" s="152" t="s">
        <v>483</v>
      </c>
      <c r="M48" s="28"/>
      <c r="N48" s="171" t="s">
        <v>58</v>
      </c>
      <c r="O48" s="171" t="s">
        <v>58</v>
      </c>
      <c r="P48" s="171" t="s">
        <v>58</v>
      </c>
      <c r="Q48" t="s">
        <v>58</v>
      </c>
      <c r="R48" s="171" t="s">
        <v>58</v>
      </c>
    </row>
    <row r="49" spans="1:18" ht="25.5">
      <c r="A49" s="155" t="str">
        <f t="shared" ca="1" si="3"/>
        <v>CUST</v>
      </c>
      <c r="B49" s="155" t="s">
        <v>58</v>
      </c>
      <c r="C49" s="156" t="str">
        <f>RIGHT(B48,LEN(B48)-3)</f>
        <v>B3_2</v>
      </c>
      <c r="D49" s="163" t="str">
        <f ca="1">INDIRECT(ADDRESS(ROW()-1,COLUMN()))</f>
        <v>0x1076</v>
      </c>
      <c r="E49" s="163">
        <v>16</v>
      </c>
      <c r="F49" s="163">
        <v>0</v>
      </c>
      <c r="G49" s="163">
        <v>1</v>
      </c>
      <c r="H49" s="163" t="s">
        <v>76</v>
      </c>
      <c r="I49" s="151" t="str">
        <f t="shared" si="4"/>
        <v>[:]</v>
      </c>
      <c r="J49" s="151">
        <f t="shared" si="1"/>
        <v>-32768</v>
      </c>
      <c r="K49" s="151">
        <f t="shared" si="2"/>
        <v>32767</v>
      </c>
      <c r="L49" s="159" t="s">
        <v>484</v>
      </c>
      <c r="M49" s="28"/>
      <c r="N49" s="171" t="s">
        <v>58</v>
      </c>
      <c r="O49">
        <v>3349</v>
      </c>
      <c r="P49">
        <v>21215</v>
      </c>
      <c r="Q49" t="s">
        <v>58</v>
      </c>
      <c r="R49" s="171" t="s">
        <v>58</v>
      </c>
    </row>
    <row r="50" spans="1:18" ht="25.5">
      <c r="A50" s="146" t="str">
        <f t="shared" ca="1" si="3"/>
        <v>CUST</v>
      </c>
      <c r="B50" s="146" t="s">
        <v>480</v>
      </c>
      <c r="C50" s="137" t="s">
        <v>58</v>
      </c>
      <c r="D50" s="144" t="str">
        <f ca="1">"0x"&amp;DEC2HEX(HEX2DEC(RIGHT(INDIRECT(ADDRESS(ROW()-1,COLUMN())),4))+2,4)</f>
        <v>0x1078</v>
      </c>
      <c r="E50" s="138">
        <v>16</v>
      </c>
      <c r="F50" s="138">
        <v>0</v>
      </c>
      <c r="G50" s="138">
        <v>1</v>
      </c>
      <c r="H50" s="138" t="s">
        <v>58</v>
      </c>
      <c r="I50" s="151" t="str">
        <f t="shared" si="4"/>
        <v>-</v>
      </c>
      <c r="J50" s="151">
        <f t="shared" si="1"/>
        <v>-32768</v>
      </c>
      <c r="K50" s="151">
        <f t="shared" si="2"/>
        <v>32767</v>
      </c>
      <c r="L50" s="152" t="s">
        <v>483</v>
      </c>
      <c r="M50" s="28"/>
      <c r="N50" s="171" t="s">
        <v>58</v>
      </c>
      <c r="O50" s="171" t="s">
        <v>58</v>
      </c>
      <c r="P50" s="171" t="s">
        <v>58</v>
      </c>
      <c r="Q50" t="s">
        <v>58</v>
      </c>
      <c r="R50" s="171" t="s">
        <v>58</v>
      </c>
    </row>
    <row r="51" spans="1:18" ht="25.5">
      <c r="A51" s="155" t="str">
        <f t="shared" ca="1" si="3"/>
        <v>CUST</v>
      </c>
      <c r="B51" s="155" t="s">
        <v>58</v>
      </c>
      <c r="C51" s="156" t="str">
        <f>RIGHT(B50,LEN(B50)-3)</f>
        <v>C0_2</v>
      </c>
      <c r="D51" s="163" t="str">
        <f ca="1">INDIRECT(ADDRESS(ROW()-1,COLUMN()))</f>
        <v>0x1078</v>
      </c>
      <c r="E51" s="163">
        <v>16</v>
      </c>
      <c r="F51" s="163">
        <v>0</v>
      </c>
      <c r="G51" s="163">
        <v>1</v>
      </c>
      <c r="H51" s="163" t="s">
        <v>76</v>
      </c>
      <c r="I51" s="151" t="str">
        <f t="shared" si="4"/>
        <v>[:]</v>
      </c>
      <c r="J51" s="151">
        <f t="shared" si="1"/>
        <v>-32768</v>
      </c>
      <c r="K51" s="151">
        <f t="shared" si="2"/>
        <v>32767</v>
      </c>
      <c r="L51" s="159" t="s">
        <v>484</v>
      </c>
      <c r="M51" s="28"/>
      <c r="N51" s="171" t="s">
        <v>58</v>
      </c>
      <c r="O51">
        <v>2</v>
      </c>
      <c r="P51">
        <v>29142</v>
      </c>
      <c r="Q51" t="s">
        <v>58</v>
      </c>
      <c r="R51" s="171" t="s">
        <v>58</v>
      </c>
    </row>
    <row r="52" spans="1:18" ht="25.5">
      <c r="A52" s="146" t="str">
        <f t="shared" ca="1" si="3"/>
        <v>CUST</v>
      </c>
      <c r="B52" s="146" t="s">
        <v>481</v>
      </c>
      <c r="C52" s="137" t="s">
        <v>58</v>
      </c>
      <c r="D52" s="144" t="str">
        <f ca="1">"0x"&amp;DEC2HEX(HEX2DEC(RIGHT(INDIRECT(ADDRESS(ROW()-1,COLUMN())),4))+2,4)</f>
        <v>0x107A</v>
      </c>
      <c r="E52" s="138">
        <v>16</v>
      </c>
      <c r="F52" s="138">
        <v>0</v>
      </c>
      <c r="G52" s="138">
        <v>1</v>
      </c>
      <c r="H52" s="138" t="s">
        <v>58</v>
      </c>
      <c r="I52" s="151" t="str">
        <f t="shared" si="4"/>
        <v>-</v>
      </c>
      <c r="J52" s="151">
        <f t="shared" si="1"/>
        <v>-32768</v>
      </c>
      <c r="K52" s="151">
        <f t="shared" si="2"/>
        <v>32767</v>
      </c>
      <c r="L52" s="152" t="s">
        <v>483</v>
      </c>
      <c r="M52" s="28"/>
      <c r="N52" s="171" t="s">
        <v>58</v>
      </c>
      <c r="O52" s="171" t="s">
        <v>58</v>
      </c>
      <c r="P52" s="171" t="s">
        <v>58</v>
      </c>
      <c r="Q52" t="s">
        <v>58</v>
      </c>
      <c r="R52" s="171" t="s">
        <v>58</v>
      </c>
    </row>
    <row r="53" spans="1:18" ht="25.5">
      <c r="A53" s="155" t="str">
        <f t="shared" ca="1" si="3"/>
        <v>CUST</v>
      </c>
      <c r="B53" s="155" t="s">
        <v>58</v>
      </c>
      <c r="C53" s="156" t="str">
        <f>RIGHT(B52,LEN(B52)-3)</f>
        <v>C1_2</v>
      </c>
      <c r="D53" s="163" t="str">
        <f ca="1">INDIRECT(ADDRESS(ROW()-1,COLUMN()))</f>
        <v>0x107A</v>
      </c>
      <c r="E53" s="163">
        <v>16</v>
      </c>
      <c r="F53" s="163">
        <v>0</v>
      </c>
      <c r="G53" s="163">
        <v>1</v>
      </c>
      <c r="H53" s="163" t="s">
        <v>76</v>
      </c>
      <c r="I53" s="151" t="str">
        <f t="shared" si="4"/>
        <v>[:]</v>
      </c>
      <c r="J53" s="151">
        <f t="shared" si="1"/>
        <v>-32768</v>
      </c>
      <c r="K53" s="151">
        <f t="shared" si="2"/>
        <v>32767</v>
      </c>
      <c r="L53" s="159" t="s">
        <v>484</v>
      </c>
      <c r="M53" s="28"/>
      <c r="N53" s="171" t="s">
        <v>58</v>
      </c>
      <c r="O53" s="171" t="s">
        <v>58</v>
      </c>
      <c r="P53">
        <v>33499</v>
      </c>
      <c r="Q53" t="s">
        <v>58</v>
      </c>
      <c r="R53" s="171" t="s">
        <v>58</v>
      </c>
    </row>
    <row r="54" spans="1:18">
      <c r="A54" s="146" t="str">
        <f t="shared" ca="1" si="3"/>
        <v>CUST</v>
      </c>
      <c r="B54" s="146" t="s">
        <v>132</v>
      </c>
      <c r="C54" s="137" t="s">
        <v>58</v>
      </c>
      <c r="D54" s="144" t="str">
        <f ca="1">"0x"&amp;DEC2HEX(HEX2DEC(RIGHT(INDIRECT(ADDRESS(ROW()-1,COLUMN())),4))+2,4)</f>
        <v>0x107C</v>
      </c>
      <c r="E54" s="138">
        <v>16</v>
      </c>
      <c r="F54" s="138">
        <v>0</v>
      </c>
      <c r="G54" s="138">
        <v>1</v>
      </c>
      <c r="H54" s="138" t="s">
        <v>58</v>
      </c>
      <c r="I54" s="151" t="str">
        <f t="shared" si="4"/>
        <v>-</v>
      </c>
      <c r="J54" s="151">
        <f t="shared" si="1"/>
        <v>-32768</v>
      </c>
      <c r="K54" s="151">
        <f t="shared" si="2"/>
        <v>32767</v>
      </c>
      <c r="L54" s="152" t="s">
        <v>133</v>
      </c>
      <c r="M54" s="28"/>
      <c r="N54" s="171" t="s">
        <v>58</v>
      </c>
      <c r="O54" s="171" t="s">
        <v>58</v>
      </c>
      <c r="P54" s="171" t="s">
        <v>58</v>
      </c>
      <c r="Q54" t="s">
        <v>58</v>
      </c>
      <c r="R54" s="171" t="s">
        <v>58</v>
      </c>
    </row>
    <row r="55" spans="1:18" ht="25.5">
      <c r="A55" s="155" t="str">
        <f t="shared" ca="1" si="3"/>
        <v>CUST</v>
      </c>
      <c r="B55" s="155" t="s">
        <v>58</v>
      </c>
      <c r="C55" s="156" t="str">
        <f>RIGHT(B54,LEN(B54)-3)</f>
        <v>N0</v>
      </c>
      <c r="D55" s="163" t="str">
        <f ca="1">INDIRECT(ADDRESS(ROW()-1,COLUMN()))</f>
        <v>0x107C</v>
      </c>
      <c r="E55" s="163">
        <v>16</v>
      </c>
      <c r="F55" s="163">
        <v>0</v>
      </c>
      <c r="G55" s="163">
        <v>1</v>
      </c>
      <c r="H55" s="163" t="s">
        <v>76</v>
      </c>
      <c r="I55" s="151" t="str">
        <f t="shared" si="4"/>
        <v>[:]</v>
      </c>
      <c r="J55" s="151">
        <f t="shared" si="1"/>
        <v>-32768</v>
      </c>
      <c r="K55" s="151">
        <f t="shared" si="2"/>
        <v>32767</v>
      </c>
      <c r="L55" s="58" t="s">
        <v>134</v>
      </c>
      <c r="M55" s="28"/>
      <c r="N55" s="171" t="s">
        <v>58</v>
      </c>
      <c r="O55" s="171" t="s">
        <v>58</v>
      </c>
      <c r="P55">
        <v>8276</v>
      </c>
      <c r="Q55" t="s">
        <v>58</v>
      </c>
      <c r="R55" s="171" t="s">
        <v>58</v>
      </c>
    </row>
    <row r="56" spans="1:18">
      <c r="A56" s="146" t="str">
        <f t="shared" ca="1" si="3"/>
        <v>CUST</v>
      </c>
      <c r="B56" s="146" t="s">
        <v>135</v>
      </c>
      <c r="C56" s="137" t="s">
        <v>58</v>
      </c>
      <c r="D56" s="144" t="str">
        <f ca="1">"0x"&amp;DEC2HEX(HEX2DEC(RIGHT(INDIRECT(ADDRESS(ROW()-1,COLUMN())),4))+2,4)</f>
        <v>0x107E</v>
      </c>
      <c r="E56" s="138">
        <v>16</v>
      </c>
      <c r="F56" s="138">
        <v>0</v>
      </c>
      <c r="G56" s="138">
        <v>1</v>
      </c>
      <c r="H56" s="138" t="s">
        <v>58</v>
      </c>
      <c r="I56" s="151" t="str">
        <f t="shared" si="4"/>
        <v>-</v>
      </c>
      <c r="J56" s="151">
        <f t="shared" si="1"/>
        <v>-32768</v>
      </c>
      <c r="K56" s="151">
        <f t="shared" si="2"/>
        <v>32767</v>
      </c>
      <c r="L56" s="152" t="s">
        <v>133</v>
      </c>
      <c r="M56" s="28"/>
      <c r="N56" s="171" t="s">
        <v>58</v>
      </c>
      <c r="O56" s="171" t="s">
        <v>58</v>
      </c>
      <c r="P56" s="171" t="s">
        <v>58</v>
      </c>
      <c r="Q56" t="s">
        <v>58</v>
      </c>
      <c r="R56" s="171" t="s">
        <v>58</v>
      </c>
    </row>
    <row r="57" spans="1:18" ht="25.5">
      <c r="A57" s="155" t="str">
        <f t="shared" ca="1" si="3"/>
        <v>CUST</v>
      </c>
      <c r="B57" s="155" t="s">
        <v>58</v>
      </c>
      <c r="C57" s="156" t="str">
        <f>RIGHT(B56,LEN(B56)-3)</f>
        <v>N1</v>
      </c>
      <c r="D57" s="163" t="str">
        <f ca="1">INDIRECT(ADDRESS(ROW()-1,COLUMN()))</f>
        <v>0x107E</v>
      </c>
      <c r="E57" s="163">
        <v>16</v>
      </c>
      <c r="F57" s="163">
        <v>0</v>
      </c>
      <c r="G57" s="163">
        <v>1</v>
      </c>
      <c r="H57" s="163" t="s">
        <v>76</v>
      </c>
      <c r="I57" s="151" t="str">
        <f t="shared" si="4"/>
        <v>[:]</v>
      </c>
      <c r="J57" s="151">
        <f t="shared" si="1"/>
        <v>-32768</v>
      </c>
      <c r="K57" s="151">
        <f t="shared" si="2"/>
        <v>32767</v>
      </c>
      <c r="L57" s="58" t="s">
        <v>134</v>
      </c>
      <c r="M57" s="28"/>
      <c r="N57" s="171" t="s">
        <v>58</v>
      </c>
      <c r="O57" s="171" t="s">
        <v>58</v>
      </c>
      <c r="P57">
        <v>32265</v>
      </c>
      <c r="Q57" t="s">
        <v>58</v>
      </c>
      <c r="R57" s="171" t="s">
        <v>58</v>
      </c>
    </row>
    <row r="58" spans="1:18">
      <c r="A58" s="146" t="str">
        <f t="shared" ca="1" si="3"/>
        <v>CUST</v>
      </c>
      <c r="B58" s="146" t="s">
        <v>136</v>
      </c>
      <c r="C58" s="137" t="s">
        <v>58</v>
      </c>
      <c r="D58" s="144" t="str">
        <f ca="1">"0x"&amp;DEC2HEX(HEX2DEC(RIGHT(INDIRECT(ADDRESS(ROW()-1,COLUMN())),4))+2,4)</f>
        <v>0x1080</v>
      </c>
      <c r="E58" s="138">
        <v>16</v>
      </c>
      <c r="F58" s="138">
        <v>0</v>
      </c>
      <c r="G58" s="138">
        <v>1</v>
      </c>
      <c r="H58" s="138" t="s">
        <v>58</v>
      </c>
      <c r="I58" s="151" t="str">
        <f t="shared" si="4"/>
        <v>-</v>
      </c>
      <c r="J58" s="151">
        <f t="shared" si="1"/>
        <v>-32768</v>
      </c>
      <c r="K58" s="151">
        <f t="shared" si="2"/>
        <v>32767</v>
      </c>
      <c r="L58" s="152" t="s">
        <v>133</v>
      </c>
      <c r="M58" s="28"/>
      <c r="N58" s="171" t="s">
        <v>58</v>
      </c>
      <c r="O58" s="171" t="s">
        <v>58</v>
      </c>
      <c r="P58" s="171" t="s">
        <v>58</v>
      </c>
      <c r="Q58" t="s">
        <v>58</v>
      </c>
      <c r="R58" s="171" t="s">
        <v>58</v>
      </c>
    </row>
    <row r="59" spans="1:18" ht="25.5">
      <c r="A59" s="155" t="str">
        <f t="shared" ca="1" si="3"/>
        <v>CUST</v>
      </c>
      <c r="B59" s="155" t="s">
        <v>58</v>
      </c>
      <c r="C59" s="156" t="str">
        <f>RIGHT(B58,LEN(B58)-3)</f>
        <v>N2</v>
      </c>
      <c r="D59" s="163" t="str">
        <f ca="1">INDIRECT(ADDRESS(ROW()-1,COLUMN()))</f>
        <v>0x1080</v>
      </c>
      <c r="E59" s="163">
        <v>16</v>
      </c>
      <c r="F59" s="163">
        <v>0</v>
      </c>
      <c r="G59" s="163">
        <v>1</v>
      </c>
      <c r="H59" s="163" t="s">
        <v>76</v>
      </c>
      <c r="I59" s="151" t="str">
        <f t="shared" si="4"/>
        <v>[:]</v>
      </c>
      <c r="J59" s="151">
        <f t="shared" si="1"/>
        <v>-32768</v>
      </c>
      <c r="K59" s="151">
        <f t="shared" si="2"/>
        <v>32767</v>
      </c>
      <c r="L59" s="58" t="s">
        <v>134</v>
      </c>
      <c r="M59" s="28"/>
      <c r="N59" s="171" t="s">
        <v>58</v>
      </c>
      <c r="O59" s="171" t="s">
        <v>58</v>
      </c>
      <c r="P59">
        <v>24287</v>
      </c>
      <c r="Q59" t="s">
        <v>58</v>
      </c>
      <c r="R59" s="171" t="s">
        <v>58</v>
      </c>
    </row>
    <row r="60" spans="1:18">
      <c r="A60" s="146" t="str">
        <f t="shared" ca="1" si="3"/>
        <v>CUST</v>
      </c>
      <c r="B60" s="146" t="s">
        <v>137</v>
      </c>
      <c r="C60" s="137" t="s">
        <v>58</v>
      </c>
      <c r="D60" s="144" t="str">
        <f ca="1">"0x"&amp;DEC2HEX(HEX2DEC(RIGHT(INDIRECT(ADDRESS(ROW()-1,COLUMN())),4))+2,4)</f>
        <v>0x1082</v>
      </c>
      <c r="E60" s="138">
        <v>16</v>
      </c>
      <c r="F60" s="138">
        <v>0</v>
      </c>
      <c r="G60" s="138">
        <v>1</v>
      </c>
      <c r="H60" s="138" t="s">
        <v>58</v>
      </c>
      <c r="I60" s="151" t="str">
        <f t="shared" si="4"/>
        <v>-</v>
      </c>
      <c r="J60" s="151">
        <f t="shared" si="1"/>
        <v>-32768</v>
      </c>
      <c r="K60" s="151">
        <f t="shared" si="2"/>
        <v>32767</v>
      </c>
      <c r="L60" s="152" t="s">
        <v>133</v>
      </c>
      <c r="M60" s="28"/>
      <c r="N60" s="171" t="s">
        <v>58</v>
      </c>
      <c r="O60" s="171" t="s">
        <v>58</v>
      </c>
      <c r="P60" s="171" t="s">
        <v>58</v>
      </c>
      <c r="Q60" t="s">
        <v>58</v>
      </c>
      <c r="R60" s="171" t="s">
        <v>58</v>
      </c>
    </row>
    <row r="61" spans="1:18" ht="25.5">
      <c r="A61" s="155" t="str">
        <f t="shared" ca="1" si="3"/>
        <v>CUST</v>
      </c>
      <c r="B61" s="155" t="s">
        <v>58</v>
      </c>
      <c r="C61" s="156" t="str">
        <f>RIGHT(B60,LEN(B60)-3)</f>
        <v>N3</v>
      </c>
      <c r="D61" s="163" t="str">
        <f ca="1">INDIRECT(ADDRESS(ROW()-1,COLUMN()))</f>
        <v>0x1082</v>
      </c>
      <c r="E61" s="163">
        <v>16</v>
      </c>
      <c r="F61" s="163">
        <v>0</v>
      </c>
      <c r="G61" s="163">
        <v>1</v>
      </c>
      <c r="H61" s="163" t="s">
        <v>76</v>
      </c>
      <c r="I61" s="151" t="str">
        <f t="shared" si="4"/>
        <v>[:]</v>
      </c>
      <c r="J61" s="151">
        <f t="shared" si="1"/>
        <v>-32768</v>
      </c>
      <c r="K61" s="151">
        <f t="shared" si="2"/>
        <v>32767</v>
      </c>
      <c r="L61" s="58" t="s">
        <v>134</v>
      </c>
      <c r="M61" s="28"/>
      <c r="N61" s="171" t="s">
        <v>58</v>
      </c>
      <c r="O61" s="171" t="s">
        <v>58</v>
      </c>
      <c r="P61">
        <v>33499</v>
      </c>
      <c r="Q61" t="s">
        <v>58</v>
      </c>
      <c r="R61" s="171" t="s">
        <v>58</v>
      </c>
    </row>
    <row r="62" spans="1:18" ht="25.5">
      <c r="A62" s="146" t="str">
        <f t="shared" ca="1" si="3"/>
        <v>CUST</v>
      </c>
      <c r="B62" s="146" t="s">
        <v>138</v>
      </c>
      <c r="C62" s="137" t="s">
        <v>58</v>
      </c>
      <c r="D62" s="144" t="str">
        <f ca="1">"0x"&amp;DEC2HEX(HEX2DEC(RIGHT(INDIRECT(ADDRESS(ROW()-1,COLUMN())),4))+2,4)</f>
        <v>0x1084</v>
      </c>
      <c r="E62" s="138">
        <v>16</v>
      </c>
      <c r="F62" s="138">
        <v>0</v>
      </c>
      <c r="G62" s="138">
        <v>1</v>
      </c>
      <c r="H62" s="138" t="s">
        <v>58</v>
      </c>
      <c r="I62" s="151" t="str">
        <f t="shared" si="4"/>
        <v>-</v>
      </c>
      <c r="J62" s="151">
        <f t="shared" si="1"/>
        <v>-32768</v>
      </c>
      <c r="K62" s="151">
        <f t="shared" si="2"/>
        <v>32767</v>
      </c>
      <c r="L62" s="152" t="s">
        <v>139</v>
      </c>
      <c r="M62" s="28"/>
      <c r="N62" s="171" t="s">
        <v>58</v>
      </c>
      <c r="O62" s="171" t="s">
        <v>58</v>
      </c>
      <c r="P62" s="171" t="s">
        <v>58</v>
      </c>
      <c r="Q62" t="s">
        <v>58</v>
      </c>
      <c r="R62" s="171" t="s">
        <v>58</v>
      </c>
    </row>
    <row r="63" spans="1:18" ht="25.5">
      <c r="A63" s="155" t="str">
        <f t="shared" ca="1" si="3"/>
        <v>CUST</v>
      </c>
      <c r="B63" s="155" t="s">
        <v>58</v>
      </c>
      <c r="C63" s="156" t="str">
        <f>RIGHT(B62,LEN(B62)-3)</f>
        <v>SHA</v>
      </c>
      <c r="D63" s="163" t="str">
        <f ca="1">INDIRECT(ADDRESS(ROW()-1,COLUMN()))</f>
        <v>0x1084</v>
      </c>
      <c r="E63" s="163">
        <v>16</v>
      </c>
      <c r="F63" s="163">
        <v>0</v>
      </c>
      <c r="G63" s="163">
        <v>1</v>
      </c>
      <c r="H63" s="163" t="s">
        <v>76</v>
      </c>
      <c r="I63" s="151" t="str">
        <f t="shared" si="4"/>
        <v>[:]</v>
      </c>
      <c r="J63" s="151">
        <f t="shared" si="1"/>
        <v>-32768</v>
      </c>
      <c r="K63" s="151">
        <f t="shared" si="2"/>
        <v>32767</v>
      </c>
      <c r="L63" s="58" t="s">
        <v>140</v>
      </c>
      <c r="M63" s="28"/>
      <c r="N63" s="171" t="s">
        <v>58</v>
      </c>
      <c r="O63" s="171" t="s">
        <v>58</v>
      </c>
      <c r="P63">
        <v>16530</v>
      </c>
      <c r="Q63" t="s">
        <v>58</v>
      </c>
      <c r="R63" s="171" t="s">
        <v>58</v>
      </c>
    </row>
    <row r="64" spans="1:18" ht="25.5">
      <c r="A64" s="146" t="str">
        <f t="shared" ca="1" si="3"/>
        <v>CUST</v>
      </c>
      <c r="B64" s="146" t="s">
        <v>141</v>
      </c>
      <c r="C64" s="137" t="s">
        <v>58</v>
      </c>
      <c r="D64" s="144" t="str">
        <f ca="1">"0x"&amp;DEC2HEX(HEX2DEC(RIGHT(INDIRECT(ADDRESS(ROW()-1,COLUMN())),4))+2,4)</f>
        <v>0x1086</v>
      </c>
      <c r="E64" s="138">
        <v>16</v>
      </c>
      <c r="F64" s="138">
        <v>0</v>
      </c>
      <c r="G64" s="138">
        <v>1</v>
      </c>
      <c r="H64" s="138" t="s">
        <v>58</v>
      </c>
      <c r="I64" s="151" t="str">
        <f t="shared" si="4"/>
        <v>-</v>
      </c>
      <c r="J64" s="151">
        <f t="shared" si="1"/>
        <v>-32768</v>
      </c>
      <c r="K64" s="151">
        <f t="shared" si="2"/>
        <v>32767</v>
      </c>
      <c r="L64" s="152" t="s">
        <v>139</v>
      </c>
      <c r="M64" s="28"/>
      <c r="N64" s="171" t="s">
        <v>58</v>
      </c>
      <c r="O64" s="171" t="s">
        <v>58</v>
      </c>
      <c r="P64" s="171" t="s">
        <v>58</v>
      </c>
      <c r="Q64" t="s">
        <v>58</v>
      </c>
      <c r="R64" s="171" t="s">
        <v>58</v>
      </c>
    </row>
    <row r="65" spans="1:18" ht="25.5">
      <c r="A65" s="155" t="str">
        <f t="shared" ca="1" si="3"/>
        <v>CUST</v>
      </c>
      <c r="B65" s="155" t="s">
        <v>58</v>
      </c>
      <c r="C65" s="156" t="str">
        <f>RIGHT(B64,LEN(B64)-3)</f>
        <v>SHB</v>
      </c>
      <c r="D65" s="163" t="str">
        <f ca="1">INDIRECT(ADDRESS(ROW()-1,COLUMN()))</f>
        <v>0x1086</v>
      </c>
      <c r="E65" s="163">
        <v>16</v>
      </c>
      <c r="F65" s="163">
        <v>0</v>
      </c>
      <c r="G65" s="163">
        <v>1</v>
      </c>
      <c r="H65" s="163" t="s">
        <v>76</v>
      </c>
      <c r="I65" s="151" t="str">
        <f t="shared" si="4"/>
        <v>[:]</v>
      </c>
      <c r="J65" s="151">
        <f t="shared" si="1"/>
        <v>-32768</v>
      </c>
      <c r="K65" s="151">
        <f t="shared" si="2"/>
        <v>32767</v>
      </c>
      <c r="L65" s="58" t="s">
        <v>140</v>
      </c>
      <c r="M65" s="28"/>
      <c r="N65" s="171" t="s">
        <v>58</v>
      </c>
      <c r="O65" s="171" t="s">
        <v>58</v>
      </c>
      <c r="P65">
        <v>32482</v>
      </c>
      <c r="Q65" t="s">
        <v>58</v>
      </c>
      <c r="R65" s="171" t="s">
        <v>58</v>
      </c>
    </row>
    <row r="66" spans="1:18" ht="25.5">
      <c r="A66" s="146" t="str">
        <f t="shared" ca="1" si="3"/>
        <v>CUST</v>
      </c>
      <c r="B66" s="146" t="s">
        <v>142</v>
      </c>
      <c r="C66" s="137" t="s">
        <v>58</v>
      </c>
      <c r="D66" s="144" t="str">
        <f ca="1">"0x"&amp;DEC2HEX(HEX2DEC(RIGHT(INDIRECT(ADDRESS(ROW()-1,COLUMN())),4))+2,4)</f>
        <v>0x1088</v>
      </c>
      <c r="E66" s="138">
        <v>16</v>
      </c>
      <c r="F66" s="138">
        <v>0</v>
      </c>
      <c r="G66" s="138">
        <v>1</v>
      </c>
      <c r="H66" s="138" t="s">
        <v>58</v>
      </c>
      <c r="I66" s="151" t="str">
        <f t="shared" si="4"/>
        <v>-</v>
      </c>
      <c r="J66" s="151">
        <f t="shared" si="1"/>
        <v>-32768</v>
      </c>
      <c r="K66" s="151">
        <f t="shared" si="2"/>
        <v>32767</v>
      </c>
      <c r="L66" s="152" t="s">
        <v>139</v>
      </c>
      <c r="M66" s="28"/>
      <c r="N66" s="171" t="s">
        <v>58</v>
      </c>
      <c r="O66" s="171" t="s">
        <v>58</v>
      </c>
      <c r="P66" s="171" t="s">
        <v>58</v>
      </c>
      <c r="Q66" t="s">
        <v>58</v>
      </c>
      <c r="R66" s="171" t="s">
        <v>58</v>
      </c>
    </row>
    <row r="67" spans="1:18" ht="25.5">
      <c r="A67" s="155" t="str">
        <f t="shared" ca="1" si="3"/>
        <v>CUST</v>
      </c>
      <c r="B67" s="155" t="s">
        <v>58</v>
      </c>
      <c r="C67" s="156" t="str">
        <f>RIGHT(B66,LEN(B66)-3)</f>
        <v>SHC</v>
      </c>
      <c r="D67" s="163" t="str">
        <f ca="1">INDIRECT(ADDRESS(ROW()-1,COLUMN()))</f>
        <v>0x1088</v>
      </c>
      <c r="E67" s="163">
        <v>16</v>
      </c>
      <c r="F67" s="163">
        <v>0</v>
      </c>
      <c r="G67" s="163">
        <v>1</v>
      </c>
      <c r="H67" s="163" t="s">
        <v>76</v>
      </c>
      <c r="I67" s="151" t="str">
        <f t="shared" si="4"/>
        <v>[:]</v>
      </c>
      <c r="J67" s="151">
        <f t="shared" si="1"/>
        <v>-32768</v>
      </c>
      <c r="K67" s="151">
        <f t="shared" si="2"/>
        <v>32767</v>
      </c>
      <c r="L67" s="58" t="s">
        <v>140</v>
      </c>
      <c r="M67" s="28"/>
      <c r="N67" s="171" t="s">
        <v>58</v>
      </c>
      <c r="O67" s="171" t="s">
        <v>58</v>
      </c>
      <c r="P67" s="171">
        <v>21517</v>
      </c>
      <c r="Q67" t="s">
        <v>58</v>
      </c>
      <c r="R67" s="171" t="s">
        <v>58</v>
      </c>
    </row>
    <row r="68" spans="1:18">
      <c r="A68" s="146" t="str">
        <f t="shared" ca="1" si="3"/>
        <v>CUST</v>
      </c>
      <c r="B68" s="146" t="s">
        <v>143</v>
      </c>
      <c r="C68" s="137" t="s">
        <v>58</v>
      </c>
      <c r="D68" s="144" t="str">
        <f ca="1">"0x"&amp;DEC2HEX(HEX2DEC(RIGHT(INDIRECT(ADDRESS(ROW()-1,COLUMN())),4))+2,4)</f>
        <v>0x108A</v>
      </c>
      <c r="E68" s="138">
        <v>16</v>
      </c>
      <c r="F68" s="138">
        <v>0</v>
      </c>
      <c r="G68" s="138">
        <v>0</v>
      </c>
      <c r="H68" s="138" t="s">
        <v>58</v>
      </c>
      <c r="I68" s="151" t="str">
        <f t="shared" si="4"/>
        <v>-</v>
      </c>
      <c r="J68" s="151">
        <f t="shared" si="1"/>
        <v>0</v>
      </c>
      <c r="K68" s="151">
        <f t="shared" si="2"/>
        <v>65535</v>
      </c>
      <c r="L68" s="152" t="s">
        <v>144</v>
      </c>
      <c r="M68" s="28"/>
      <c r="N68" s="171" t="s">
        <v>58</v>
      </c>
      <c r="O68" s="171" t="s">
        <v>58</v>
      </c>
      <c r="P68" s="171" t="s">
        <v>58</v>
      </c>
      <c r="Q68" t="s">
        <v>58</v>
      </c>
      <c r="R68" s="171" t="s">
        <v>58</v>
      </c>
    </row>
    <row r="69" spans="1:18" ht="51">
      <c r="A69" s="155" t="str">
        <f t="shared" ca="1" si="3"/>
        <v>CUST</v>
      </c>
      <c r="B69" s="155" t="s">
        <v>58</v>
      </c>
      <c r="C69" s="156" t="s">
        <v>145</v>
      </c>
      <c r="D69" s="163" t="str">
        <f ca="1">INDIRECT(ADDRESS(ROW()-1,COLUMN()))</f>
        <v>0x108A</v>
      </c>
      <c r="E69" s="163">
        <v>4</v>
      </c>
      <c r="F69" s="163">
        <v>4</v>
      </c>
      <c r="G69" s="163">
        <v>0</v>
      </c>
      <c r="H69" s="163" t="s">
        <v>68</v>
      </c>
      <c r="I69" s="151" t="str">
        <f t="shared" si="4"/>
        <v>[:]</v>
      </c>
      <c r="J69" s="151">
        <f t="shared" si="1"/>
        <v>0</v>
      </c>
      <c r="K69" s="151">
        <f t="shared" si="2"/>
        <v>15</v>
      </c>
      <c r="L69" s="159" t="s">
        <v>486</v>
      </c>
      <c r="M69" s="28"/>
      <c r="N69" s="171" t="s">
        <v>58</v>
      </c>
      <c r="O69" s="171" t="s">
        <v>58</v>
      </c>
      <c r="P69" s="171" t="s">
        <v>58</v>
      </c>
      <c r="Q69" t="s">
        <v>58</v>
      </c>
      <c r="R69" s="171" t="s">
        <v>58</v>
      </c>
    </row>
    <row r="70" spans="1:18" ht="51">
      <c r="A70" s="155" t="str">
        <f t="shared" ca="1" si="3"/>
        <v>CUST</v>
      </c>
      <c r="B70" s="155" t="s">
        <v>58</v>
      </c>
      <c r="C70" s="156" t="s">
        <v>146</v>
      </c>
      <c r="D70" s="163" t="str">
        <f ca="1">INDIRECT(ADDRESS(ROW()-1,COLUMN()))</f>
        <v>0x108A</v>
      </c>
      <c r="E70" s="163">
        <v>4</v>
      </c>
      <c r="F70" s="163">
        <v>0</v>
      </c>
      <c r="G70" s="163">
        <v>0</v>
      </c>
      <c r="H70" s="163" t="s">
        <v>68</v>
      </c>
      <c r="I70" s="151" t="str">
        <f t="shared" si="4"/>
        <v>[:]</v>
      </c>
      <c r="J70" s="151">
        <f t="shared" si="1"/>
        <v>0</v>
      </c>
      <c r="K70" s="151">
        <f t="shared" si="2"/>
        <v>15</v>
      </c>
      <c r="L70" s="159" t="s">
        <v>487</v>
      </c>
      <c r="M70" s="28"/>
      <c r="N70" s="171" t="s">
        <v>58</v>
      </c>
      <c r="O70" s="171" t="s">
        <v>58</v>
      </c>
      <c r="P70" s="171" t="s">
        <v>58</v>
      </c>
      <c r="Q70" t="s">
        <v>58</v>
      </c>
      <c r="R70" s="171" t="s">
        <v>58</v>
      </c>
    </row>
  </sheetData>
  <conditionalFormatting sqref="A70 A10:A31 A54:A68">
    <cfRule type="containsText" dxfId="8" priority="36" operator="containsText" text="MA-CUST">
      <formula>NOT(ISERROR(SEARCH("MA-CUST",A10)))</formula>
    </cfRule>
    <cfRule type="containsText" dxfId="7" priority="37" operator="containsText" text="MA-MLX">
      <formula>NOT(ISERROR(SEARCH("MA-MLX",A10)))</formula>
    </cfRule>
    <cfRule type="containsText" dxfId="6" priority="38" operator="containsText" text="CS">
      <formula>NOT(ISERROR(SEARCH("CS",A10)))</formula>
    </cfRule>
  </conditionalFormatting>
  <conditionalFormatting sqref="A69">
    <cfRule type="containsText" dxfId="5" priority="16" operator="containsText" text="MA-CUST">
      <formula>NOT(ISERROR(SEARCH("MA-CUST",A69)))</formula>
    </cfRule>
    <cfRule type="containsText" dxfId="4" priority="17" operator="containsText" text="MA-MLX">
      <formula>NOT(ISERROR(SEARCH("MA-MLX",A69)))</formula>
    </cfRule>
    <cfRule type="containsText" dxfId="3" priority="18" operator="containsText" text="CS">
      <formula>NOT(ISERROR(SEARCH("CS",A69)))</formula>
    </cfRule>
  </conditionalFormatting>
  <conditionalFormatting sqref="A32:A53">
    <cfRule type="containsText" dxfId="2" priority="12" operator="containsText" text="MA-CUST">
      <formula>NOT(ISERROR(SEARCH("MA-CUST",A32)))</formula>
    </cfRule>
    <cfRule type="containsText" dxfId="1" priority="13" operator="containsText" text="MA-MLX">
      <formula>NOT(ISERROR(SEARCH("MA-MLX",A32)))</formula>
    </cfRule>
    <cfRule type="containsText" dxfId="0" priority="14" operator="containsText" text="CS">
      <formula>NOT(ISERROR(SEARCH("CS",A32)))</formula>
    </cfRule>
  </conditionalFormatting>
  <dataValidations count="1">
    <dataValidation type="list" allowBlank="1" showInputMessage="1" showErrorMessage="1" sqref="H11 H19 H21 H23 H25 H27 H29 H31 H55 H59 H61 H63 H65 H67 H13:H17 H57 H69:H70 H53 H33 H35 H37 H39 H41 H43 H45 H47 H49 H51" xr:uid="{BC0170BA-7D52-49C1-8FFC-C10B821085C2}">
      <formula1>"FIXED,ID,CRC,TRIMMED"</formula1>
      <formula2>0</formula2>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Contents</vt:lpstr>
      <vt:lpstr>MemoryView</vt:lpstr>
      <vt:lpstr>NVRAM map</vt:lpstr>
      <vt:lpstr>Sheet1</vt:lpstr>
      <vt:lpstr>Sheet2</vt:lpstr>
      <vt:lpstr>Output</vt:lpstr>
      <vt:lpstr>FPC</vt:lpstr>
      <vt:lpstr>Patches</vt:lpstr>
      <vt:lpstr>AllExport</vt:lpstr>
      <vt:lpstr>ContentWriteLocation</vt:lpstr>
      <vt:lpstr>CrLfLineEnding</vt:lpstr>
      <vt:lpstr>DefinesWriteLocation</vt:lpstr>
      <vt:lpstr>IntelHexUseAbsAddr</vt:lpstr>
      <vt:lpstr>IntelHexWriteLocation</vt:lpstr>
      <vt:lpstr>MapWriteLocation</vt:lpstr>
      <vt:lpstr>MemhEccWriteLocation</vt:lpstr>
      <vt:lpstr>MemhWriteLocation</vt:lpstr>
      <vt:lpstr>StartAddress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dc:creator>
  <cp:lastModifiedBy>iic</cp:lastModifiedBy>
  <dcterms:created xsi:type="dcterms:W3CDTF">2021-12-07T13:15:27Z</dcterms:created>
  <dcterms:modified xsi:type="dcterms:W3CDTF">2025-12-15T21:42:20Z</dcterms:modified>
</cp:coreProperties>
</file>